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仕掛不良" sheetId="1" r:id="rId5"/>
    <sheet state="visible" name="完了" sheetId="2" r:id="rId6"/>
    <sheet state="visible" name="行方不明リスト" sheetId="3" r:id="rId7"/>
    <sheet state="visible" name="24年11月以前完了分(履歴)" sheetId="4" r:id="rId8"/>
    <sheet state="visible" name="(過去例)不良コード" sheetId="5" r:id="rId9"/>
    <sheet state="visible" name="管理用" sheetId="6" r:id="rId10"/>
  </sheets>
  <definedNames>
    <definedName hidden="1" localSheetId="0" name="_xlnm._FilterDatabase">'仕掛不良'!$A$2:$AB$274</definedName>
    <definedName hidden="1" localSheetId="1" name="_xlnm._FilterDatabase">'完了'!$A$1:$AB$657</definedName>
    <definedName hidden="1" localSheetId="2" name="_xlnm._FilterDatabase">'行方不明リスト'!$A$1:$L$1000</definedName>
    <definedName hidden="1" localSheetId="3" name="_xlnm._FilterDatabase">'24年11月以前完了分(履歴)'!$A$1:$AA$1350</definedName>
    <definedName hidden="1" localSheetId="0" name="Z_9F4F513B_5D3E_4ADC_81B2_936E8A51143D_.wvu.FilterData">'仕掛不良'!$A$2:$AB$53</definedName>
    <definedName hidden="1" localSheetId="1" name="Z_B56A2066_89A6_4F6E_B1B3_80A459BC1835_.wvu.FilterData">'完了'!$A$1:$AB$357</definedName>
    <definedName hidden="1" localSheetId="3" name="Z_B56A2066_89A6_4F6E_B1B3_80A459BC1835_.wvu.FilterData">'24年11月以前完了分(履歴)'!$A$1:$AA$1350</definedName>
    <definedName hidden="1" localSheetId="0" name="Z_AE2935C6_19AC_4B73_8F0E_3F963EE921BD_.wvu.FilterData">'仕掛不良'!$A$2:$AB$80</definedName>
    <definedName hidden="1" localSheetId="0" name="Z_B15A9A53_A0A7_4286_9835_5966FB46016D_.wvu.FilterData">'仕掛不良'!$A$2:$AB$64</definedName>
    <definedName hidden="1" localSheetId="0" name="Z_F2D2F3B3_1326_4951_B8E9_4672388473D8_.wvu.FilterData">'仕掛不良'!$A$2:$AB$64</definedName>
    <definedName hidden="1" localSheetId="0" name="Z_004BF6BC_2C61_466F_A353_47285168054A_.wvu.FilterData">'仕掛不良'!$A$2:$AB$85</definedName>
    <definedName hidden="1" localSheetId="0" name="Z_2257EBC2_C252_4EDC_863E_970C3F7DA679_.wvu.FilterData">'仕掛不良'!$A$2:$AB$64</definedName>
    <definedName hidden="1" localSheetId="0" name="Z_0E1EDE74_2756_4357_8204_C6014845F616_.wvu.FilterData">'仕掛不良'!$A$2:$AB$53</definedName>
    <definedName hidden="1" localSheetId="0" name="Z_D16AE885_F13A_4AD1_AFDD_5EB4E3E9F70F_.wvu.FilterData">'仕掛不良'!$A$2:$AB$274</definedName>
    <definedName hidden="1" localSheetId="0" name="Z_66A7E676_6158_47D6_B5F8_B6F104FBFB5E_.wvu.FilterData">'仕掛不良'!$A$2:$AB$85</definedName>
    <definedName hidden="1" localSheetId="0" name="Z_7E384BDF_99AF_49E7_9251_B3614D86F4DD_.wvu.FilterData">'仕掛不良'!$A$2:$AB$105</definedName>
    <definedName hidden="1" localSheetId="0" name="Z_88D5EAC9_C4DE_4C67_9B79_D9F69512AA09_.wvu.FilterData">'仕掛不良'!$A$2:$AB$80</definedName>
    <definedName hidden="1" localSheetId="0" name="Z_82B1759D_7181_44D6_97A9_CE4DCB0A68DD_.wvu.FilterData">'仕掛不良'!$A$2:$AB$64</definedName>
  </definedNames>
  <calcPr/>
  <customWorkbookViews>
    <customWorkbookView activeSheetId="0" maximized="1" windowHeight="0" windowWidth="0" guid="{D16AE885-F13A-4AD1-AFDD-5EB4E3E9F70F}" name="齋藤使用フィルター"/>
    <customWorkbookView activeSheetId="0" maximized="1" windowHeight="0" windowWidth="0" guid="{004BF6BC-2C61-466F-A353-47285168054A}" name="組配グループ"/>
    <customWorkbookView activeSheetId="0" maximized="1" windowHeight="0" windowWidth="0" guid="{7E384BDF-99AF-49E7-9251-B3614D86F4DD}" name="MV"/>
    <customWorkbookView activeSheetId="0" maximized="1" windowHeight="0" windowWidth="0" guid="{B56A2066-89A6-4F6E-B1B3-80A459BC1835}" name="齋藤"/>
    <customWorkbookView activeSheetId="0" maximized="1" windowHeight="0" windowWidth="0" guid="{F2D2F3B3-1326-4951-B8E9-4672388473D8}" name="HVS-490"/>
    <customWorkbookView activeSheetId="0" maximized="1" windowHeight="0" windowWidth="0" guid="{66A7E676-6158-47D6-B5F8-B6F104FBFB5E}" name="MV-4200SDI"/>
    <customWorkbookView activeSheetId="0" maximized="1" windowHeight="0" windowWidth="0" guid="{9F4F513B-5D3E-4ADC-81B2-936E8A51143D}" name="IVS-720HS"/>
    <customWorkbookView activeSheetId="0" maximized="1" windowHeight="0" windowWidth="0" guid="{0E1EDE74-2756-4357-8204-C6014845F616}" name="門脇"/>
    <customWorkbookView activeSheetId="0" maximized="1" windowHeight="0" windowWidth="0" guid="{2257EBC2-C252-4EDC-863E-970C3F7DA679}" name="フィルタ 1"/>
    <customWorkbookView activeSheetId="0" maximized="1" windowHeight="0" windowWidth="0" guid="{82B1759D-7181-44D6-97A9-CE4DCB0A68DD}" name="松井"/>
    <customWorkbookView activeSheetId="0" maximized="1" windowHeight="0" windowWidth="0" guid="{AE2935C6-19AC-4B73-8F0E-3F963EE921BD}" name="フィルタ 4"/>
    <customWorkbookView activeSheetId="0" maximized="1" windowHeight="0" windowWidth="0" guid="{B15A9A53-A0A7-4286-9835-5966FB46016D}" name="フィルタ 2"/>
    <customWorkbookView activeSheetId="0" maximized="1" windowHeight="0" windowWidth="0" guid="{88D5EAC9-C4DE-4C67-9B79-D9F69512AA09}" name="フィルタ 3"/>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37">
      <text>
        <t xml:space="preserve">11月度仕掛品受払表</t>
      </text>
    </comment>
    <comment authorId="0" ref="C446">
      <text>
        <t xml:space="preserve">11月度仕掛品受払表</t>
      </text>
    </comment>
    <comment authorId="0" ref="C447">
      <text>
        <t xml:space="preserve">11月度仕掛品受払表</t>
      </text>
    </comment>
    <comment authorId="0" ref="C623">
      <text>
        <t xml:space="preserve">11月度仕掛品受払表</t>
      </text>
    </comment>
    <comment authorId="0" ref="C649">
      <text>
        <t xml:space="preserve">11月仕掛品度受払表</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※ロットのシリアルの内、"未入庫"のシリアル最後尾を使用して下さい。</t>
      </text>
    </comment>
    <comment authorId="0" ref="H1">
      <text>
        <t xml:space="preserve">行方不明の経緯や何か補足事項がある場合は記入</t>
      </text>
    </comment>
    <comment authorId="0" ref="I1">
      <text>
        <t xml:space="preserve">予定と再制作中等の情報を記入
(再制作が決定しても手配がされていない等が分かるようにする為、予定/中/済みで分ける)</t>
      </text>
    </comment>
    <comment authorId="0" ref="J1">
      <text>
        <t xml:space="preserve">抱き合わせ手配した作番を記入
廃棄の場合は‐を記入</t>
      </text>
    </comment>
    <comment authorId="0" ref="K1">
      <text>
        <t xml:space="preserve">再制作/廃棄完了している場合は必ずチェックを入れること！
フィルターは✔=TRUE、チェック無しはFALSEで適用</t>
      </text>
    </comment>
  </commentList>
</comments>
</file>

<file path=xl/sharedStrings.xml><?xml version="1.0" encoding="utf-8"?>
<sst xmlns="http://schemas.openxmlformats.org/spreadsheetml/2006/main" count="23381" uniqueCount="7360">
  <si>
    <t>項番</t>
  </si>
  <si>
    <t>受入日</t>
  </si>
  <si>
    <t>作番</t>
  </si>
  <si>
    <t>R作番
ランク</t>
  </si>
  <si>
    <t>製品名</t>
  </si>
  <si>
    <t>基板名</t>
  </si>
  <si>
    <t>S/N</t>
  </si>
  <si>
    <t>担当者</t>
  </si>
  <si>
    <t>不良内容</t>
  </si>
  <si>
    <t>進捗状況</t>
  </si>
  <si>
    <t>図番</t>
  </si>
  <si>
    <t>不良IC
 不良部品</t>
  </si>
  <si>
    <t>部品</t>
  </si>
  <si>
    <t>製造不良コード</t>
  </si>
  <si>
    <t>3課修理
 成功：〇
 失敗：×
 未確認：△</t>
  </si>
  <si>
    <t>3課完了日</t>
  </si>
  <si>
    <t>センタ修理
 成功：〇
 失敗：×
 未確認：△</t>
  </si>
  <si>
    <t>完了日</t>
  </si>
  <si>
    <t>外注リワーク
 成功：〇
 失敗：×
 未確認：△</t>
  </si>
  <si>
    <t>完了日 2</t>
  </si>
  <si>
    <t>入庫
 済：〇</t>
  </si>
  <si>
    <t>完了日 3</t>
  </si>
  <si>
    <t>廃棄
 済：〇
 保留：△
 廃棄：×</t>
  </si>
  <si>
    <t>完了日 4</t>
  </si>
  <si>
    <t>仕掛戻り
 ③：3課
 ②：2課</t>
  </si>
  <si>
    <t>戻り日</t>
  </si>
  <si>
    <t>スケジュール
 (チェックポイント)</t>
  </si>
  <si>
    <t>備考
 (進捗状況に記載されていない内容)</t>
  </si>
  <si>
    <t>R24025
仕掛残1に対し2件有
⇒1台でMTX2枚使用の製品</t>
  </si>
  <si>
    <t>D</t>
  </si>
  <si>
    <t>MFR-6100</t>
  </si>
  <si>
    <t>MTX</t>
  </si>
  <si>
    <t>齋藤</t>
  </si>
  <si>
    <r>
      <rPr>
        <rFont val="Arial"/>
        <color theme="1"/>
        <sz val="10.0"/>
      </rPr>
      <t>MTX2基板 フルMTXチェックエラー
 SRC37 ⇒ DST11~13,85で検出
 MTX基板の交換で改善した。
⇒</t>
    </r>
    <r>
      <rPr>
        <rFont val="Arial"/>
        <color rgb="FFFF0000"/>
        <sz val="10.0"/>
      </rPr>
      <t>入替した為、MTX1の不良に変更
(MTX1,MTX2の2枚で1台※実装部品/基板は同じ)</t>
    </r>
  </si>
  <si>
    <r>
      <rPr>
        <rFont val="Arial"/>
        <color theme="1"/>
        <sz val="10.0"/>
      </rPr>
      <t>仕掛週報B　残2/5
20240726　[コメント(秦)]クロスポイントデバイスの不良、もしくは、実装不良の可能性が高いと判断します。費用対効果の観点から廃棄は致し方ないと判断します。
20250107　開発見解変わり即廃棄はNG。項番1328のリワーク結果を見て判断する。
20250206　項番1328はリワークでOKとなった為、この基板もリワークしてよいかを確認中。
20250210　QM確認し、リワークの方針で進める。部品手配等準備。
20250212　3/10希望でIC2リワーク依頼。
2025/3/7 リワーク上がり 確認スケジュール要調整(次出荷25年7月中旬 4月中に確認)</t>
    </r>
    <r>
      <rPr>
        <rFont val="Arial"/>
        <color rgb="FFFF0000"/>
        <sz val="10.0"/>
      </rPr>
      <t xml:space="preserve">
20250326　リワーク後、悪化。廃棄の方針。ｸﾘｰﾝﾙｰﾑ横通路側のグレー棚で保管
</t>
    </r>
    <r>
      <rPr>
        <rFont val="Arial"/>
        <color theme="1"/>
        <sz val="10.0"/>
      </rPr>
      <t>20250922　生産管理から廃棄せず再製作依頼あり。
20260310　再製作手配済み、部品入荷待ち。</t>
    </r>
  </si>
  <si>
    <t>E04786</t>
  </si>
  <si>
    <t>IC2</t>
  </si>
  <si>
    <t>3QA65M21605G</t>
  </si>
  <si>
    <t>基板再製作</t>
  </si>
  <si>
    <t>R23739</t>
  </si>
  <si>
    <t>MV-1640SDI</t>
  </si>
  <si>
    <t>SDI IN</t>
  </si>
  <si>
    <t>松井</t>
  </si>
  <si>
    <t>IN9~IN11の映像が出力無し</t>
  </si>
  <si>
    <r>
      <rPr>
        <rFont val="Arial"/>
        <color theme="1"/>
        <sz val="10.0"/>
      </rPr>
      <t xml:space="preserve">2024/2/22 基板は入替済
2025/1/14 18900020は入庫済の為、18900012へ
 2025/06/27調査確認待ち　　　仕掛週報C 残2/10
</t>
    </r>
    <r>
      <rPr>
        <rFont val="Arial"/>
        <b/>
        <color rgb="FFFF0000"/>
        <sz val="10.0"/>
      </rPr>
      <t xml:space="preserve">2026/3/18 12G-SDI未対応品のため、修理の要/否を検討
</t>
    </r>
    <r>
      <rPr>
        <rFont val="Arial"/>
        <color theme="1"/>
        <sz val="10.0"/>
      </rPr>
      <t>20260331　55期下期廃棄の予定。</t>
    </r>
  </si>
  <si>
    <t>E04835</t>
  </si>
  <si>
    <t>開発調査</t>
  </si>
  <si>
    <t>R24193
仕掛残2</t>
  </si>
  <si>
    <t>MV-1620HSA</t>
  </si>
  <si>
    <t>MAIN</t>
  </si>
  <si>
    <t>-</t>
  </si>
  <si>
    <t>八木</t>
  </si>
  <si>
    <t>アライメントジッタ値が大きい</t>
  </si>
  <si>
    <r>
      <rPr>
        <rFont val="Arial"/>
        <b val="0"/>
        <color rgb="FF000000"/>
        <sz val="10.0"/>
      </rPr>
      <t xml:space="preserve">2025/10/17 部品出庫依頼中。
2025/11/21 リワーク戻り、IC99(DC/DC)が破損していた。原因不明。
2025/1/14 DC/DCリワーク準備
</t>
    </r>
    <r>
      <rPr>
        <rFont val="Arial"/>
        <b/>
        <color rgb="FFFF0000"/>
        <sz val="10.0"/>
      </rPr>
      <t>2026/2/9 起動するようになったが、メモリチェックエラー発生
　NG(/FPGA3-0/FPGA3-1/FPGA3-2/FPGA3-3/FPGA3-4/FPGA3-5/FPGA3-6/FPGA3-7)
　ビデオフォーマットが23.98psfとエラーを繰り返す？
20260403　次が3回目のリワークとなる為、廃棄予定。55期下期廃棄予定。</t>
    </r>
  </si>
  <si>
    <t>E03841-3</t>
  </si>
  <si>
    <t>IC83？
IC99</t>
  </si>
  <si>
    <t>3QA7Z2AGX1254G
3QJ0AP020A0X3</t>
  </si>
  <si>
    <t xml:space="preserve">
項番1004,1123の結果待ち。</t>
  </si>
  <si>
    <t>20241107 開発へ調査依頼中。
項番1123の筐体を調査中。</t>
  </si>
  <si>
    <r>
      <rPr>
        <rFont val="Arial"/>
        <color theme="1"/>
        <sz val="10.0"/>
      </rPr>
      <t xml:space="preserve">2024/6/5 LV5490/5600ではぎりぎり規定値内？
20250214　現品は、3課の不良品棚に有り。
</t>
    </r>
    <r>
      <rPr>
        <rFont val="Arial"/>
        <color rgb="FFFF0000"/>
        <sz val="10.0"/>
      </rPr>
      <t>2025/3/10 RS開発部へ貸出中 識別：NG2</t>
    </r>
    <r>
      <rPr>
        <rFont val="Arial"/>
        <color theme="1"/>
        <sz val="10.0"/>
      </rPr>
      <t xml:space="preserve">
2025/09/16　開発見解でFPGAの可能性しか考えられない。交換する予定。
</t>
    </r>
    <r>
      <rPr>
        <rFont val="Arial"/>
        <b/>
        <color rgb="FFFF0000"/>
        <sz val="10.0"/>
      </rPr>
      <t xml:space="preserve">2025/10/17 部品出庫依頼中。
</t>
    </r>
    <r>
      <rPr>
        <rFont val="Arial"/>
        <color theme="1"/>
        <sz val="10.0"/>
      </rPr>
      <t xml:space="preserve">2025/11/21 リワーク完了、確認中。 X3の出力無(出庫依頼)
2025/11/27 X3交換をFSSC田野さんに依頼 (手すきの時に作業いただく)
</t>
    </r>
    <r>
      <rPr>
        <rFont val="Arial"/>
        <b/>
        <color rgb="FFFF0000"/>
        <sz val="10.0"/>
      </rPr>
      <t>2026/3/25 ジッタ値の改善を確認(WFM8300:0.04～0.05UI)</t>
    </r>
  </si>
  <si>
    <t>IC83？</t>
  </si>
  <si>
    <t>3QA7Z2AGX1254G</t>
  </si>
  <si>
    <t>〇</t>
  </si>
  <si>
    <t>MTX2基板 フルMTXチェックエラー
 DST58,59でエラー検出
 IO基板の交換で現象変わらず。</t>
  </si>
  <si>
    <r>
      <rPr>
        <rFont val="Arial"/>
        <color theme="1"/>
        <sz val="10.0"/>
      </rPr>
      <t xml:space="preserve">20240726　[コメント(秦)]MTX基板の交換でなおったという理解でよければクロスポイントデバイスの不良、もしくは、実装不良の可能性が高いと判断します。費用対効果の観点から廃棄は致し方ないと判断します。
20250212　3/10希望でIC2リワーク依頼
2025/3/7 リワーク上がり 確認スケジュール要調整(次出荷25年7月中旬 4月中に確認)
</t>
    </r>
    <r>
      <rPr>
        <rFont val="Arial"/>
        <color rgb="FFFF0000"/>
        <sz val="10.0"/>
      </rPr>
      <t>20250326　リワーク後、悪化。廃棄の方針。</t>
    </r>
    <r>
      <rPr>
        <rFont val="Arial"/>
        <color theme="1"/>
        <sz val="10.0"/>
      </rPr>
      <t>ｸﾘｰﾝﾙｰﾑ横通路側のグレー棚で保管
20250922　生産管理から廃棄せず再製作依頼あり。
20260310　再製作手配済み、部品入荷待ち。</t>
    </r>
  </si>
  <si>
    <t>R24125</t>
  </si>
  <si>
    <t>C</t>
  </si>
  <si>
    <t>MV-3240</t>
  </si>
  <si>
    <t>Window12,28にアサインされた映像が表示されない。</t>
  </si>
  <si>
    <t xml:space="preserve"> 2026/5/11 ※DC/DC EN6337QI実装  SDI-12G未対応品</t>
  </si>
  <si>
    <t>SRC26,27の入力映像が表示されない</t>
  </si>
  <si>
    <r>
      <rPr>
        <rFont val="Arial"/>
        <color theme="1"/>
        <sz val="10.0"/>
      </rPr>
      <t xml:space="preserve">2025/06/27調査待ち
2025/9/9 製造にて基板単品で入力確認の予定
</t>
    </r>
    <r>
      <rPr>
        <rFont val="Arial"/>
        <b/>
        <color rgb="FFFF0000"/>
        <sz val="10.0"/>
      </rPr>
      <t>2026/5/11 IC6(SRC27),IC7(SRC26)の出力を確認。製造部のオシロスコープでは正常に見える。
　※DC/DC EN6337QI実装  SDI-12G未対応品</t>
    </r>
  </si>
  <si>
    <t>R23992</t>
  </si>
  <si>
    <t>MV-4220MAIN</t>
  </si>
  <si>
    <t>メモリテストNG
 (M-F2-0/M-F2-1/M-F2-2/M-F2-3/M-F2-4/M-F2-5/M-F2-6/M-F2-7)</t>
  </si>
  <si>
    <r>
      <rPr>
        <rFont val="Arial"/>
        <color theme="1"/>
        <sz val="10.0"/>
      </rPr>
      <t xml:space="preserve">2024/3/26 D37が赤点灯する
2024/3/27 デバッグツールにてメモリNG箇所の伐分可能。操作方法は開発へ要確認。
2025/9/9 開発へ調査依頼案件とする
2025/12/18　開発担当案件(秦さんファイルより)
2026/1/7 RS開発部へ調査依頼のため引き渡し
20260116　開発調査結果（現品は製造に戻り）：
0xB0400012：0x0200つまりMEM2(Slave)のIC118､119､120が常時NG
このエリアのみで使われている電源は無い。+1.5V_DDR3_F2､+0.75V_MEM56_VTTは正常を確認。FPGA内UNIPHYはMaster/Slaveの2個一の設計なのでCLKは共通使用。MasterはOKでSlaveはNGなのでDDRとFPGAの配線が繋がってない可能性は無いか？
writeモード/readモードで確認するとNGのグループはOKに比べると波形のトグルが少ないように見えるが全くトグルしないような波形は無さそう。但しパットオンビア箇所のみ。FETプローブじゃないと分かり難い。どうしたものか・・・。
FPGAバージョンは09.26_fc.00_09.26_fd.00になっていた。9.21_921で確認してみよう。=&gt;同一箇所でNGを確認。
もう1つ古いデザインを書いて確認してみよう。=&gt;同一箇所でNGを確認。
FPGAの配置配線に依存しない現象のようなので、FDのMEM2に対してメモリチェックのみのデザインを作成してみよう。
W_COMが1にならないのでTESTが走らなかった。(TEST_ENにキャリブレーション結果がORされてたので外してやってみよう)
ExternalMemoryInterfaceTollKitの存在が抜けてました。それも同時に確認すればどのピンがNGなのか分かるかもしれない。
=&gt;EMIFで確認したところマージンレポートはread/write潰れてたがキャリブレーション時のreadは0-23dq/dqsでデータ開口が確認された24-31は閉じていて、write側は全滅。・・・ということはdqs3n/p,we辺りが怪しいかもしれない。
テストチェックでその辺を見てみよう。
=&gt;データは化けているが一部書けてそうな挙動にも見える。
映像確認してみよう。
=&gt;MEM2が担当しているClock3,4､LOGO5,6,7,8はまったく表示されなかった。
　CalibrationFailフラグを初期化開始許可フラグとしてるから全く動かない。
=&gt;映像見たいので外してコンパイルしてみよう。
　なんとなくwrite/readが出来ている画像だった。
FETオシロで各制御信号のOK/NGを観測してみよう。
半田面で波形が観測できればIC119側、観測できなければIC72側となる筈。
=&gt;dm/dps/ad/ba/cmd共半田面ではOK波形と変わらなかった。
DQ24-31のうちDQ26が変。
DQ26のREAD時の中間電位が700mV付近に対してNGは0V近辺。
ここで明らかな違いを確認。
WR時も正しい波形は出ていないように見える。
FPGA側のDQ26(IC72-BA19)の未半田かデバイス不良が要因の可能性あり。
しかし、DQ26のみであればEMIFのチェック結果は24-31以外はOKとなる筈。
DDR側(IC119)で未半田またはデバイス不良があれば辻褄が合う。
=&gt;該当箇所（FPGA：IC72、DDR3：IC119をX線でチェックしてもらおう
2026/1/16 X線検査依頼。開発部より受取り。
20260123　FPGA,DDR3をX線検査に出す予定(項番1033，1037，1866と同梱)
2026/02/16 リボール見積未回答のため、X線検査見積をMFGセンター経由で依頼中
2026/3/6 X線検査写真を受け取り、開発部へ確認のため引き渡し。
2026/3/13 半田実装は問題なさそうなので、DDR交換を予定。(開発部と方針を相談)
2026/3/16 DDR部品出庫依頼
2026/326 IC119リワーク準備
</t>
    </r>
    <r>
      <rPr>
        <rFont val="Arial"/>
        <color rgb="FF000000"/>
        <sz val="10.0"/>
      </rPr>
      <t>2026/4/13 リワーク戻り、現象改善せず。FPGAのリワーク実施は受注残(1式)に対し仕掛(29式)があるため実施は様子見。</t>
    </r>
    <r>
      <rPr>
        <rFont val="Arial"/>
        <b/>
        <color rgb="FFFF0000"/>
        <sz val="10.0"/>
      </rPr>
      <t xml:space="preserve">
20240414　佐藤さんの廃棄可否判断待ち。→ 55期下期廃棄予定。</t>
    </r>
  </si>
  <si>
    <t>E04379</t>
  </si>
  <si>
    <t>IC119</t>
  </si>
  <si>
    <t>3QA7D41K128</t>
  </si>
  <si>
    <t>開発調査待ち</t>
  </si>
  <si>
    <t>R24122</t>
  </si>
  <si>
    <t>メモリテストNG
 (M-F2-0/M-F2-1/M-F2-2/M-F2-3/M-F2-4/M-F2-5/M-F2-6/M-F2-7)
D39が赤点灯</t>
  </si>
  <si>
    <r>
      <rPr>
        <rFont val="Arial"/>
        <color theme="1"/>
        <sz val="10.0"/>
      </rPr>
      <t>2024/3/27 デバッグツールにてメモリNG箇所の伐分可能。操作方法は開発へ要確認。
2025/9/9 開発へ調査依頼案件とする
2025/12/18　開発担当案件(秦さんファイルより)
2026/1/7 RS開発部へ調査依頼のため引き渡し
20260116　開発調査結果（現品は製造に戻り）：
0xB0400012：0x0800つまりMEM4(Slave)のIC124､125､126が常時NG
このエリアのみで使われている電源は無い。+1.5V_DDR3_F2､+0.75V_MEM56_VTTは正常を確認。FPGA内UNIPHYはMaster/Slaveの2個一の設計なのでCLKは共通使用。MasterはOKでSlaveはNG
FPGAバージョンは09.26_fc.00_09.26_fd.00になっていた。9.21_921で確認してみよう。=&gt;同一箇所でNGを確認。
もう1つ古いデザインを書いて確認してみよう。=&gt;同一箇所でNGを確認。
FPGAの配置配線に依存しない現象のようなので、FDのMEM4に対してメモリチェックのみのデザインを作成＋EMIFで確認してみよう。
=&gt;テストチェック内容を見ると項1032に比べて結構惜しい感じでデータが崩れている。write/readは正常に動いているポイントがありそう。
=&gt;EMIFで確認するとdq/dqsグループ0,1,2は正常,3が異常となった。
　ここからUDPSn/p,DMの何れかがDDRかFPGA側で未半田ではないかと推測。(IC125のD3、B7､C7かIC72のH19､F19､G19）の未半田と予想。
映像確認してみよう。
=&gt;MEM4が担当しているClock7,8はまったく表示されなかった。
　CalibrationFailフラグを初期化開始許可フラグとしてるから全く動かない。
=&gt;映像見たいので外してコンパイルしてみよう。
　一部の映像にノイズが出ているが、write/readは出来ている画像だった。
半田面で波形が観測できればIC125側、観測できなければIC72側となる筈。
=&gt;dm/dps/dq/ad/ba/cmd共半田面ではOK波形と変わらなかった。IC125側の未半田かデバイス不良が要因と推測。
cmd全てを再確認してみよう。
=&gt;正常箇所と異常個所に違いは無かった。
=&gt;該当箇所恐らくDDR3(IC125)をX線でチェックしてもらおう
2026/1/16 X線検査依頼。開発部より受取り。
20260123　FPGA,DDR3をX線検査に出す予定(項番1033，1037，1866と同梱)
2026/02/16 リボール見積未回答のため、X線検査見積をMFGセンター経由で依頼中
2026/3/6 X線検査写真を受け取り、開発部へ確認のため引き渡し。
2026/3/13 半田実装は問題なさそうなので、DDR交換を予定 (開発部と方針を相談)
2026/3/16 DDR部品出庫依頼
2026/326 リIC125ワーク準備</t>
    </r>
    <r>
      <rPr>
        <rFont val="Arial"/>
        <color rgb="FF000000"/>
        <sz val="10.0"/>
      </rPr>
      <t xml:space="preserve">
2026/4/13 リワーク戻り、現象改善せず。FPGAのリワーク実施は受注残(1式)に対し仕掛(29式)があるため実施は様子見。</t>
    </r>
    <r>
      <rPr>
        <rFont val="Arial"/>
        <b/>
        <color rgb="FFFF0000"/>
        <sz val="10.0"/>
      </rPr>
      <t xml:space="preserve">
20240414　佐藤さんの廃棄可否判断待ち。→ 55期下期廃棄予定。</t>
    </r>
  </si>
  <si>
    <t>IC125</t>
  </si>
  <si>
    <t>起動しない</t>
  </si>
  <si>
    <r>
      <rPr>
        <rFont val="Arial"/>
        <color theme="1"/>
        <sz val="10.0"/>
      </rPr>
      <t>2024/11/29 CPUの起動が途中停止している。FPGA起動、メモリの起動チェックは正常
2025/5/13 IC146(+1.5V)の出力が+1.26V？
2025/8/8 IC146の電圧は要修正だがFPGAの起動には影響ないと思われる(MV-4200SDIの結果より)
2025/12/18　開発担当案件(秦さんファイルより)
2026/1/7 RS開発部へ調査依頼のため引き渡し
2026/1/29　開発調査結果（現品は製造に戻り）：
FPGAのコンフィグは正常終了している。DSPのブートが始まらない。最初のLED(D18,19)のチカチカが無いので、ブートローダーがコケている状態。
電源確認=&gt;問題無さそう
リセット確認=&gt;問題無さそう
部品実装=&gt;見た目では分からないが､部品面/半田面問題無さそう
CLK=&gt;25Mは問題無し、50Mn/pはブート後に設定されると思われカップリングのDSP側には変な78Mがいる。
ブート設定の各アドレスの電位
=&gt;R390のDSP_AES12がL期待に対してH(3V)となっている。
　それ以外のHは上がり切れず200mV近辺。
　FPGAコンフィグ中はL、コンフィグ後にHになっていた。
　RA44.6/3はH､IC51.1はH､IC51.7はL､RA42.4はL､RA42.5がH
　FPGAコンフィグ間のピン状態で見ると正常なので違うか？
　RA39､IC52の半田不良は見られない。CPLDもデータベリファイはOK
正常基板を見て違いを探そう。
=&gt;FPGAのブート終了まで電圧レベルが保持されていればブートモードが確定するので挙動としては問題ないさそう。　
ではどこが問題か？
FPGAコンフィグ終了後にDSPが一瞬FLASHのブートデータ領域を読もうとして失敗しているような挙動に見える。CLK/CS2/OEは動いている。
AED､AEAはFPGAコンフィグとは共通ではないのでその辺を見てみるか。
RA35.3(DSP_AEA6：J4)とRA41.4(DSP_AEA23：H4)で中間電位波形を観測。それ以外は正常。RA35と41は離れているがDSPのBGAでは隣り同士だった。CPLD側は離れている。
0Ωの導通を確認。RA35の反対側で見ると22Ωだった。正常基板は導通せず。
DSP(IC40)のBGAポイント(IC40：J4－IC40：H4)での半田ブリッジほぼ確定。
X線検査で半田ブリッジが確認出来れば、DSPのリワークで復旧が見込める。
→　上記開発の調査結果から、IC40のリワークを予定。
2026/1/29 RS開発部より返却。DSPの信号線がショート。リワーク指示。
2026/1/30 部品出庫依頼
2026/2/3 A在庫手配、出庫の可否検討中？(納期設定：2026/12/2)
2026/3/23 IC40リワークの戻り品を受領。動作確認済
20260401　出荷チェックを実施予定。</t>
    </r>
    <r>
      <rPr>
        <rFont val="Arial"/>
        <b/>
        <color rgb="FFFF0000"/>
        <sz val="10.0"/>
      </rPr>
      <t xml:space="preserve">
20240414　佐藤さんの廃棄可否判断待ち。→ 55期下期廃棄予定。</t>
    </r>
  </si>
  <si>
    <t>IC40</t>
  </si>
  <si>
    <t>3QA8C320D648C</t>
  </si>
  <si>
    <t>R24214
仕掛残2台</t>
  </si>
  <si>
    <t>MV-4200SDI</t>
  </si>
  <si>
    <t>映像にのノイズ</t>
  </si>
  <si>
    <r>
      <rPr>
        <rFont val="Arial"/>
        <color theme="1"/>
        <sz val="10.0"/>
      </rPr>
      <t xml:space="preserve">2025/5/9 別環境で確認中、再現しなくなった。洗浄剤をCN8、CN9に処置して調整へ
20250513　開発にて調査。
2025/6/13 部品出庫依頼
2025/9/9 部品出庫依頼書 再提出済
2025/9/18 リワーク依頼
2025/10/03 リワーク完了
2025/10/10 現象改善せず。分割画面表示に現象発生する。XPT設定は正常に表示する。
→質問中(25/12/16)
　本体含め、最新版の状態で確認しても駄目だったという理解で良い？
→回答(25/12/16)
　CLKバッファー交換し、最新版でもNGでした。来月以降より再調査
   いただく　
2025/12/18　開発担当案件(秦さんファイルより)
2026/1/9 　RS開発部へ調査依頼のため引き渡し
2026/01/29　開発調査結果（現品は製造に戻り）：
メモリチェックでOKを確認。起動もしている、映像が乱れている。
IC97を交換しても現象は改善しなかったという事になる。
前回調査して辿り着いた下記を見てみる必要がありそう。
　CLK_300_1p/n_F2：C1245､C1246(部品面)：変かも
　　※差動では触れないポイント
=&gt;前回測定時と比べると明らかな違いがあった。改善しているように見える。
　しかし現象は改善しないとなると別要因ということになる。
　※前回の測定に誤りがあった可能性は？・・・
　ここからは仕切り直した調査が必要になりそう。
=&gt;一旦、f1/2/3のclk入力､f2のtranceiver入力をオシロで観測してみよう。
C1229のIC82側のバイアスが0Vを確認。IC82.B2が未半田であれば説明がつく。ここは項1007の6月に調査した結果と全く同じポイント。
このポイントに何かあるのか？schを確認。
部品面で直接BGAのボールに繋がっている。リフロー熱としては外側なので有利な筈だが・・・。
X線検査で未半田かどうかを確認してもらおう。
未半田であれば再加熱が良い。リワークは項1007での失敗があるので恐い。
→　FPGA(IC82)側の未半田濃厚の為、X線検査で確認するか。
2026/1/29 RS開発部より返却。X線検査にてFPGAの半田状態を確認する。FPGAのリボールも見積もり中。
20260401　項番1866と共にX線検査へ出す予定。
</t>
    </r>
    <r>
      <rPr>
        <rFont val="Arial"/>
        <b/>
        <color rgb="FFFF0000"/>
        <sz val="10.0"/>
      </rPr>
      <t>2026/4/24 X線検査を受け取り、IC82-A2, IC82-B2がブリッジしている</t>
    </r>
  </si>
  <si>
    <t>E04078</t>
  </si>
  <si>
    <t>IC97</t>
  </si>
  <si>
    <t>3QAZ5TCDC1212
( CDCLVD1212RHAT)</t>
  </si>
  <si>
    <t>R24214
仕掛残3台</t>
  </si>
  <si>
    <t>メモリチェックエラー
 メモリチェックNG(1C_F2‗0/1C_F2_1/1C_F2_2/1C_F2_3/1C_F2_4/1C_F2_5/1C_F2_6/1C_F2_7)</t>
  </si>
  <si>
    <t xml:space="preserve"> 20250513　開発にて調査。
2025/5/9 時々NGとなるがOKの場合も有り。
  この後の対応方針：
・IC114(DDR3)の交換
・IC82(FPGA)の交換
の順番で良いと思われる。6/13に製造へ渡して交換依頼。
2025/6/26DDR3納入待ち
2025/9/9 部品出庫依頼書 再提出済
2025/9/18 リワーク依頼
2025/10/3 リワーク受け取り、 メモリエラー改善
2025/10/9 現象再現しないため、調整へ</t>
  </si>
  <si>
    <t>IC114</t>
  </si>
  <si>
    <t xml:space="preserve">3QA7D41K128
</t>
  </si>
  <si>
    <t>R24181</t>
  </si>
  <si>
    <t>HVS-6000</t>
  </si>
  <si>
    <t>ME_TOP</t>
  </si>
  <si>
    <t>小川</t>
  </si>
  <si>
    <t>microSDより起動せず</t>
  </si>
  <si>
    <r>
      <rPr>
        <rFont val="Arial"/>
        <color theme="1"/>
        <sz val="10.0"/>
      </rPr>
      <t xml:space="preserve">2024/4/10 TP51/52/56/57 GNDへ短絡(Q2取り外しでも変化なし)。IC64？
 2024/5/31 小川さん使用中
20241223　部品入手済み。20250110リワーク出し予定。
20250115　リワーク出し、1/31納期予定。
20250205　リワーク遅れ中。
2025/2/21 リワーク上がり 改善したが、 +3.3V～GNDショート　通電できずIC64。リワーク失敗か？
2025/2/26 IC64再手配 再リワーク予定
2025/3/3 部品入手
20250305　4/7予定でリワーク手配。
</t>
    </r>
    <r>
      <rPr>
        <rFont val="Arial"/>
        <color rgb="FFFF0000"/>
        <sz val="10.0"/>
      </rPr>
      <t>25/3/24 再リワーク品　+3.3Vと+1.2V_D2共にGNDショート　2回リワーク品の為、期末に廃棄予定。</t>
    </r>
    <r>
      <rPr>
        <rFont val="Arial"/>
        <color theme="1"/>
        <sz val="10.0"/>
      </rPr>
      <t xml:space="preserve">
20250922　生産管理から廃棄せず</t>
    </r>
    <r>
      <rPr>
        <rFont val="Arial"/>
        <color rgb="FFFF0000"/>
        <sz val="10.0"/>
      </rPr>
      <t>再製作依頼</t>
    </r>
    <r>
      <rPr>
        <rFont val="Arial"/>
        <color theme="1"/>
        <sz val="10.0"/>
      </rPr>
      <t>あり。</t>
    </r>
  </si>
  <si>
    <t>E04521-1</t>
  </si>
  <si>
    <t>IC64</t>
  </si>
  <si>
    <t>3QA8CAM335280</t>
  </si>
  <si>
    <t>×?</t>
  </si>
  <si>
    <t>R24283</t>
  </si>
  <si>
    <t>SDI</t>
  </si>
  <si>
    <t>坂下</t>
  </si>
  <si>
    <t>+2.5V出力異常(+0.9V程度）</t>
  </si>
  <si>
    <t>2024/9/3 +2.5VラインがGNDへ短絡
部品取り外し確認中
2025/9/2 部品出庫依頼中
2026/1/16 IC124の電源ピンがGNDに短絡。部品出庫依頼。
2026/2/9 リワーク準備中
2026/2/20 リワーク完了。現象改善を確認。ヒートラン後、組配引き渡し予定。
2026/2/26 組配へ引き渡し。修理完了。</t>
  </si>
  <si>
    <t>E05010</t>
  </si>
  <si>
    <t>IC81
IC124</t>
  </si>
  <si>
    <t>3QA62SIC438A
3QAZ5TCDC1212</t>
  </si>
  <si>
    <t>R23876</t>
  </si>
  <si>
    <t>FA-9500</t>
  </si>
  <si>
    <t>岡野</t>
  </si>
  <si>
    <t>NTSC設定でタイミングジッタNG
 PAL設定は問題無し</t>
  </si>
  <si>
    <t>2024/6/19 PLL回路のIC出力が不安定、交換のため出庫依頼
 2024/10/15 C993,C994交換後再現せず。IC87は交換せず
 2024/11/12 2課へ返却 (組配待ち)
2025/3/18 ヒートラン実施中
2025/4/1 現象再現
2025/12/25 X7交換、現象悪化。</t>
  </si>
  <si>
    <t>E03661-5</t>
  </si>
  <si>
    <t>IC87？</t>
  </si>
  <si>
    <t>3QA6Z5L1982QE</t>
  </si>
  <si>
    <t>R24284
仕掛残2台</t>
  </si>
  <si>
    <t>出力映像がNG、MENU画面も表示しない。他の制御は正常
 メモリチェック。内部TEST信号は正常</t>
  </si>
  <si>
    <t>25/6/27調査待ち
20250709　現品は不良棚にあり。
2025/7/22 RS開発部に協力いただき、C653-2ピン(FPGA側)がGNDへショートを確認。IC19の実装不良/故障？
2026/4/22 廃棄予定？シャーシ交換のため組配へ</t>
  </si>
  <si>
    <t>E05009</t>
  </si>
  <si>
    <t>IC19</t>
  </si>
  <si>
    <t>3QA7Z5SGSD8FG
(5SGSED8N2F45C2G)</t>
  </si>
  <si>
    <t>R24670
作番完了</t>
  </si>
  <si>
    <t>MBP-2144IF</t>
  </si>
  <si>
    <t>CODEC IF</t>
  </si>
  <si>
    <t>鐏</t>
  </si>
  <si>
    <t>VS引渡後、VSにてFPGAのデータ書換を行ったところボード認識されなくなった</t>
  </si>
  <si>
    <r>
      <rPr>
        <rFont val="Arial"/>
        <color theme="1"/>
        <sz val="10.0"/>
      </rPr>
      <t xml:space="preserve">2025/6/23 FPGA交換とFVよりアドバイスあったが、費用等含め修理するか廃棄するかは製造に任せるとのこと
20251008　基板原価 ¥197,500に対しFPGA価格 ¥118,268 と高額なので、リワークせず廃棄。
</t>
    </r>
    <r>
      <rPr>
        <rFont val="Arial"/>
        <color theme="1"/>
        <sz val="10.0"/>
      </rPr>
      <t>20251119　R24670の最後のシリアル(S/N.14962172)はRSD-350をシリアルのみ入庫する際に使用したため、当不良基板は余っている状況。修理不可の基板は、廃棄稟議に含めない。</t>
    </r>
  </si>
  <si>
    <t>IC1</t>
  </si>
  <si>
    <t>3QA7Z7V4852</t>
  </si>
  <si>
    <t>廃棄稟議に含めず。</t>
  </si>
  <si>
    <t>タイミングジッタ大
 タイミングジッタ 10UI以上</t>
  </si>
  <si>
    <t>2024/11/6 電源投入時に現象が発生していても、暫くすると収まる場合がある。
20250214　現品は、3課の不良品棚に有り。
20250709　現象再現せず確認継続中。調整作業卓
20250912　項番1004,1123の結果待ち。
20251216　項番1123同様、IC83のFPGA交換予定。
2026/2/9 フロントパネル旧塗装色のため、再塗装が必要
2026/3/31 フロントパネル交換済
2026/4/16  現象再現せず
2026/4/20 現象再現せず。再検査実施のため調整へ</t>
  </si>
  <si>
    <t>E03841</t>
  </si>
  <si>
    <t>20241107 開発へ調査依頼中。</t>
  </si>
  <si>
    <t>R24600
⇒R24318(不良作番変更)</t>
  </si>
  <si>
    <t>MFR-6100
⇒MFR-4100</t>
  </si>
  <si>
    <t>IC2の半田不良(浮き)</t>
  </si>
  <si>
    <r>
      <rPr>
        <rFont val="Arial"/>
        <color theme="1"/>
        <sz val="10.0"/>
      </rPr>
      <t xml:space="preserve">2024/8/26 MFGセンターへ返却(修正依頼)
 2024/10/7 MFGセンターより受取。2課へ
20250516 SONY以外の出荷予定無しにつき、引当て未定(SONY以外の海外など無難な案件引当て)
20250605 起動NG、別のMTX基板のコンフィグを邪魔してしまう状態。電圧確認できない構造の為、不良個所の特定できず。ショートチェックはOK。リワーク加熱上限(リフローで2回、DCDCコン後乗せリフローで1回、IC2交換で2回)
20250613　廃棄の方針。
</t>
    </r>
    <r>
      <rPr>
        <rFont val="Arial"/>
        <b/>
        <color rgb="FFFF0000"/>
        <sz val="10.0"/>
      </rPr>
      <t>20250717　55期廃棄予定。
20251028 出荷分確保が出来なかった為、R24318 MFR-4100 MTX基板と入れ替え</t>
    </r>
  </si>
  <si>
    <t>IC2(実装)</t>
  </si>
  <si>
    <t>△</t>
  </si>
  <si>
    <t>R24121</t>
  </si>
  <si>
    <t>MV-12PCO</t>
  </si>
  <si>
    <t>HDMI OUT</t>
  </si>
  <si>
    <t>後付けのDC/DC(+0.9)が起動しない
進捗表記載内容：立ち上がらなくなる</t>
  </si>
  <si>
    <t>25/10/31 初回は起動したが、それ以降、実装するMV-1200起動せず。
+0.9V出力していない。
2026/3/24 DC-DC交換し+0.9V正常出力確認、映像出力確認。修理完了。</t>
  </si>
  <si>
    <t>E04319</t>
  </si>
  <si>
    <t>DC-DC子基板
E04963</t>
  </si>
  <si>
    <t>R24073
仕掛残9台</t>
  </si>
  <si>
    <t>USF-10IP-IPA</t>
  </si>
  <si>
    <t>FRONT</t>
  </si>
  <si>
    <t>CPUが起動しない（IC7リワーク対象）
何回も起動しようとすと動作を繰り返す。</t>
  </si>
  <si>
    <t>2025.04/23 IC7リワーク部品手配
2025.07/25 リワーク戻り。
2025.08/04 正常起動を確認・未完調整
2025.08/28 USF-10IPSDI12-FS-Nとして調整（S/N:19170506）</t>
  </si>
  <si>
    <t>E04896</t>
  </si>
  <si>
    <t>IC7</t>
  </si>
  <si>
    <t>2025.08/28</t>
  </si>
  <si>
    <t>2025.08/04</t>
  </si>
  <si>
    <t>R24073
仕掛残7台</t>
  </si>
  <si>
    <t>ヒートラン後、ch5パケットロス</t>
  </si>
  <si>
    <t>症状発生時に開発に見てもらいましたが、明確な回答は得られませんでした。
20260601　事業統括本部からのR番整理指示により、55期下期廃棄予定。</t>
  </si>
  <si>
    <t>全chパケットロス、PTPロックしない</t>
  </si>
  <si>
    <t>R24650</t>
  </si>
  <si>
    <t>FPGAアップデートモードを繰り返す（IC7リワーク対象）</t>
  </si>
  <si>
    <t>2025.04/23 IC7リワーク部品手配
2025.07/25 リワーク戻り。
2025.07/31 長時間アップデートモードを繰り返す。
約30分位ヒートラン経過すると起動する時がある。
20260128　55期廃棄予定。
20260331　55期上期廃棄に入っていない。55期下期廃棄予定。</t>
  </si>
  <si>
    <t>×</t>
  </si>
  <si>
    <t>CPUが起動しない（IC7リワーク対象）
 何回も起動しようとすと動作を繰り返す。</t>
  </si>
  <si>
    <t>2025.04/23 IC7リワーク部品手配
2025.07/25 リワーク戻り。
2025.08/04 正常起動を確認・未完調整
2025.09/04 USF-10IPSDI12-FS-Nとして調整（S/N:19170900）</t>
  </si>
  <si>
    <t>2025.09/04</t>
  </si>
  <si>
    <t>2025.04/23 IC7リワーク部品手配
2025.07/25 リワーク戻り。
2025.08/04 3時間以上ヒートランしても起動せず。
20260128　55期廃棄予定。
20260331　55期上期廃棄に入っていない。55期下期廃棄予定。</t>
  </si>
  <si>
    <t>2025.04/23 IC7リワーク部品手配
2025.07/25 リワーク戻り。
2025.08/04 正常起動を確認・未完調整
2025.09/04 USF-10IPSDI12-FS-Nとして調整（S/N:19170901）</t>
  </si>
  <si>
    <t>2025.04/23 IC7リワーク部品手配
2025.07/25 リワーク戻り。
2025.08/04 正常起動を確認・未完調整
2025.09/04 USF-10IPSDI12-FS-Nとして調整（S/N:19170902）</t>
  </si>
  <si>
    <t>2025.04/23 IC7リワーク部品手配
2025.07/25 リワーク戻り。
2025.08/04 正常起動を確認・未完調整
2025.09/04 USF-10IPSDI12-FS-Nとして調整（S/N:19170903）</t>
  </si>
  <si>
    <t>2025.04/23 IC7リワーク部品手配
2025.07/25 リワーク戻り。
2025.08/04 正常起動を確認・未完調整
2025.09/04 USF-10IPSDI12-FS-Nとして調整（S/N:19170904）</t>
  </si>
  <si>
    <t>2025.04/23 IC7リワーク部品手配
2025.07/25 リワーク戻り。
2025.08/04 正常起動を確認・未完調整
2025.09/04 USF-10IPSDI12-FS-Nとして調整（S/N:19170905）</t>
  </si>
  <si>
    <t>+2.5V、+1.2Vが出力しない、+1.2VはGNDショート</t>
  </si>
  <si>
    <t>Decapモード時、5ch出力信号のAPCRCが常に変動</t>
  </si>
  <si>
    <t>症状発生時に開発に見てもらいましたが、明確な回答は得られませんでした。</t>
  </si>
  <si>
    <t>ヒートラン後、ch2パケットロス</t>
  </si>
  <si>
    <t>R24775
※項1399とダブリ</t>
  </si>
  <si>
    <t>基板破損（二課が所持）</t>
  </si>
  <si>
    <t xml:space="preserve">20250821　項番1399と重複
</t>
  </si>
  <si>
    <t>項番重複</t>
  </si>
  <si>
    <t>R24775
※項1394とダブリ</t>
  </si>
  <si>
    <t>ヒートラン後、パケットロス</t>
  </si>
  <si>
    <t xml:space="preserve">20250821　項番1394と重複
</t>
  </si>
  <si>
    <t>R24775</t>
  </si>
  <si>
    <t>ヒートラン後、CPUシャットダウン</t>
  </si>
  <si>
    <t>R24684</t>
  </si>
  <si>
    <t>MFR-8000</t>
  </si>
  <si>
    <r>
      <rPr>
        <rFont val="Arial"/>
        <strike/>
        <color theme="1"/>
        <sz val="10.0"/>
      </rPr>
      <t>MTX、</t>
    </r>
    <r>
      <rPr>
        <rFont val="Arial"/>
        <color theme="1"/>
        <sz val="10.0"/>
      </rPr>
      <t>EXT_SDI</t>
    </r>
  </si>
  <si>
    <t>門脇</t>
  </si>
  <si>
    <t>スロット10 OUT4 3G-SDI出力のみエラー（HD・SDはOK）MFR-16SDOでは3Gも正常です。</t>
  </si>
  <si>
    <t>2025/3/11　SDI_EXT　CARD側の不良でした。※MTX_CARDは組配グループへ返却しました。
⇒サービスメンテ機と入れ替えを予定(石川K確認)</t>
  </si>
  <si>
    <t>E04037</t>
  </si>
  <si>
    <t>R24598</t>
  </si>
  <si>
    <t>MV-1220</t>
  </si>
  <si>
    <t>IN8のSDI信号が表示されない、アナログ入力はOK</t>
  </si>
  <si>
    <r>
      <rPr>
        <rFont val="Arial"/>
        <color theme="1"/>
        <sz val="10.0"/>
      </rPr>
      <t>2024/11/1 IC208の入力までは正常？
2025/3/11 部品出庫依頼
2025/3/28 IC208交換したが改善せず。
2026/4/1 開発調査結果：波形を観測し、IN8のn側C2181のXPT側で波形が潰れていることを確認。XPT(M21352)のレジスタを確認したところ出力調整はSwingとDe-Emphasisのみであり、ch0ーch7は全て0x60(Swing：6,De-Emphasis：0)と同値が記載されていた。試しにch7の設定をMAXの0x77を書いてみたところ波形に変化はみられるが正常波形とはならない。
C2181(4.7U04B0)の両端の容量を計測。測定不可。他と変わらない。
C2181の両端の抵抗を計測。146Ω。他は133kΩと明らかに変。
C2181のXPT側とGND間の抵抗を計測。141Ω。他と変わらない。
C2181のFPGA側とGND間の抵抗を計測。0Ω。他は135kΩ明らかに変。
C2181を外してみるか。XPTの出力波形の正常を確認。
FPGA側のパターンは変わらず0Ωを確認。
FPGA側FPGA(IC49.D44)の半田ブリッジ濃厚。X線検査が必要という判断になる。C2181は取付必要。</t>
    </r>
    <r>
      <rPr>
        <rFont val="Arial"/>
        <b/>
        <color rgb="FFFF0000"/>
        <sz val="10.0"/>
      </rPr>
      <t xml:space="preserve">
20240414　佐藤さんの廃棄可否判断待ち。→ 55期下期廃棄予定。
</t>
    </r>
    <r>
      <rPr>
        <rFont val="Arial"/>
        <color theme="1"/>
        <sz val="10.0"/>
      </rPr>
      <t>2026/4/24 X線検査結果を受け取り。写真が項番1044と同じ？に見えるため、問合せ中。</t>
    </r>
  </si>
  <si>
    <t>E04999</t>
  </si>
  <si>
    <t>IC208</t>
  </si>
  <si>
    <t>3QA65M2135213</t>
  </si>
  <si>
    <t>R24318</t>
  </si>
  <si>
    <t>MFR-4100</t>
  </si>
  <si>
    <t>SRC28,34,36フルMTXチェックモードでエラー
 DST SLOT7,SLOT8で発生する。
 ESG-4100の信号を5.5CUHD 70mではエラー無し</t>
  </si>
  <si>
    <r>
      <rPr>
        <rFont val="Arial"/>
        <color theme="1"/>
        <sz val="10.0"/>
      </rPr>
      <t xml:space="preserve">4枚目(ロット跨ぎ3)※MFR-6100と同一基板、1328と同一問題
20250212　3/10希望でIC2リワーク依頼
2025/3/7 リワーク上がり 確認スケジュール要調整(次出荷25年5月末 5月初旬頃確認予定)
</t>
    </r>
    <r>
      <rPr>
        <rFont val="Arial"/>
        <color rgb="FFFF0000"/>
        <sz val="10.0"/>
      </rPr>
      <t>20250502 動作確認して左記現象は改善。別CHがNGとなった。
 Dest29 B側にノイズとエラー (フルMTX,ESG信号共に).SRC39,41,48,61 信号を全DSTでLV5490は認識できない(NoSignal)、LV5600は正常に表示、FA-9600はフォーマットを認識できるが白がかった映像になる。6Gは正常表示する為、B側？
基板入れ変えでは現象は移らず、MTX基板入替で現象が改善する為、リワーク基板がNG</t>
    </r>
    <r>
      <rPr>
        <rFont val="Arial"/>
        <color theme="1"/>
        <sz val="10.0"/>
      </rPr>
      <t xml:space="preserve">
20250922　生産管理から廃棄せず再製作依頼あり。</t>
    </r>
  </si>
  <si>
    <t>54期末廃棄予定</t>
  </si>
  <si>
    <t>再起動の度にアップデートモードを2~3回繰り返す</t>
  </si>
  <si>
    <t>2025.04/23 IC7リワーク部品手配
2025.07/25 リワーク戻り。
2025.07/31 コールドスタート時のみ、毎回アップデートモードに入る。
ヒートラン後は再起動してもアップデートモードは発生せず。
20260128　55期廃棄予定。
20260331　55期上期廃棄に入っていない。55期下期廃棄予定。</t>
  </si>
  <si>
    <t>2025.04/23 IC7リワーク部品手配
2025.07/25 リワーク戻り。
2025.07/31 正常起動を確認・未完調整
2025.09/04 USF-10IPSDI12-FS-Nとして調整（S/N:19171006）</t>
  </si>
  <si>
    <t>R24776</t>
  </si>
  <si>
    <t>USF-10IP-FSA</t>
  </si>
  <si>
    <t>基板アドレスC,0付近が破損</t>
  </si>
  <si>
    <r>
      <rPr>
        <rFont val="Arial"/>
        <color theme="1"/>
        <sz val="10.0"/>
      </rPr>
      <t xml:space="preserve">2024/11/21 基板カッター？
2024/11/28 現品確認のため、MFGセンターへ発送
</t>
    </r>
    <r>
      <rPr>
        <rFont val="Arial"/>
        <b/>
        <color theme="1"/>
        <sz val="10.0"/>
      </rPr>
      <t>基板破損のため廃棄</t>
    </r>
    <r>
      <rPr>
        <rFont val="Arial"/>
        <color theme="1"/>
        <sz val="10.0"/>
      </rPr>
      <t xml:space="preserve">
20260601　事業統括本部からのR番整理指示により、55期下期廃棄予定。</t>
    </r>
  </si>
  <si>
    <t>E04426</t>
  </si>
  <si>
    <t>Encap：全chがNo Inputとなる</t>
  </si>
  <si>
    <t>CPUが起動しない。データ書込みは成功する</t>
  </si>
  <si>
    <t>R24849
仕掛残2台</t>
  </si>
  <si>
    <t>MBP-C308</t>
  </si>
  <si>
    <t>MCODEC</t>
  </si>
  <si>
    <t>FAPGA書込み後、基板認識せず。
Lib＿TestやUpdateツールにVer等表示されない。</t>
  </si>
  <si>
    <t>2025/4/14 項番1442と同じ現象？
2025/5/23 リワーク依頼　⇒　コメントの誤り、未実施。原因不明
2026/3/11 不良切り分けの為、電源電圧+LED確認実施→問題なし
電圧とLEDが正常の場合はFPGAがあやしいとのこと(FV近藤さんより)
→FPGA交換後に改善した実績が殆どないため、開発からは廃棄又は交換しても治具扱い推薦と情報有り</t>
  </si>
  <si>
    <t>E04961</t>
  </si>
  <si>
    <t>FRONT取っ手部に基板欠け有り</t>
  </si>
  <si>
    <t>2024/11/25　開発(FPS森川さん)へ貸出
2026/6/1 製造部へ返却済</t>
  </si>
  <si>
    <t>R24993
仕掛残1台</t>
  </si>
  <si>
    <t>単品調整の映像チェックにて、IO3･4出力せず。
ツール上でのMXFファイル再生時、黒画面のままなため、入力(IO1･2)がNGの可能性も有り</t>
  </si>
  <si>
    <t>2024/11/27 FV開発部(永田さん)へ調査依頼のため引渡し
2026/3/11 FV開発より引取り
今後製造にて不良切り分け実施予定(デバイス入出力又はFPGAか？)</t>
  </si>
  <si>
    <t>開発調査中</t>
  </si>
  <si>
    <t>R24715</t>
  </si>
  <si>
    <t>HVS-490STDIO</t>
  </si>
  <si>
    <t>IO</t>
  </si>
  <si>
    <t>IC70(+2.5V) 4pin-GND間が短絡
IC68(+1.0V) TP4-GND間が短絡
(ZQ5301)</t>
  </si>
  <si>
    <t>25/2/19 シンテックDC/DCとFPGA損傷か？ シンテック交換しても見込み薄
25/10/27 シンテック(IC70),IC35出庫依頼
25/11/10 部品入手
25/11/21 リワーク上がり、ショートは改善。通電確認OK  組配に引き渡し
26/3/17 HVS-490 S/N,726に組み込み、調整検査完了後F5580113-01に出荷</t>
  </si>
  <si>
    <t>E04390</t>
  </si>
  <si>
    <t>IC35
IC70</t>
  </si>
  <si>
    <t>IC35 : 3QA7Z6VLX130T
IC70 : 3QJ0MPN12AD12</t>
  </si>
  <si>
    <t>起動せず。組立配線作業中にFAN動作が異常になった。</t>
  </si>
  <si>
    <t>2024/12/5 内部電源が正常に起動していない個所がある
　DC子基板(IC29 +3.3V)の出力無し
2023/3/19 DC/DC子基板交換。
2023/3/23 MAIN基板の起動を確認。組配へ</t>
  </si>
  <si>
    <t>E04814</t>
  </si>
  <si>
    <t>MBP-1100VS-P8S1に組込みVer.up後の再起動で認識せず。</t>
  </si>
  <si>
    <t>2024/12/18  FV開発部(近藤さん)へ調査依頼のため、引渡し。
2026/3/11 FV開発より引取り、フラッシュメモリ(IC35?)があやしいとアドバイス有り</t>
  </si>
  <si>
    <t>IC35?</t>
  </si>
  <si>
    <t>齋藤(門脇)</t>
  </si>
  <si>
    <t>SRC198映像が抜けない。
INPUT基板入替しても現象変わらず。
別のMTX基板では映像が正常に抜ける為、MTX基板に不良</t>
  </si>
  <si>
    <t>CN24 5a5b⇔C1339,C1340導通確認OK。CN24ピン確認⇒特に目立った異常無し
C1339,C1340再半田(割れ確認含め)⇒変わらず。MTX EXTにはついてこない。
⇒サービスメンテ機と入れ替えを予定(石川K確認)</t>
  </si>
  <si>
    <t>E04036</t>
  </si>
  <si>
    <t>IN8 HD,SD 画が出ない</t>
  </si>
  <si>
    <r>
      <rPr>
        <rFont val="Arial"/>
        <color theme="1"/>
        <sz val="10.0"/>
      </rPr>
      <t>2025/1/8 アナログコンポジットは表示される
2025/3/10 IC208 差動出力の片方が無信号。部品出庫依頼
2025/4/2　開発調査結果：C2181のFPGA側とGND間の抵抗を計測。0Ω。他は135kΩ明らかに変。
項番1358と同一事象。FPGA(IC49.D44)のX線検査が必要。</t>
    </r>
    <r>
      <rPr>
        <rFont val="Arial"/>
        <b/>
        <color rgb="FFFF0000"/>
        <sz val="10.0"/>
      </rPr>
      <t xml:space="preserve">
20240414　佐藤さんの廃棄可否判断待ち。→ 55期下期廃棄予定。</t>
    </r>
  </si>
  <si>
    <t>？</t>
  </si>
  <si>
    <t>R24221</t>
  </si>
  <si>
    <t>FRU-39D</t>
  </si>
  <si>
    <t>DISP</t>
  </si>
  <si>
    <t>開発</t>
  </si>
  <si>
    <t>S22に縦線ノイズ</t>
  </si>
  <si>
    <t>2025/1/17 MFGセンターへ取外し依頼
25/10/3  R番不足基板ない模様、既に完了か？</t>
  </si>
  <si>
    <t>E04304</t>
  </si>
  <si>
    <t>S22</t>
  </si>
  <si>
    <t>3QF6ISC15ANP4</t>
  </si>
  <si>
    <t>R24694</t>
  </si>
  <si>
    <t>SDI IN CARD</t>
  </si>
  <si>
    <t>イニシャライズの画面で止まって画がぶれる</t>
  </si>
  <si>
    <r>
      <rPr>
        <rFont val="Arial"/>
        <color theme="1"/>
        <sz val="10.0"/>
      </rPr>
      <t xml:space="preserve">2025/1/24 VerUPは出来て、Ver表示される
2025/5/9 イニシャル画面表示したまま停止。WebよりVer表示する。
20250513　開発にて調査。
2025/5/16(中尾)
　基板を入力すると出力の映像が乱れる。
　MAIN_F1をマスターにしても映像乱れが発生しているので、FPGA間通信
　(CustomPHY)は関係ないということになる。
　この場合SDI基板が出力に影響を出せるのはLMH1983のみとなる筈。
　LMHがUNLOCK状態だと永遠に再ロックするシーケンスが繰り返されていると推測。
　この後の作業(開発作業)
　　①SDI基板上のLMH周辺を見てみて変なポイントが無いかを確認する。
　　⇒LMHのHinに信号がいなかった。
　　　IC69の出力でいない。正常基板は波形いるので、CN9－IC69間が怪しい　
　IC69の入力にHp/nはいるか？⇒半田面だったので触れない。
　CN9の2.3ピンには信号は来ていました。IC69が怪しくなるので、
　IC69への電源(3端子コンデンサL126：半田面)は大丈夫か？等が気になる。
※270と同一現象
5/22夕方に製造へ渡しました。
2025/5/30 基板半田面を確認したところ、IC69が外れていた(パターン損傷)
</t>
    </r>
    <r>
      <rPr>
        <rFont val="Arial"/>
        <color rgb="FFFF0000"/>
        <sz val="10.0"/>
      </rPr>
      <t xml:space="preserve">20250611　改造対応で良いかQMと相談予定。
</t>
    </r>
    <r>
      <rPr>
        <rFont val="Arial"/>
        <color theme="1"/>
        <sz val="10.0"/>
      </rPr>
      <t>2025/6/12 IC69取付完了し動作確認、調整へ</t>
    </r>
  </si>
  <si>
    <t>IC69</t>
  </si>
  <si>
    <t>3QA62L4678EY</t>
  </si>
  <si>
    <t>R25063</t>
  </si>
  <si>
    <t>FRU-18D</t>
  </si>
  <si>
    <t>OLED(LCD16)に縦線ノイズ発生</t>
  </si>
  <si>
    <t>2025/2/4 MFGセンターへ取外し依頼
2025/2/14 MFGセンターより受取し組配へ</t>
  </si>
  <si>
    <t>E04303</t>
  </si>
  <si>
    <t>LCD16</t>
  </si>
  <si>
    <t>3QF6ISC01P</t>
  </si>
  <si>
    <t>SW CARD</t>
  </si>
  <si>
    <t>LCD2,LCD6の点灯不良</t>
  </si>
  <si>
    <t>2025/2/4 CN3-16 -CN3-18がショートしている。部品出庫依頼
2025/2/7　MFGセンターへ交換依頼</t>
  </si>
  <si>
    <t>E04302</t>
  </si>
  <si>
    <t>CN3</t>
  </si>
  <si>
    <t>3QG3DF1520P32</t>
  </si>
  <si>
    <t>OLED1~4表示エラー</t>
  </si>
  <si>
    <t>2025/2/6 CN3,CN4のコンタクト(金メッキ)部分に半田が付着
2025/3/12 MFGセンターへ部品交換依頼
2025/4/18 MFGセンターより受取し、組配へ</t>
  </si>
  <si>
    <t>CN3,CN4</t>
  </si>
  <si>
    <t>3QG3DF1520S08
( DF15(0.8)-20DS-0.65V )</t>
  </si>
  <si>
    <t>R25036
仕掛残1台</t>
  </si>
  <si>
    <t>項番1406と同じ現象
単品調整の映像チェックにて、IO3･4出力せず。
ツール上でのMXFファイル再生時、黒画面のままなため、入力(IO1･2)がNGの可能性も有り</t>
  </si>
  <si>
    <t>2025/2/27 FV開発部の調査待ち(項番 1406)
2026/3/11 今後製造にて不良切り分け実施予定(デバイス入出力又はFPGAか？)</t>
  </si>
  <si>
    <t>R24419
仕掛残2台</t>
  </si>
  <si>
    <t>REAR</t>
  </si>
  <si>
    <t>ー</t>
  </si>
  <si>
    <t>CPU2側通信せず（PC-LAN・MFR-LAN両方）2019年8月頃1度CPU2が立ちゴケしましたが、デモ機用としてそのまま入庫しました　その後F番・構成変更による再検査中に発生しました。（2021/3/12）2024年8月にConnectME不足により、ConnectME（2個共）のみ取り外された状態で残っています。</t>
  </si>
  <si>
    <t>2025/4/16　ConnectMEを実装して動作確認のみ(接続するかどうか)行いましたが、
正常に動作したので、メンテ機に使用する予定です。
※メンテ機に元々入っていた基板をＲ番へ引当てします。</t>
  </si>
  <si>
    <t>E03556-2</t>
  </si>
  <si>
    <t>SW</t>
  </si>
  <si>
    <t>LCD2,4,6,8に点灯不良</t>
  </si>
  <si>
    <t>2025/3/13 DISP基板のCN3,CN4にフラックス、半田が付着。MFGセンターへ交換依頼
2025/4/25 MFGセンターよりDISP基板受取、改善せず。
　SW基板のCN3-18ピン、20ピンが短絡。MFGセンターへ修正依頼
2025/5/19 MFGセンターにて修理完了。動作確認し組配へ</t>
  </si>
  <si>
    <t>3QG3DF1520P32
( DF15(3.2)-20DP-0.65V
 )</t>
  </si>
  <si>
    <t>R25098</t>
  </si>
  <si>
    <t>MAIN CARD</t>
  </si>
  <si>
    <t>IN8 HD,SD,3G 画が出ない</t>
  </si>
  <si>
    <r>
      <rPr>
        <rFont val="Arial"/>
        <color theme="1"/>
        <sz val="10.0"/>
      </rPr>
      <t>2025/3/28 同現象3式目。IN8のEqualizer出力は正常と思われる。後段のXptは片側(59ピン)の出力が異常。後段のFPGAの影響か？
2025/4/2　開発調査結果：C2181のFPGA側とGND間の抵抗を計測。0Ω。他は135kΩ明らかに変。項番1358と同一事象。FPGA(IC49.D44)のX線検査が必要。</t>
    </r>
    <r>
      <rPr>
        <rFont val="Arial"/>
        <b/>
        <color rgb="FFFF0000"/>
        <sz val="10.0"/>
      </rPr>
      <t xml:space="preserve">
20240414　佐藤さんの廃棄可否判断待ち。→ 55期下期廃棄予定。</t>
    </r>
  </si>
  <si>
    <t>R24599
仕掛残2台</t>
  </si>
  <si>
    <t>HVS-490MAIN</t>
  </si>
  <si>
    <t>MAIN CD</t>
  </si>
  <si>
    <t>KEYER1～4&amp;FLX KEY1～2 の2D_DVE出力せず（プリセットパターンは正常)</t>
  </si>
  <si>
    <t>25/4/11 IC37か近辺のDDR3あやしい
25/6/16 ・M/E1 A/B BUSノイズ(59.94i&amp;50i DVE ON/OFF関係なし) 
             ・M/E1 プリセットパターンNG
             ・KY1～4  FLX1,2 A/B BUS 2D_DVE NG　
                  IC8とIC27と周辺のDDR3か？</t>
  </si>
  <si>
    <t>E04389-3</t>
  </si>
  <si>
    <t>R24185</t>
  </si>
  <si>
    <t>HVS-6000M</t>
  </si>
  <si>
    <t>M/E BASE</t>
  </si>
  <si>
    <t xml:space="preserve">ME1 FPGA3の温度表示が良く冷えていてマイナス表示。
</t>
  </si>
  <si>
    <t>2025/4/9 SW開発部より、温度センサー関連で｢+1.25V＿VEF_C｣が正常な電圧レベルかを確認
2025/4/10 IC58の破損を確認
25/4/14 IC58 交換 確認未→組配基板棚にあり(25/9/19)</t>
  </si>
  <si>
    <t>E04535</t>
  </si>
  <si>
    <t>IC58</t>
  </si>
  <si>
    <t>3QA62REF3012
( REF3012AIDBZT )</t>
  </si>
  <si>
    <t>R25048
仕掛残2台</t>
  </si>
  <si>
    <t>SDI OUT 画が出ない。</t>
  </si>
  <si>
    <r>
      <rPr>
        <rFont val="Arial"/>
        <color theme="1"/>
        <sz val="10.0"/>
      </rPr>
      <t xml:space="preserve">25/10/28 HDMI_OUTは出る。IC83怪しい(26/3迄欠品中)
</t>
    </r>
    <r>
      <rPr>
        <rFont val="Arial"/>
        <b/>
        <color rgb="FFFF0000"/>
        <sz val="10.0"/>
      </rPr>
      <t>2026/4/16 引き合い数が少ないため、リワーク前に要確認</t>
    </r>
  </si>
  <si>
    <t>R24124</t>
  </si>
  <si>
    <t>MV-1640IP</t>
  </si>
  <si>
    <t>UNIT</t>
  </si>
  <si>
    <t>書込みできない</t>
  </si>
  <si>
    <t>25/7/31 X4002 未ハンダか？　センターへ確認依頼
20260601　センターへ問い合わせ中</t>
  </si>
  <si>
    <t>X4002</t>
  </si>
  <si>
    <t>3QZ6MSI2B3300</t>
  </si>
  <si>
    <t>FPS開発部</t>
  </si>
  <si>
    <t>LCD1に縦線ノイズ</t>
  </si>
  <si>
    <t>2025/4/23 MFGセンターへ取外し依頼
2025/5/19 LCD1実装し組配へ</t>
  </si>
  <si>
    <t>LCD1</t>
  </si>
  <si>
    <t>R23676</t>
  </si>
  <si>
    <t>USF-212BS</t>
  </si>
  <si>
    <t>MOTHER</t>
  </si>
  <si>
    <t>古谷</t>
  </si>
  <si>
    <t>組立中にCN14破損(ピン折れ)</t>
  </si>
  <si>
    <t>2025/5/2 発生は2022/11/15頃？(組配で保管)
2025/7/25 CN14リワーク完了。
　　QMのネットワーク基板の篏合確認後、組配へ引渡の予定
2025/8/5 組配へ引渡</t>
  </si>
  <si>
    <t>E04843</t>
  </si>
  <si>
    <t>CN14</t>
  </si>
  <si>
    <t xml:space="preserve">3QG3HSEC81801
</t>
  </si>
  <si>
    <t>R24372</t>
  </si>
  <si>
    <t>HVS-2240OUA</t>
  </si>
  <si>
    <t>SBC</t>
  </si>
  <si>
    <t>石黒</t>
  </si>
  <si>
    <t>OS書き込み中にｴﾗｰ発生し、正常起動しない。ｺｰﾙﾄﾞｽﾀｰﾄ時は起動するが、30分ほどで起動不良発生する。熱による動作不良の可能性あり。</t>
  </si>
  <si>
    <t>25/4/18 裏面ヒートシンクの放熱シート取り外し、他製品の放熱シートで調査
             →改善せず
　　　   購入品・保証期間外の為、廃棄か？(純正放熱シート廃棄）
　　　　代替品に交換、完了とする。</t>
  </si>
  <si>
    <t>2E04978</t>
  </si>
  <si>
    <t>9</t>
  </si>
  <si>
    <t>3QJ0SBC230N33</t>
  </si>
  <si>
    <t>OS書き込み中にｴﾗｰが発生。ﾒﾓﾘ、SSD変えても改善されず。しかし、扇風機などで、冷却すると書き込み及び操作が可能になるが、冷却をやめると、起動不良が発生する。1622と同じ現象の可能性あり。</t>
  </si>
  <si>
    <t>25/5/7 SW開発へ連絡　代替品交換後、単品にて通電し確認との事
25/5/8 SW開発引渡し(DIMM交換で改善、温度関連無い模様)
25/5/9 品質異常発行
25/11/10 品質異常回答なし</t>
  </si>
  <si>
    <t>OS書き込み後、ﾀｯﾁﾊﾟﾈﾙ側のﾓﾆﾀｰにﾃﾞｨｽﾌﾟﾚｲが右上に拡大表示される。再ｲﾝｽﾄｰﾙしても変わらず。</t>
  </si>
  <si>
    <t>25/5/8  SSD&amp;DIMM交換したが改善せず。　OS再インストールしたが改善せず
              代替品に交換、完了とする。</t>
  </si>
  <si>
    <t>R24953</t>
  </si>
  <si>
    <t>B</t>
  </si>
  <si>
    <t>・TP141 IC93(シンテック) +1.8V_KU ～GNDショート
・TP136 IC92 +0.95V_KU1 低抵抗値</t>
  </si>
  <si>
    <t>25/5/12 R24181と基板交換　R24181は、廃棄予定だが修理継続 IC93出庫依頼
25/5/15 部品入手
25/5/20 IC93 リワーク依頼(6/25希望)
25/6/9 リワーク上がり→改善せず　共通の電源供給先であるIC63手配
25/7/4 部品入手
25/7/8 IC63リワーク依頼（8/22納期)
25/7/24 リワーク上がり　正常起動確認→組配へ</t>
  </si>
  <si>
    <t>E04536</t>
  </si>
  <si>
    <t>IC93
IC63</t>
  </si>
  <si>
    <t>3QJ0MPN12AD20
3QA7ZKU0602</t>
  </si>
  <si>
    <t>×
〇</t>
  </si>
  <si>
    <t>R25054
仕掛残1台</t>
  </si>
  <si>
    <t>FA-9520</t>
  </si>
  <si>
    <t>LAN2(CN2)が通信しない</t>
  </si>
  <si>
    <t>2025/5/13 CN2部品交換依頼
2025/5/26 部品交換完了
2025/6/24 偶にLINKする？
2025/10/22 電源ON/OFFでLINKしたり、しなかったり。IC3 部品出庫
2025/11/4 IC3リワーク依頼
2025/11/14 DSP(IC3)交換したが改善せず。
20260206　LANPHYを交換予定。（IC6）</t>
  </si>
  <si>
    <t>E03661</t>
  </si>
  <si>
    <t>CN2
IC3
IC6</t>
  </si>
  <si>
    <t>3QE203211 ( 203211-E )
3QA8C320D648C
3QA8Z88E1111B</t>
  </si>
  <si>
    <t>R24298</t>
  </si>
  <si>
    <t>HVS-190I</t>
  </si>
  <si>
    <t xml:space="preserve">起動せず。　</t>
  </si>
  <si>
    <t xml:space="preserve"> </t>
  </si>
  <si>
    <t>E04919</t>
  </si>
  <si>
    <t>IC107</t>
  </si>
  <si>
    <t>起動せず。</t>
  </si>
  <si>
    <t>25/5/21 IC107 +1.8V_KU出力せず。部品出庫依頼
　　　  5PINと6PINショート、又は5PINがGNDへ短絡
25/5/29 部品入手済み
25/6/10 リワーク依頼(7/8納期)
25/6/20 リワーク上がり　ショート改善　起動確認未だ組配依頼中
25/7/30 ダウンロード実施、正常起動確認</t>
  </si>
  <si>
    <t>R24847</t>
  </si>
  <si>
    <t>HVS-3320OUA</t>
  </si>
  <si>
    <t>WIRING</t>
  </si>
  <si>
    <t>SW139押すと戻らない。</t>
  </si>
  <si>
    <t>SW139のキャップのバネが壊れていたため、交換。再検査必要。組配へ。
2025/11/14 交換後の再検査で異常なし S/NO.15へ実装</t>
  </si>
  <si>
    <t>E04979</t>
  </si>
  <si>
    <t>SW139</t>
  </si>
  <si>
    <t>3QF6K99S9MX</t>
  </si>
  <si>
    <t>DCDC子基板NG、FANが異常回転をし、起動しない。</t>
  </si>
  <si>
    <t xml:space="preserve">2025/5/30 DC/DC子基板交換し、調整へ　　　　　　　　　　　　　　　　　　　　　2025/06/03　S/N18860125入庫済み　子基板は不良棚へ　　　　</t>
  </si>
  <si>
    <t>18860125は入庫済み。DCDC子基板NG</t>
  </si>
  <si>
    <t>R24815</t>
  </si>
  <si>
    <t>MFR-16SDIB</t>
  </si>
  <si>
    <t>SDI_INPUT</t>
  </si>
  <si>
    <t>石黒(門脇)</t>
  </si>
  <si>
    <t>IN2 3Gのみ出力せず(HD,SDはOK) ショートもNG</t>
  </si>
  <si>
    <t>2025/6/6　スロット⑥に入れた時だけスロット⑤⑦ではOK
2025/6/12　別筐体で検査→画は出るようになったが､
                       CRCエラーは出る。現品は組配へ
2026/1/23　MFR-5000　NO.13560295と286のスロット①で確認したところ現象が再現しました。※スロット②に入れ替えたところ現象が出なくなりました。
2026/2/5　IC2部品出庫依頼（2/12出庫予定）
2026/2/27　基板をバラしてみたところCN18　3fピンが貫通していなかった為センターへ修正依頼しました。
                    （2026/3/13希望納期）
2026/5/29 MFGセンターより返却 (CN18交換)
2026/5/29　組配グループへ返却。</t>
  </si>
  <si>
    <t>E04117</t>
  </si>
  <si>
    <t>IC2
CN18</t>
  </si>
  <si>
    <t>3QA6Z2984IN</t>
  </si>
  <si>
    <t>R24074</t>
  </si>
  <si>
    <t>Encapモード時、PTPのReceiveがSkip表示になる</t>
  </si>
  <si>
    <t>R24683→R25213</t>
  </si>
  <si>
    <t>MFR-5000</t>
  </si>
  <si>
    <t>SRC65~97　温度上昇により、画が出なくなる。
(3G/HD/SD全て)※IC1付近をQ-REIで冷やすと出力する。NO.13560312の筐体で発生⇒NO.13560312はMTX交換で完了させる予定です。</t>
  </si>
  <si>
    <t>2025/6/24　組配GよりMTX基板を借りて入れ替えたところ正常。
2026/5/28　別筐体に組み込みして確認、同現象再現。
IC1出庫依頼（2026/6/5希望納期）※R24683はロット完了
している為、次作番のR25213としました。</t>
  </si>
  <si>
    <t>E03555-1</t>
  </si>
  <si>
    <t>IC1？</t>
  </si>
  <si>
    <t>3QA65M21161G5</t>
  </si>
  <si>
    <t>R24294</t>
  </si>
  <si>
    <t>HVS-490MF</t>
  </si>
  <si>
    <t>MU CPU</t>
  </si>
  <si>
    <t>720/59.94P時、しばらくすると映像乱れ若しくは出力しなくなる。　また、調整用ALLデータロード時、イベントデータ反映しない</t>
  </si>
  <si>
    <t>25/7/7 SW開発問い合わせ
25/7/8 イベントデータについて開発調査中
25/7/9 イベントデータについては、仕様変更に伴う動作との事
25/7/10 各フォーマットにて確認後、720/59.94Pに戻した。→再現しなくなった。しばらく様子見(S/NO.704へ実装中)
25/7/11 720/59.94P REF-INをBB設定時、REF_INの有無にかかわらず5分以上すると発生
25/7/16 IC56交換→改善せず
25/7/25 IC73 73℃以上にて発生か？　IC73 在庫なし(10月ごろ)
25/8/26 X5周辺回路 R496,497,501,502交換→改善せず
25/10/2 IC73 出庫依頼
25/10/21 IC73リワーク依頼(希望納期11月14日)
25/11/6 IC73リワーク実施、通電したが改善せず。改善の見込み無    廃棄検討中（基板再製作)</t>
  </si>
  <si>
    <t>E04391</t>
  </si>
  <si>
    <t>R24588
仕掛残1台</t>
  </si>
  <si>
    <t>MFR-39RUA</t>
  </si>
  <si>
    <t>S19砂嵐　S18・28・29砂嵐※発生頻度低いS19は毎回出る</t>
  </si>
  <si>
    <r>
      <rPr>
        <rFont val="Arial"/>
        <color theme="1"/>
        <sz val="10.0"/>
      </rPr>
      <t>25/9/25 S19 R269 0Ωのところ22Ω実装→改善せず
　　　   IC2 / IC5交換→改善せず
25/10/1  各押しボタン裏、乗数確認問題なし。IC3交換→改善せず。
25/10/2  S18出庫依頼
25/10/14 センターへ交換依頼（10/20希望)
25/10/22 S18交換し正常に点灯、ヒートランにて様子見
　　　　　押しボタン数か所で異常（砂嵐等）が出たり、
　　　　　出なかったりする。
2026/1/8　開発(</t>
    </r>
    <r>
      <rPr>
        <rFont val="Arial"/>
        <color rgb="FFEA4335"/>
        <sz val="10.0"/>
      </rPr>
      <t>RS開発石井さん)へ貸出中。</t>
    </r>
    <r>
      <rPr>
        <rFont val="Arial"/>
        <color theme="1"/>
        <sz val="10.0"/>
      </rPr>
      <t>（評価等で使用）</t>
    </r>
  </si>
  <si>
    <t>E04304-1</t>
  </si>
  <si>
    <t>R24932</t>
  </si>
  <si>
    <t>VOIP-BASE</t>
  </si>
  <si>
    <t>BASE</t>
  </si>
  <si>
    <t>鐏/FV深山</t>
  </si>
  <si>
    <t>VWS-1100-IPとして組込み出荷したが、電源起動後“起動batファイルが実行される”が完了しない</t>
  </si>
  <si>
    <r>
      <rPr>
        <rFont val="Arial, sans-serif"/>
        <color rgb="FF000000"/>
      </rPr>
      <t xml:space="preserve">2025/7/22 C359,C361交換し、調整へ
2025/8/1 動作確認する為、FV深山さんへ引渡した→改善せず
更なる調査は未着手。BASE基板はFVの棚にて保管中。
2026/4/29 FVよりIC28(3QA6Z5L1938QE)交換依頼有り
</t>
    </r>
    <r>
      <rPr>
        <rFont val="Arial, sans-serif"/>
        <b/>
        <color rgb="FFFF0000"/>
      </rPr>
      <t>(BASE基板は今後開発稟議購入予定)</t>
    </r>
  </si>
  <si>
    <t>E04773</t>
  </si>
  <si>
    <t>C359
C361
IC28</t>
  </si>
  <si>
    <t>3QCXN006B476
3QCXN010P225
3QA6Z5L1983QE</t>
  </si>
  <si>
    <t>R23955
仕掛残1台</t>
  </si>
  <si>
    <t>UNIT CD</t>
  </si>
  <si>
    <t>UNIT2　FPGAバージョン55.47.47になる</t>
  </si>
  <si>
    <t>2026/2/20 流用よりUNIT基板交換の予定。</t>
  </si>
  <si>
    <t>E04772A</t>
  </si>
  <si>
    <t>R24397</t>
  </si>
  <si>
    <t>POWER CD</t>
  </si>
  <si>
    <t>アラームが鳴る</t>
  </si>
  <si>
    <t>2025/8/4 金端を洗浄して再組配したところ、現象発生せず。</t>
  </si>
  <si>
    <t>E04058BS</t>
  </si>
  <si>
    <t>R24983</t>
  </si>
  <si>
    <t>MFR-1616R</t>
  </si>
  <si>
    <t>SDIO</t>
  </si>
  <si>
    <t>吉田</t>
  </si>
  <si>
    <t>プレスフィットコネクタ CN25,CN27の挿入が不完全</t>
  </si>
  <si>
    <t>2025/7/30 MFGセンターへ返却
2025/8/6 MFGセンターより戻り(昭栄通信工業)、組配へ</t>
  </si>
  <si>
    <t>E03727</t>
  </si>
  <si>
    <t>CN25,27</t>
  </si>
  <si>
    <t>3QG36469002-1</t>
  </si>
  <si>
    <t>ループバックAtoD、画出力せず</t>
  </si>
  <si>
    <t>2025/8/20 RS開発部が現象確認行ったところ、ループバック用のコネクタを接続した状態で電源起動すると認識する。RESET制御の追加が必要か？
2025/8/21 RESETを試みたが改善せず。</t>
  </si>
  <si>
    <t>R24811</t>
  </si>
  <si>
    <t>HVS-190OU</t>
  </si>
  <si>
    <t>OU MAIN</t>
  </si>
  <si>
    <t>PS2側で何も接続していないのにアラームステータスでERRと出る(通常は---)。</t>
  </si>
  <si>
    <t>25/8/21 CN13 アダプタ未接続時、2-3ピン接点ONならず。センターへ交換依頼
25/9/18 交換品受取→動作確認OK</t>
  </si>
  <si>
    <t>E04957</t>
  </si>
  <si>
    <t>CN13</t>
  </si>
  <si>
    <t>OU_SUB</t>
  </si>
  <si>
    <t>ラバースイッチMENU左上 緑点灯しない</t>
  </si>
  <si>
    <t>25/8/21 LED3 破損（表層欠落）→交換し改善</t>
  </si>
  <si>
    <t>E04958</t>
  </si>
  <si>
    <t>LED3</t>
  </si>
  <si>
    <t>3QB3SML512M</t>
  </si>
  <si>
    <t>R24445</t>
  </si>
  <si>
    <t>MV-4200IF</t>
  </si>
  <si>
    <t>IF CARD</t>
  </si>
  <si>
    <t>R231破損、C1113ついていない</t>
  </si>
  <si>
    <t>2025/8/22 部品出庫依頼
2025/10/6 MFGセンターにて修正、調整へ
2026/4/12 次回出荷時に組込み予定</t>
  </si>
  <si>
    <t>E04082</t>
  </si>
  <si>
    <t>R231
C1113</t>
  </si>
  <si>
    <t>3QDX6U03FS020(UCR03EWPFSR020)
3QCX6C71C475(GRM188C71C475KE21D)</t>
  </si>
  <si>
    <t>アライメントジッタ値が大きい 0.2以上</t>
  </si>
  <si>
    <r>
      <rPr>
        <rFont val="Arial"/>
        <color theme="1"/>
        <sz val="10.0"/>
      </rPr>
      <t xml:space="preserve">2025/8/22 Tektronixの波形モニタでは0.15UI⇒開発へ相談し出荷は不可とする
20251216　項番1123同様、IC83のFPGA交換予定。
</t>
    </r>
    <r>
      <rPr>
        <rFont val="Arial"/>
        <b/>
        <color rgb="FFFF0000"/>
        <sz val="10.0"/>
      </rPr>
      <t>2026/4/16 引き合い数が少ないため、リワーク前に要確認</t>
    </r>
  </si>
  <si>
    <t>R24049</t>
  </si>
  <si>
    <t>HVS-491OU</t>
  </si>
  <si>
    <t>OU SW12 CD</t>
  </si>
  <si>
    <t xml:space="preserve">SW121からSW124 押しても反応しない。点灯はする。キャップを入れ替えても現象は移動しない。 </t>
  </si>
  <si>
    <t>2025/8/25 SW125-1⇔SW124-1のパターンが断線？
2025/9/5 MFGセンターへ返却
2025/9/22 MFGセンターで修理完了。調整へ返却
2025/11/20 組配後の再検査で異常なし</t>
  </si>
  <si>
    <t>E04724</t>
  </si>
  <si>
    <t>SW125のパターン</t>
  </si>
  <si>
    <t>R24278</t>
  </si>
  <si>
    <t>MV-4200PCI</t>
  </si>
  <si>
    <t>HDMI</t>
  </si>
  <si>
    <t>製品評価のため開発部へ貸出したところ”+1.5V_DDR3”の不良</t>
  </si>
  <si>
    <t>2025/8/26 IC107(+1.5V)出力なし、GNDのショートなし。
2025/9/3 リワーク依頼中
2025/9/16 R1046(10KΩ)交換、出力、FPGA起動を確認。調整へ</t>
  </si>
  <si>
    <t>E04079</t>
  </si>
  <si>
    <t>IC107
R1046</t>
  </si>
  <si>
    <t xml:space="preserve">3QA62SIC438A
3QDX0CQF103 (RK73B1ETTP103J)
</t>
  </si>
  <si>
    <t>IN1 オーディオ出ない</t>
  </si>
  <si>
    <t>2025/9/3 開発部に現象確認いただき、調査依頼
2025/9/12 CN1-6ピンに半田不良
2025/9/16 MFGセンターへ返却(半田見直し)
2025/10/06 MFGセンターで再半田完了。調整へ (動作確認完了)</t>
  </si>
  <si>
    <t>CN1</t>
  </si>
  <si>
    <t>3QG3743201000 (74320-1000)</t>
  </si>
  <si>
    <t>IN6 オーディオ出ない</t>
  </si>
  <si>
    <t>2025/9/3 開発部に現象確認いただき、調査依頼
2025/9/12 CN6-7ピンに半田不良
2025/9/16 MFGセンターへ返却(半田見直し)
2025/10/06 MFGセンターで再半田完了。調整へ (動作確認完了)</t>
  </si>
  <si>
    <t>CN6</t>
  </si>
  <si>
    <t>2025/090/05</t>
  </si>
  <si>
    <t>LMK3328の書き込みができない</t>
  </si>
  <si>
    <t>R24963</t>
  </si>
  <si>
    <t>HVS-492WOU</t>
  </si>
  <si>
    <t>OU2_WIRING2</t>
  </si>
  <si>
    <t>タッチパネルを押しても反応しない。モニターは異常なしの上、他のボタンは反応する。なお、ワイヤリングに異常なし。</t>
  </si>
  <si>
    <r>
      <rPr>
        <rFont val="Arial"/>
        <color theme="1"/>
        <sz val="10.0"/>
      </rPr>
      <t xml:space="preserve">タッチパネル制御基板を交換したら正常に動作しました。代わりの制御基板の出庫依頼必要です。
2025/9/10 部品出庫依頼
25/9/19 部品受領→組配へ引き渡し
2025/12/12 品質異常報告書発行
</t>
    </r>
    <r>
      <rPr>
        <rFont val="Arial"/>
        <b/>
        <color rgb="FFFF0000"/>
        <sz val="10.0"/>
      </rPr>
      <t>2026/5/14 購買より商社へ発送</t>
    </r>
  </si>
  <si>
    <t>E04400</t>
  </si>
  <si>
    <t>3QJZ7PTPW1707</t>
  </si>
  <si>
    <t>R24179</t>
  </si>
  <si>
    <t>FA-9600</t>
  </si>
  <si>
    <t>17242749へ引当</t>
  </si>
  <si>
    <t>GENLOCKせず（3値・BB両方）
ロックステータス表示もしない</t>
  </si>
  <si>
    <r>
      <rPr>
        <rFont val="Arial"/>
        <color theme="1"/>
        <sz val="10.0"/>
      </rPr>
      <t>2024/12/16 IC82(SyncSep EL4511) 出力無し。
FPGA出力SYNC_RESETのレベルが0.5V程度のため、EL4511が起動しない
2025/9/10　1321より移行 
2025/10/14　組配グループへ仮組して納品依頼。
20260317　IC82交換したが動作変わらず。廃棄方針だった為部品取り基板になっている。</t>
    </r>
    <r>
      <rPr>
        <rFont val="Arial"/>
        <color rgb="FFFF0000"/>
        <sz val="10.0"/>
      </rPr>
      <t>55期下期廃棄の予定。</t>
    </r>
  </si>
  <si>
    <t>E04490</t>
  </si>
  <si>
    <t>IC82</t>
  </si>
  <si>
    <t>3QA6Z5EL4511</t>
  </si>
  <si>
    <t>R25274
作番完了</t>
  </si>
  <si>
    <t>MFR-TALM</t>
  </si>
  <si>
    <t>TALLY</t>
  </si>
  <si>
    <t>渡辺</t>
  </si>
  <si>
    <t>CN16実装不良（差し込み不足）</t>
  </si>
  <si>
    <t>2025/9/16 MFGセンターへ返却
2025/9/30 MFGセンターより受け取り。組配へ</t>
  </si>
  <si>
    <t>E03893</t>
  </si>
  <si>
    <t>CN16</t>
  </si>
  <si>
    <t>3QE203211 (203211)</t>
  </si>
  <si>
    <t>IN7 オーディオ出ない</t>
  </si>
  <si>
    <t>2025/9/3 開発部に現象確認いただき、調査依頼
2025/9/12 CN7-7ピンに半田不良 (開発部で手直し)
2025/9/16 MFGセンターへ返却(半田見直し)
2025/10/06 MFGセンターで再半田完了。調整へ (動作確認完了)</t>
  </si>
  <si>
    <t>CN7</t>
  </si>
  <si>
    <t>LED取付け位置不良。板金組込み時にLEDがフロントパネルから出る。
指示書 S12171あり</t>
  </si>
  <si>
    <t>2025/9/17 MFGセンターへ修正依頼
2025/9/30 MFGセンターより受け取り。組配へ</t>
  </si>
  <si>
    <t>D45～47</t>
  </si>
  <si>
    <t xml:space="preserve">3QB3L519EGW）(L-519EGW)
</t>
  </si>
  <si>
    <t>R23283</t>
  </si>
  <si>
    <t>IVS-200</t>
  </si>
  <si>
    <t>MAIN/SUB</t>
  </si>
  <si>
    <t>①初期化をしたら画が砂嵐になった。②PALのパラメータが初期値にならない。③BYPASS-OPERATEの切り替えで画が砂嵐になった。</t>
  </si>
  <si>
    <t>E03669/-2
/E03682</t>
  </si>
  <si>
    <r>
      <rPr>
        <rFont val="Arial"/>
        <color theme="1"/>
        <sz val="10.0"/>
      </rPr>
      <t xml:space="preserve">タッチパネル制御基板を交換したら正常に動作しました。代わりの制御基板の出庫依頼必要です。
2025/10/14 部品出庫依頼
2025/12/12 品質異常報告書発行
</t>
    </r>
    <r>
      <rPr>
        <rFont val="Arial"/>
        <b/>
        <color rgb="FFFF0000"/>
        <sz val="10.0"/>
      </rPr>
      <t>2026/5/14 購買より商社へ発送</t>
    </r>
  </si>
  <si>
    <t>HVS2240OUA</t>
  </si>
  <si>
    <t>GCP1X5000018
22400OUA:19550032</t>
  </si>
  <si>
    <t>OU_REBOOTを行うとSBCも再起動してしまう。背面のSW側を押しても同様の現象が発生する。切り分けしたところSBCに原因あり。</t>
  </si>
  <si>
    <t>25/9/29 OUCPU CN21-3PINのプルアップ用+3.3VがSBCより出力されていない。
　　　　SBC交換により復帰。品質異常については、保証期間超過の為、保留。
25/10/2 保証期間内（２年）、品質異常発行
26/4/29  現品発送忘れ、購買より改めて発送（修理は有償)</t>
  </si>
  <si>
    <t>R25103</t>
  </si>
  <si>
    <t>HVS-100DO</t>
  </si>
  <si>
    <t>SDI OUT CD</t>
  </si>
  <si>
    <t>HVS-490で調整検査中リブートを行うと全出力にてアイパターンが出なくなり、バージョンも表示されなくなる。その後リブートしても復帰しない。電源入れ切りで復帰するが、再現することを確認。</t>
  </si>
  <si>
    <t>25/10/1 25年4月より発生、開発問い合わせ中、解答未
25/10/7 改造指示書S12037-1行われていない
25/10/24 センターにて改造後、電源入り切り試験実施し改善。調整待ち
2025/10/30 全出力＋アイパターン検査及び未実施部分の調整検査完了 入庫待ち</t>
  </si>
  <si>
    <t>E03971-2</t>
  </si>
  <si>
    <t>S12037-1</t>
  </si>
  <si>
    <t>HVS-490で調整検査中NTSC→3Gに変更すると(リブートあり)全出力がMATT以外正常に表示されなくなる。電源入れ切りで復帰(リブートは×)。この現象は1795に似ている。</t>
  </si>
  <si>
    <r>
      <rPr>
        <rFont val="Arial"/>
        <color theme="1"/>
        <sz val="10.0"/>
      </rPr>
      <t xml:space="preserve">25/10/1 25年4月より発生、開発問い合わせ中、解答未
2025/10/3 品質保証本部、QMより、20回の電源ON/OFF試験にて選別とする
25/10/7 </t>
    </r>
    <r>
      <rPr>
        <rFont val="Arial"/>
        <b/>
        <color rgb="FFFF0000"/>
        <sz val="10.0"/>
      </rPr>
      <t xml:space="preserve">改造指示書S12037-1行われていない
</t>
    </r>
    <r>
      <rPr>
        <rFont val="Arial"/>
        <color theme="1"/>
        <sz val="10.0"/>
      </rPr>
      <t>2025/10/17 MFGセンターで改造作業実施済
25/10/24 センターにて改造後、電源入り切り試験実施し改善。完調整未
2025/10/30 全出力＋アイパターン検査及び未実施部分の調整検査完了 入庫待ち</t>
    </r>
  </si>
  <si>
    <t>R24425</t>
  </si>
  <si>
    <t>MFR-8AVDL12G</t>
  </si>
  <si>
    <t>AVDL</t>
  </si>
  <si>
    <t>AVDL3 12GショートケーブルでもCRCエラーが高頻度で発生する
電源起動後3分程度は発生しない。急冷をかけると改善するが温度が上がると再発する。
AVDL基板入れ替えで改善、差し直しでは改善しない。
AVDL設定した全DSTで現象が発生することを確認、1080/59.94pと2160/50pフォーマットでは発生せず。</t>
  </si>
  <si>
    <t>20251002 後日別筐体でも発生するか確認する
20251015 別の筐体でも30分前後でエラー頻度が同程度の現象が発生。
急冷で改善、温度上昇で再発する現象も確認。FPGA?
20251029 IC3出庫依頼(2160/59.94pのみ発生の為、FPGA不良と判断)
20251104 12/5希望でIC3リワーク依頼
20251119 リワーク品受け取り
20251126 動作確認してNG(2160/59.94p、1080/59.94pがNG、59.94iはOK)C331/C335交換⇒変わらず
20251127 C333/355出庫依頼
20251225 C333/355交換⇒現象変わらず
20260106 X2交換⇒CRC頻度は落ちたが起動後10分前後からエラー、温まるにつれ頻度上昇(2160/59.94pのみ高頻度、1080/59.94p温まるとエラー出ず？)</t>
  </si>
  <si>
    <t>E04698</t>
  </si>
  <si>
    <t>IC3</t>
  </si>
  <si>
    <t>3QA7ZKU0402</t>
  </si>
  <si>
    <t>15271044、
15271046～
15271048</t>
  </si>
  <si>
    <t>HVS-490に組み込んで電源ONすると、全出力のアイパターンが出ず、バージョンも表示されない。電源入れ切りで復帰する場合もあるが、再現する。
更にHVS-2000でもリブートを行うと、上記の現象が発生する。</t>
  </si>
  <si>
    <r>
      <rPr>
        <rFont val="Arial"/>
        <color theme="1"/>
        <sz val="10.0"/>
      </rPr>
      <t>25/10/1 25年4月より発生、開発問い合わせ中、解答未
2025/10/3 品質保証本部、QMより、20回の電源ON/OFF試験にて選別とする
25/10/7</t>
    </r>
    <r>
      <rPr>
        <rFont val="Arial"/>
        <b/>
        <color rgb="FFFF0000"/>
        <sz val="10.0"/>
      </rPr>
      <t xml:space="preserve"> 改造指示書S12037-1行われていない
</t>
    </r>
    <r>
      <rPr>
        <rFont val="Arial"/>
        <color theme="1"/>
        <sz val="10.0"/>
      </rPr>
      <t>2025/10/17 MFGセンターで改造作業25/10/24 センターにて改造後、電源入り切り試験実施し改善。完調整未実施済
2025/10/30 全出力＋アイパターン検査及び未実施部分の調整検査完了 入庫待ち</t>
    </r>
  </si>
  <si>
    <t>IO CARD</t>
  </si>
  <si>
    <t>FS ONにて黒出力</t>
  </si>
  <si>
    <t>25/10/2 IC62焼損している。また、+2.5V～GNDショート（どちらが主要因か不明)
25/10/21  IC62リワーク依頼(希望納期11月14日)
25/11/6 IC62リワーク品、通電→症状改善
26/1/20  HVS-490 S/NO.707へ実装</t>
  </si>
  <si>
    <t>IC62</t>
  </si>
  <si>
    <t>3QAZ5TCDC1212</t>
  </si>
  <si>
    <t>R24407</t>
  </si>
  <si>
    <t>MBP-344EX</t>
  </si>
  <si>
    <t>SDI_12G_CD_B</t>
  </si>
  <si>
    <t>受信特性(パソロジチェック)にてIN4-OUT4間のみエラーになる。ジッタは問題無し。
小基板のCD-Tは他の大基板CD-Bと組合せてもエラーがでないが、CD-Bは他のCD-Tと組合せてもエラーになる。</t>
  </si>
  <si>
    <t>2025/10/3 引き合い案件なし。R24407仕掛残の他3式は動作確認OK。</t>
  </si>
  <si>
    <t>E04612</t>
  </si>
  <si>
    <t>2課</t>
  </si>
  <si>
    <t>MicroSDからデータ書き込み不可</t>
  </si>
  <si>
    <t>2025/12/09 接点洗浄剤の吹き付けで改善。組配へ</t>
  </si>
  <si>
    <t>E04773-1</t>
  </si>
  <si>
    <t>R24294/R24599</t>
  </si>
  <si>
    <t>HVS-490MF/MAIN</t>
  </si>
  <si>
    <t>未確定</t>
  </si>
  <si>
    <t>17140707/18030832</t>
  </si>
  <si>
    <t>電源投入、リブート後、全出力のアイパターン及び画が出力されない。
一部のバージョンが正常に表示されない。
今回で2回目の現象発生です。切り分けまだ、原因UNIT未確定</t>
  </si>
  <si>
    <t>25/10/15 490MAIN:LED3,4,10が正常に点滅していないが電圧は正常に出力されている。再現性低い
26/1/20  再検査実施。症状再現しない為、海外デモ機（稟議#38372)へ引き当て→後日納期へ</t>
  </si>
  <si>
    <t>タッチパネルを押しても反応しない。モニターは異常なしの上、他のボタンは反応する。
TPU制御基板交換にて正常動作</t>
  </si>
  <si>
    <r>
      <rPr>
        <rFont val="Arial"/>
        <color theme="1"/>
        <sz val="10.0"/>
      </rPr>
      <t xml:space="preserve">代替品へ交換し正常動作確認
2025/12/12 品質異常報告書発行
</t>
    </r>
    <r>
      <rPr>
        <rFont val="Arial"/>
        <b/>
        <color rgb="FFFF0000"/>
        <sz val="10.0"/>
      </rPr>
      <t>2026/5/14 購買より商社へ発送</t>
    </r>
  </si>
  <si>
    <t>R24519</t>
  </si>
  <si>
    <t>周波数不良1.023994までのところ1.023993</t>
  </si>
  <si>
    <t>2025/10/28 RTC交換し、調整へ</t>
  </si>
  <si>
    <t>IC61</t>
  </si>
  <si>
    <t>3QA8RRV3029C2</t>
  </si>
  <si>
    <t>R25353
仕掛残1台</t>
  </si>
  <si>
    <t>LTG-60HS</t>
  </si>
  <si>
    <t>1UH_MAIN</t>
  </si>
  <si>
    <t>SDタイミングジッタOUT1,2 0.17以上　0.08位の時もある</t>
  </si>
  <si>
    <r>
      <rPr>
        <rFont val="Arial"/>
        <color theme="1"/>
        <sz val="10.0"/>
      </rPr>
      <t xml:space="preserve">2025/11/21 現象再現せず。振動による水晶発振器の共振か？
2025/12/03 SD-SDI入力で現象確認
2025/12/04 C379交換、現象再現しなくなった。
</t>
    </r>
    <r>
      <rPr>
        <rFont val="Arial"/>
        <b/>
        <color theme="1"/>
        <sz val="10.0"/>
      </rPr>
      <t>2026/04/16 WFM8300にて再現せず。調整へ再確認依頼</t>
    </r>
  </si>
  <si>
    <t>2PC1558D</t>
  </si>
  <si>
    <t>C379</t>
  </si>
  <si>
    <t>3QCXF1A105MMA</t>
  </si>
  <si>
    <t>R25175</t>
  </si>
  <si>
    <t>HTG-35U</t>
  </si>
  <si>
    <t>PALで立ち上がる事がある（再現性低い）</t>
  </si>
  <si>
    <t>2025/10/27 現象再現せず</t>
  </si>
  <si>
    <t>E03744</t>
  </si>
  <si>
    <t>2E0374</t>
  </si>
  <si>
    <t>立ち上がらない。0.9Vあるが、MUが起動しない。</t>
  </si>
  <si>
    <t>2025/10/30 改造DC/DC基板は正常に出力している
25/10/31 +0.9V出力していない。
2026/3/10 DC-DC出力は正常(単品出力：0.9V)
2026/3/24 DC-DC交換し+0.9V正常出力確認、映像出力確認。</t>
  </si>
  <si>
    <t>立ち上がらない。0.9Vのところ0mv</t>
  </si>
  <si>
    <t>2025/10/30 改造DC/DC基板は入力は正常だが出力なし。
2026/3/10 DC-DC出力NG
2026/3/24 DC-DC交換し+0.9V正常出力確認、映像出力確認。</t>
  </si>
  <si>
    <t>R25302</t>
  </si>
  <si>
    <t>IN12.17,20コンポジット出ない。リレー不良
リレーコイルON制御時に導通なし</t>
  </si>
  <si>
    <t>2025/11/6 リレー制御電圧は+2.95～2.96V。電圧印可時に導通しない。
2026/4/2 MFGセンターへ</t>
  </si>
  <si>
    <t>E04078-2</t>
  </si>
  <si>
    <t>RL12,17,20</t>
  </si>
  <si>
    <t>3QF9ARS30Y03</t>
  </si>
  <si>
    <t>IN12コンポジット出ない。リレー不良
リレーコイルON制御時に導通なし</t>
  </si>
  <si>
    <t>2025/11/6 リレー制御電圧は+2.92V。電圧印可時に導通しない。</t>
  </si>
  <si>
    <t>RL12</t>
  </si>
  <si>
    <t>IN14.17コンポジット出ない。リレー不良
リレーコイルON制御時に導通なし</t>
  </si>
  <si>
    <t>2025/11/6 リレー制御電圧は+2.92～2.94V。電圧印可時に導通しない。</t>
  </si>
  <si>
    <t>RL14,17</t>
  </si>
  <si>
    <t>IN16,19コンポジット出ない。リレー不良
リレーコイルON制御時に導通なし</t>
  </si>
  <si>
    <t>2025/11/6 リレー制御電圧は+2.95～2.96V。電圧印可時に導通しない。</t>
  </si>
  <si>
    <t>RL16,19</t>
  </si>
  <si>
    <t>IN11.19コンポジット出ない。リレー不良
リレーコイルON制御時に導通なし</t>
  </si>
  <si>
    <t xml:space="preserve">2025/11/5 リレー制御電圧は+2.93～2.96V。電圧印可時に導通しない。
</t>
  </si>
  <si>
    <t>RL11.19</t>
  </si>
  <si>
    <t>IN3.10.14.15.18コンポジット出ない。リレー不良
リレーコイルON制御時に導通なし</t>
  </si>
  <si>
    <t xml:space="preserve">2025/11/5 リレー制御電圧は+2.92～2.94V。電圧印可時に導通しない。
2026/1/23 RL14,RL15を品質異常報告するため取り外し。新規部品を取り付け済
 (50716M) </t>
  </si>
  <si>
    <t>RL3.10.14.15.18</t>
  </si>
  <si>
    <t>IN1.8～12.14～18コンポジット出ない。リレー不良
リレーコイルON制御時に導通なし。 (50716M)
MFGセンター改修後、IN10.11 SDI出力なし。
起動しなくなった。</t>
  </si>
  <si>
    <t>2025/11/18 リレー制御電圧は+2.94～2.96V。電圧印可時に導通しない。
2025/12/18 MFGセンターへリレー交換依頼　（50716M)
2026/1/14 MFGセンターより受取り
2026/2/5 RL10,11に半田不良有り、再半田を実施し、調整へ
2026/2/17 調整作業卓で故障発生。各電源電圧は正常を確認。CPLD/FPGAを認識できない</t>
  </si>
  <si>
    <t>RL1.8～12.14～18</t>
  </si>
  <si>
    <t>IN2.11コンポジット出ない。リレー不良
リレーコイルON制御時に導通なし</t>
  </si>
  <si>
    <t>2025/11/6 リレー制御電圧は+2.93～2.95V。電圧印可時に導通しない。</t>
  </si>
  <si>
    <t>RL2.11</t>
  </si>
  <si>
    <t>IN9.10.17.20コンポジット出ない。リレー不良
リレーコイルON制御時に導通なし</t>
  </si>
  <si>
    <t>2025/11/6 リレー制御電圧は+2.94～2.96V。電圧印可時に導通しない。</t>
  </si>
  <si>
    <t>RL9,10,17,20</t>
  </si>
  <si>
    <t>IN2.13.18コンポジット出ない。リレー不良 (50716M)
リレーコイルON制御時に導通なし</t>
  </si>
  <si>
    <r>
      <rPr>
        <rFont val="Arial"/>
        <color theme="1"/>
        <sz val="10.0"/>
      </rPr>
      <t xml:space="preserve">2025/11/6 リレー制御電圧は+2.92～2.96V。電圧印可時に導通しない。
</t>
    </r>
    <r>
      <rPr>
        <rFont val="Arial"/>
        <b/>
        <color theme="1"/>
        <sz val="10.0"/>
      </rPr>
      <t>2026/4/2 RL2,13,18交換実施</t>
    </r>
  </si>
  <si>
    <t>RL2.13,18</t>
  </si>
  <si>
    <t>IN16コンポジット出ない。リレー不良 (50716M)
リレーコイルON制御時に導通なし</t>
  </si>
  <si>
    <r>
      <rPr>
        <rFont val="Arial"/>
        <color theme="1"/>
        <sz val="10.0"/>
      </rPr>
      <t xml:space="preserve">2025/11/6 リレー制御電圧は+2.95V。電圧印可時に導通しない。
</t>
    </r>
    <r>
      <rPr>
        <rFont val="Arial"/>
        <b/>
        <color theme="1"/>
        <sz val="10.0"/>
      </rPr>
      <t>2026/4/2 RL16交換実施</t>
    </r>
  </si>
  <si>
    <t>RL16</t>
  </si>
  <si>
    <t>IN5コンポジット出ない。リレー不良 (50716M)
リレーON制御時に導通なし</t>
  </si>
  <si>
    <r>
      <rPr>
        <rFont val="Arial"/>
        <color theme="1"/>
        <sz val="10.0"/>
      </rPr>
      <t xml:space="preserve">2025/11/6 リレー制御電圧は+2.95。電圧印可時に導通しない。
</t>
    </r>
    <r>
      <rPr>
        <rFont val="Arial"/>
        <b/>
        <color theme="1"/>
        <sz val="10.0"/>
      </rPr>
      <t>2026/4/2 RL5交換実施</t>
    </r>
  </si>
  <si>
    <t>RL5</t>
  </si>
  <si>
    <t>IN18コンポジット出ない。リレー不良 (50716M)
リレーON制御時に導通なし</t>
  </si>
  <si>
    <r>
      <rPr>
        <rFont val="Arial"/>
        <color theme="1"/>
        <sz val="10.0"/>
      </rPr>
      <t xml:space="preserve">2025/11/6 リレー制御電圧は+2.94。電圧印可時に導通しない。
</t>
    </r>
    <r>
      <rPr>
        <rFont val="Arial"/>
        <b/>
        <color theme="1"/>
        <sz val="10.0"/>
      </rPr>
      <t>2026/4/3 RL18 交換実施</t>
    </r>
  </si>
  <si>
    <t>RL18</t>
  </si>
  <si>
    <t>IN6,18コンポジット出ない。リレー不良 (50716M)
リレーコイルON制御時に導通なし</t>
  </si>
  <si>
    <r>
      <rPr>
        <rFont val="Arial"/>
        <color theme="1"/>
        <sz val="10.0"/>
      </rPr>
      <t xml:space="preserve">2025/11/6 リレー制御電圧は+2.94～2.95V。電圧印可時に導通しない。
</t>
    </r>
    <r>
      <rPr>
        <rFont val="Arial"/>
        <b/>
        <color theme="1"/>
        <sz val="10.0"/>
      </rPr>
      <t>2026/4/3 RL6,18交換実施</t>
    </r>
  </si>
  <si>
    <t>RL6､RL18</t>
  </si>
  <si>
    <t>IN3.7.9.11.12.14.15.16.18コンポジット出ない。リレー不良。リレーコイルON制御時に導通なし (50716M)</t>
  </si>
  <si>
    <r>
      <rPr>
        <rFont val="Arial"/>
        <color theme="1"/>
        <sz val="10.0"/>
      </rPr>
      <t xml:space="preserve">2025/11/6 リレー制御電圧は+2.93～2.97V。電圧印可時に導通しない。
</t>
    </r>
    <r>
      <rPr>
        <rFont val="Arial"/>
        <b/>
        <color theme="1"/>
        <sz val="10.0"/>
      </rPr>
      <t>2026/4/6 RL3,7,9,11,12,14,15,16,18交換実施</t>
    </r>
  </si>
  <si>
    <t>RL3,7,9,11,12,14,15,16,18</t>
  </si>
  <si>
    <t>IN8.20コンポジット出ない。リレー不良。 (50716M)
リレーコイルON制御時に導通なし</t>
  </si>
  <si>
    <r>
      <rPr>
        <rFont val="Arial"/>
        <color theme="1"/>
        <sz val="10.0"/>
      </rPr>
      <t xml:space="preserve">2025/11/7 リレー制御電圧は+2.95V。電圧印可時に導通しない。
</t>
    </r>
    <r>
      <rPr>
        <rFont val="Arial"/>
        <b/>
        <color theme="1"/>
        <sz val="10.0"/>
      </rPr>
      <t>2026/4/7 RL8,20交換実施</t>
    </r>
  </si>
  <si>
    <t>RL8,20</t>
  </si>
  <si>
    <t>2025/11/7 メモリチェックエラー(NG(/C_F2-0/C_F2-1/C_F2-2/C_F2-3/C_F2-4/C_F2-5/C_F2-6/C_F2-7))、分割表示時のTITLE表示なし
2025/12/18　開発担当案件(秦さんファイルより)
2026/1/9 RS開発部へ調査依頼のため引き渡し
20260122　開発調査結果（現品製造戻り）：
D57(赤)点灯なのでキャリブレーションエラーでMEM1が該当する。FPGA(IC82）とDDR(IC107,108)の組み合わせでエラーが起きている。
映像を見てみよう。Windowの13,14,15(MEM1担当)が緑になっている。これはキャリブレーション失敗よりメモリへの読み書きを行っていない為と思われる。この時点で電源、表面上の実装不良は無関係。
=&gt;一応電源、実装の目視確認は問題無し。
キャリブレーションをパスしたデザインで映像を見てみよう。
=&gt;なんとかread/write出来ている画像を確認。FPGA/DDRのどちらかを切り分けする必要がありそう。
EMIFで確認してみよう。
=&gt;グループ2をスキップするとキャリブレーションがパスした。つまりG2に半田不良がいそうな雰囲気。画像をmacnicaに送ってどこに問題がありそうかアドバイスを貰おう。
オシロで波形を観測してみよう。
=&gt;基板単体だとSDI基板はメモリチェックが出来なかった。DIP_SWで走るデザインを作って確認しよう。未実装でした。
=write/read固定でデザインを作って確認してみよう。
 writeを確認。DQ18,19,22,23がNGだった。
 readも同様にDQ18,19,22,23がNGだった。
終端抵抗をみてみよう。
=&gt;R583,R584,R701,R702の240Ωは問題無し。
FPGA側のドライブ回路か、DDR側のMRS設定が出来ない等の問題があるように思われる。
マクニカよりNG同士が半田ブリッジを起こしている可能性は考えられるとの見解あり。DDR側は離れているが、FPGA側はDQ18,19とDQ22,23は隣り同士なので可能性ありそう。
X線検査でFPGA(IC82)､DDR(IC107,108)を見てもらおう。
2026/1/22 FPGAの半田ブリッジの可能性があるため、X検査依頼。開発部より受取り。
20260123　FPGA,DDR3をX線検査に出す予定(項番1033，1037，1866と同梱)
20260401　X線検査に出していなかった。項番1044と共にX線検査へ出す予定。
2026/4/24 Ｘ線検査の結果、FPGA/DDR共に半田は問題なさそう。</t>
  </si>
  <si>
    <t>IN7コンポジット出ない。リレー不良 (50716Ｍ)
リレーON制御時に導通なし
IN4にコンポジット入力が表示されない現象発生</t>
  </si>
  <si>
    <t>2025/11/12 リレー制御電圧は+2.95V。電圧印可時に導通しない。 (50716M) 
2026/4/7 RL7交換</t>
  </si>
  <si>
    <t>RL7</t>
  </si>
  <si>
    <t>IN16コンポジット出ない。リレー不良
リレーON制御時に導通なし</t>
  </si>
  <si>
    <t xml:space="preserve">2025/11/12 リレー制御電圧は+2.95V。電圧印可時に導通しない。
2025/12/18 MFGセンターへリレー交換依頼 (50716M) </t>
  </si>
  <si>
    <t>IN7.9.11.12.14.18.20コンポジット出ない。リレー不良
リレーコイルON制御時に導通なし</t>
  </si>
  <si>
    <t xml:space="preserve">2025/11/12 リレー制御電圧は+2.94～2.97V。電圧印可時に導通しない。
2025/12/18 MFGセンターへリレー交換依頼 (50716M) </t>
  </si>
  <si>
    <t>RL7,9,11,12,14,18,20</t>
  </si>
  <si>
    <t>IN19コンポジット出ない。リレー不良
リレーコイルON制御時に導通なし</t>
  </si>
  <si>
    <t xml:space="preserve">2025/11/13 リレー制御電圧は+2.97V。電圧印可時に導通しない。
2025/12/18 MFGセンターへリレー交換依頼 (50716M) </t>
  </si>
  <si>
    <t>RL19</t>
  </si>
  <si>
    <t>IN9.13.16コンポジット出ない。リレー不良
リレーコイルON制御時に導通なし</t>
  </si>
  <si>
    <t xml:space="preserve">2025/11/18 リレー制御電圧は+2.92～2.95V。電圧印可時に導通しない。
2025/12/18 MFGセンターへリレー交換依頼 (50716M) </t>
  </si>
  <si>
    <t>RL9,13,16</t>
  </si>
  <si>
    <t>IN10,20コンポジット出ない。リレー不良
リレーコイルON制御時に導通なし</t>
  </si>
  <si>
    <t xml:space="preserve">2025/11/18 リレー制御電圧は+2.95～2.97V。電圧印可時に導通しない。
2025/12/18 MFGセンターへリレー交換依頼 (50716M) </t>
  </si>
  <si>
    <t>RL10,20</t>
  </si>
  <si>
    <t>IN6.8.11コンポジット出ない。リレー不良
リレーコイルON制御時に導通なし</t>
  </si>
  <si>
    <t xml:space="preserve">2025/11/18 リレー制御電圧は+2.94～2.96V。電圧印可時に導通しない。
2025/12/18 MFGセンターへリレー交換依頼 (50716M) </t>
  </si>
  <si>
    <t>RL6,8,11</t>
  </si>
  <si>
    <t>IN1.9.14コンポジット出ない。リレー不良
リレーコイルON制御時に導通なし</t>
  </si>
  <si>
    <t xml:space="preserve">2025/11/19 リレー制御電圧は+2.94～2.97V。電圧印可時に導通しない。
2025/12/18 MFGセンターへリレー交換依頼 (50716M) </t>
  </si>
  <si>
    <t>RL1,9,14</t>
  </si>
  <si>
    <t>IN7.8コンポジット出ない。リレー不良
リレーコイルON制御時に導通なし</t>
  </si>
  <si>
    <t xml:space="preserve">2025/11/19 リレー制御電圧は+2.94～2.95V。電圧印可時に導通しない。
2025/12/18 MFGセンターへリレー交換依頼 (50716M) </t>
  </si>
  <si>
    <t>RL7,8</t>
  </si>
  <si>
    <t>立ち上がらない。IC148の出力電圧 +1.5Vない。リレー動作は未確認。</t>
  </si>
  <si>
    <t>2025/11/19 D91半田ショート改造箇所の未半田により+2.5V入力が断線。
2025/2/16 MFGセンターへ返却(2/18の便)</t>
  </si>
  <si>
    <t>D91</t>
  </si>
  <si>
    <t>3X4S12626</t>
  </si>
  <si>
    <t>IN15.18コンポジット出ない。リレー不良
リレーコイルON制御時に導通なし</t>
  </si>
  <si>
    <t>2025/11/19 リレー制御電圧は+2.92～2.95V。電圧印可時に導通しない。
2025/12/18 MFGセンターへリレー交換依頼</t>
  </si>
  <si>
    <t>RL15,18</t>
  </si>
  <si>
    <t>IN2.13.16.17コンポジット出ない。リレー不良
リレーコイルON制御時に導通なし</t>
  </si>
  <si>
    <t>2025/11/20 IN13は現象出ず。リレー制御電圧は+2.93～2.95V。電圧印可時に導通しない。
2025/12/18 MFGセンターへリレー交換依頼</t>
  </si>
  <si>
    <t>RL2,13,16,17</t>
  </si>
  <si>
    <t>IN2.5コンポジット出ない。リレー不良
リレーコイルON制御時に導通なし</t>
  </si>
  <si>
    <t>2025/11/20 IN2は再現しない。IN5は稀に発生する。電圧印可時に導通しない。</t>
  </si>
  <si>
    <t>RL2,5</t>
  </si>
  <si>
    <t>R24230</t>
  </si>
  <si>
    <t>USF-402AADC</t>
  </si>
  <si>
    <t>FRONT CARD</t>
  </si>
  <si>
    <t>電源+12Vラインの金端ショートによる金端焼損
（治具のUSF-212MFのMOTHER基板Slot10も焼損）
R24230の基板の金端が全体的に錆汚れがあった為、
洗浄実施</t>
  </si>
  <si>
    <t>金端焼損の為、修理不能（廃棄）</t>
  </si>
  <si>
    <t>E04520</t>
  </si>
  <si>
    <t>MU_CPU</t>
  </si>
  <si>
    <t>DIMM組み込み時にCN9-174ピン座屈</t>
  </si>
  <si>
    <t>2025/11/6 リワーク準備
2025/11/10 リワーク依頼
2025/11/21 リワーク受け取りし、組配へ
26/4/29 HVS-490MF S/NO.729に実装し調整検査完了</t>
  </si>
  <si>
    <t>CN9</t>
  </si>
  <si>
    <t xml:space="preserve">3QG6CN112S12
</t>
  </si>
  <si>
    <t>R24497</t>
  </si>
  <si>
    <t>MV-3240IP</t>
  </si>
  <si>
    <t>MAIN基板のプログラムを更新書込みした後、MAIN側のLAN(192.168.0.10)通信しない</t>
  </si>
  <si>
    <t>2025/11/10 RS開発部へ相談、機材引き渡し済み
2025/11/11 RS開発部より返却。FPGA Config用メモリのデータが壊れていると思われる。現品は調整へ。
　偶に発生する現象のため様子見とする。(対処法は説明済)</t>
  </si>
  <si>
    <t>IC55</t>
  </si>
  <si>
    <t>3QAAPM9905-05</t>
  </si>
  <si>
    <t>R24809</t>
  </si>
  <si>
    <t>HVS-190S</t>
  </si>
  <si>
    <t>AUDIO_IF</t>
  </si>
  <si>
    <t>フレキケーブルを差し込み出来ない。</t>
  </si>
  <si>
    <t>2025/11/10 異物が付着している。MFGセンターへ返却。
2025/12/12 MFGセンターより返却。洗浄したとのこと。組配へ
26/2/24 組配より受領。調整検査待ち</t>
  </si>
  <si>
    <t>E04922-1</t>
  </si>
  <si>
    <t>R24744</t>
  </si>
  <si>
    <t>MFR-9SDO</t>
  </si>
  <si>
    <t>OUTPUT</t>
  </si>
  <si>
    <t>6G EYEパターンレベル720mVに届かない。
製造年週：2252</t>
  </si>
  <si>
    <t>20251110 残1となる為、計上。MFR-9SDO12GAと同じ現象(22年後半、確認した限りでは41週あたりのものはNG？製造のものはレベルが低い、前半実装の基板がない為前半は不明)
20251113 メーカ回答：仕様変更なし。ばらつき、対策案開発確認中
20251204 同部品を使用のMFR-9SDO12GAで、2241まではOK、2252~NGまで絞り込み。開発からは①入る波形モニターを都度探す⇒製造所有のものは全てNGなので却下、②FAと同じくレベル調整を個別に行う⇒この方針であれば可能と連絡
20260211 開発より2月中に機能開放の評価が完了予定と連絡あり
20260309 3末完了予定に変更
20260406 チューニング変更資料受け取り→文章の訂正要望中
20260423 7/15出荷(0伝)にて使用予定</t>
  </si>
  <si>
    <t>E04851</t>
  </si>
  <si>
    <t>3QA6Z6G12281</t>
  </si>
  <si>
    <t>チューニングファイル変更で対応方針</t>
  </si>
  <si>
    <t>R24064</t>
  </si>
  <si>
    <t>HVS-6000ME</t>
  </si>
  <si>
    <t>ME BASE</t>
  </si>
  <si>
    <t>映像が位相ずれ（H方向) PGM/PRV/CLN関係なし</t>
  </si>
  <si>
    <t>25/11/19  前面LED点灯は正常、KEY出力正常。FPGA5,6が起動していない模様（バージョン表示なし）
2025/12/01 CN10の41(Feild)-42(GND)ピンがショート(半田ブリッジ) ⇒ MFGセンターへ返却
2026/1/19 MFGセンターより受取り  通電確認→改善。組配へ</t>
  </si>
  <si>
    <t>CN10</t>
  </si>
  <si>
    <t>3QG3F2308PV20
(FX23-80P-0.5SV20)</t>
  </si>
  <si>
    <t>起動せず。 (余剰修理品と交換&amp;海外デモ機返却分と交換)
ZQ5301</t>
  </si>
  <si>
    <t>25/11/11 　電源GNDショートなし 
25/11/13     X2-5PIN 未ハンダか？再ハンダ実施
25/11/14      通電し起動する事を確認したが、しばらくすると再起動が掛かる
L13焼損している。
25/11/19   1.8V /3.3V / 1.2V出力NG →電源シーケンスにより、+1.8V(IC76 シンテックDC/DC)NGか？
26/1/8  IC76リワーク依頼（希望納期2月６日）
26/2/24 IC76リワーク後、通電したが改善せず。+1.8V→+0.9V  FPGA IC30,45,56 怪しい？
修理困難</t>
  </si>
  <si>
    <t>IC76</t>
  </si>
  <si>
    <t>3QJ0MPN12AD20</t>
  </si>
  <si>
    <t>AUX OUTとME OUT、STILLとリエントリ取ると映像乱れる</t>
  </si>
  <si>
    <t>25/11/12 IC51怪しいか？
2025/11/14 R808破損。
26/1/8  センターへ交換依頼
2026/1/19 MFGセンターより受取り　通電確認→改善　組配へ</t>
  </si>
  <si>
    <t>E04536-1</t>
  </si>
  <si>
    <t>R808</t>
  </si>
  <si>
    <t>3QDX6HQD2200
(RK73H1JTTD2200F)</t>
  </si>
  <si>
    <t>R24447</t>
  </si>
  <si>
    <t>MV-4300MF</t>
  </si>
  <si>
    <t>FANアラーム点灯</t>
  </si>
  <si>
    <r>
      <rPr>
        <rFont val="Arial"/>
        <color theme="1"/>
        <sz val="10.0"/>
      </rPr>
      <t xml:space="preserve">2025/11/17 FANの部品変更により発生している。RS開発部で調査し対応中。
　設計閾値を見直す方針。11/19出荷分はR24247より1ケ借用して対応する。
</t>
    </r>
    <r>
      <rPr>
        <rFont val="Arial"/>
        <b/>
        <color rgb="FFFF0000"/>
        <sz val="10.0"/>
      </rPr>
      <t>FPGAの対策により対応完了。</t>
    </r>
  </si>
  <si>
    <t>E04440</t>
  </si>
  <si>
    <t>(3QZ4P-1569-03)</t>
  </si>
  <si>
    <t>FPGAの改修にて対策完了</t>
  </si>
  <si>
    <t>R24998</t>
  </si>
  <si>
    <t>FA-16IO-HB3G</t>
  </si>
  <si>
    <t>IO_C</t>
  </si>
  <si>
    <t>6a入力エラー・ノイズ　パソロジのみ
(カラーバー他ＯＫ)
ショートケーブルでもＮＧ</t>
  </si>
  <si>
    <t>2025/11/20 FA-1616HB3G(s/n.19080171)へ組み込み
2025/12/11 部品出庫依頼
2026/02/26 リワーク依頼 
2026/3/23 リワーク完了。
2026/3/26　正常動作確認。組配工程へ返却。</t>
  </si>
  <si>
    <t>E04898</t>
  </si>
  <si>
    <t>IC92</t>
  </si>
  <si>
    <t>3QA6Z6G3590</t>
  </si>
  <si>
    <t>R24641</t>
  </si>
  <si>
    <t>FA-1616MF</t>
  </si>
  <si>
    <t>電源ユニット</t>
  </si>
  <si>
    <t>19080268→
19080259→
19080231へ</t>
  </si>
  <si>
    <t>PS②側電源不安定。※HB-3Gが不足している為、同R番のHB-12Gの電源ユニットと入れ替えました。</t>
  </si>
  <si>
    <t>2025/11/20 FA-1616HB-3G→HB-12Gと入れ替え
25/11/27  電源ユニット振動で電源落ちる
25/11/28  電源が原因。切分の為、他ユニットへ載せ替えて電源投入したが、出力せず。以後、出力なし。品質異常発行
26/1/5  品質異常回答あり。電源ハンダ面のダイオード損傷。メーカー出荷時において異常無しとの事。代替品支給無しの為、新規出庫依頼し載せ替えにて完了とする。</t>
  </si>
  <si>
    <t>E04917</t>
  </si>
  <si>
    <t>電源</t>
  </si>
  <si>
    <t>3QJ0CME500A12 (CME500A-12)</t>
  </si>
  <si>
    <t>R24642</t>
  </si>
  <si>
    <t>FA-16MOIP</t>
  </si>
  <si>
    <t>SFP28</t>
  </si>
  <si>
    <t>FCS　エラーカウント停止せず</t>
  </si>
  <si>
    <t>2026/3/24　B系のみFCSエラーカウント出る。※LV5600
　　　　　　GUI→1B側だけFCSエラーカウント停止せず</t>
  </si>
  <si>
    <t>E04853-1</t>
  </si>
  <si>
    <t>R25377</t>
  </si>
  <si>
    <t>IVS-720HS</t>
  </si>
  <si>
    <t>最新データ(ソフト、FPGA)書込み後、正常に起動しない。</t>
  </si>
  <si>
    <t>2025/12/01 MACアドレス書込み後、起動するとD35が点灯しする。
　フロントメニューが変わらない。出力映像は有り。
2025/12/04 大阪へ問合せ。少し時間が掛かるとの返信有り。
2026/1/23 大阪よりIC60-41ピンがLowのままであると報告。
2026/1/28 部品出庫依頼</t>
  </si>
  <si>
    <t>PC1558-5</t>
  </si>
  <si>
    <t>IC60</t>
  </si>
  <si>
    <t>3QA5AV16T245</t>
  </si>
  <si>
    <t>R24177</t>
  </si>
  <si>
    <t>HD、3Gのパソロジ信号入力時にノイズが発生する</t>
  </si>
  <si>
    <r>
      <rPr>
        <rFont val="Arial"/>
        <color theme="1"/>
        <sz val="10.0"/>
      </rPr>
      <t xml:space="preserve">2025/12/01 不良履歴に無いため追加。大阪で調査したが解決せずに引き上げ。
</t>
    </r>
    <r>
      <rPr>
        <rFont val="Arial"/>
        <b/>
        <color theme="1"/>
        <sz val="10.0"/>
      </rPr>
      <t>2026/4/20 HD,3G共に現象再現せず (TG700(3G)+WFM8300)</t>
    </r>
  </si>
  <si>
    <t>R25294
R25370</t>
  </si>
  <si>
    <t>FA-16IO-B12G
FA-1616B-12G</t>
  </si>
  <si>
    <t>IO-B</t>
  </si>
  <si>
    <t>19120079
19080283</t>
  </si>
  <si>
    <t>I/O⑯入出力しない（FA-16IO-B12G　CN29）</t>
  </si>
  <si>
    <t>2025/12/2　CN29芯線部分のパターンに傷があり。導通無し。
　　　　　人の手によって傷がついたと思われる。パターンが切れている？
2025/12/03 MFGセンターへ返却。パターンが損傷していないか確認いただく
2025/12/12 MFGセンターより返却。調整へ
2026/2/24　調整グループにて正常動作確認。※修理完了。
2026/2/26　検査完了。</t>
  </si>
  <si>
    <t>E04897</t>
  </si>
  <si>
    <t>R24371</t>
  </si>
  <si>
    <t>HVS-AUX16C</t>
  </si>
  <si>
    <t>4式</t>
  </si>
  <si>
    <t>D2又はD3のLEDの赤が点灯しない。各基板に一個ずつ不良。</t>
  </si>
  <si>
    <t>2025/12/02 部品出庫依頼
2025/12/05 LED交換し、調整へ</t>
  </si>
  <si>
    <t>D2,D3</t>
  </si>
  <si>
    <t>3QB3L519EGW
(L-519EGW)</t>
  </si>
  <si>
    <t>SW6-8,12-14,18-20が点灯しない。押して反応はする。
IC9の3,4pinが半田ブリッジしている。</t>
  </si>
  <si>
    <t>2025/12/02 MFGセンターへ返却。LEDドライバーICのCLKとLEが半田でショートしている
2025/12/12 MFGセンターより返却。調整へ
2025/12/16 RU_CPU CD簡易組配後、LED正常動作確認。組配へ
2026/3/27 S/N122(元と同じ)として組配完了後、すべて異常なく調整検査完了。</t>
  </si>
  <si>
    <t>IC9</t>
  </si>
  <si>
    <t xml:space="preserve">3QA67T5916IPW
</t>
  </si>
  <si>
    <t>R24680</t>
  </si>
  <si>
    <t>HVS-NIF</t>
  </si>
  <si>
    <t>HVS-190S SLOT_C実装時、IN18出力せず。</t>
  </si>
  <si>
    <t>25/12/4  他のHVS-190Sへ実装すると正常出力。また、SLOT_A/B実装でも正常。
SW開発へ連絡済み。個別不良か不具合か不明</t>
  </si>
  <si>
    <t>1UHR3GSDI</t>
  </si>
  <si>
    <t>3GB-50P、60P映像乱れる</t>
  </si>
  <si>
    <r>
      <rPr>
        <rFont val="Arial"/>
        <color theme="1"/>
        <sz val="10.0"/>
      </rPr>
      <t xml:space="preserve">2025/12/16 MAIN/REARの原因箇所切り分け未実施。
2026/4/21 REAR基板交換し現象確認中。
</t>
    </r>
    <r>
      <rPr>
        <rFont val="Arial"/>
        <b/>
        <color theme="1"/>
        <sz val="10.0"/>
      </rPr>
      <t>2026/4/22 現象再現せず。入力信号の条件を悪くすると偶に発生する(FA-9500のフリーラン内部信号など)</t>
    </r>
  </si>
  <si>
    <t>R25367</t>
  </si>
  <si>
    <t>IN2側 Bypass側 導通なし。
リレー制御電圧OFF時に導通なし</t>
  </si>
  <si>
    <t>2025/12/02 MFGセンターよりリレー動作確認依頼品を受け取り(計4式)
2025/12/8 RL1がバイパス側に切り替わらない。リレー電圧+3.20V
　QMへ3D検査装置にて検査依頼</t>
  </si>
  <si>
    <t>E04490-5</t>
  </si>
  <si>
    <t>RL1</t>
  </si>
  <si>
    <r>
      <rPr>
        <rFont val="Arial"/>
        <color theme="1"/>
        <sz val="10.0"/>
      </rPr>
      <t xml:space="preserve">R24051
</t>
    </r>
    <r>
      <rPr>
        <rFont val="Arial"/>
        <strike/>
        <color theme="1"/>
        <sz val="10.0"/>
      </rPr>
      <t xml:space="preserve"> R23896</t>
    </r>
  </si>
  <si>
    <t>HVS-12STDIO</t>
  </si>
  <si>
    <t>FANの回転が上昇した後、通信断、その後接続を繰返す。</t>
  </si>
  <si>
    <r>
      <rPr>
        <rFont val="Arial"/>
        <strike/>
        <color theme="1"/>
        <sz val="10.0"/>
      </rPr>
      <t>仕掛週報に無し。</t>
    </r>
    <r>
      <rPr>
        <rFont val="Arial"/>
        <color theme="1"/>
        <sz val="10.0"/>
      </rPr>
      <t xml:space="preserve">
</t>
    </r>
    <r>
      <rPr>
        <rFont val="Arial"/>
        <strike/>
        <color theme="1"/>
        <sz val="10.0"/>
      </rPr>
      <t xml:space="preserve"> 20241004 廃棄</t>
    </r>
    <r>
      <rPr>
        <rFont val="Arial"/>
        <color theme="1"/>
        <sz val="10.0"/>
      </rPr>
      <t>⇒何故かR23896として廃棄されたのでリストに戻し。</t>
    </r>
    <r>
      <rPr>
        <rFont val="Arial"/>
        <b/>
        <color rgb="FFFF0000"/>
        <sz val="10.0"/>
      </rPr>
      <t>55期に必ず廃棄が必要</t>
    </r>
  </si>
  <si>
    <t>E04657</t>
  </si>
  <si>
    <t>R25221</t>
  </si>
  <si>
    <t>MFR-8SDI</t>
  </si>
  <si>
    <t>８SDI</t>
  </si>
  <si>
    <t>PCB ミーズリングのため廃棄</t>
  </si>
  <si>
    <r>
      <rPr>
        <rFont val="Arial"/>
        <color theme="1"/>
        <sz val="10.0"/>
      </rPr>
      <t>2025/12/17 未受付の案件。</t>
    </r>
    <r>
      <rPr>
        <rFont val="Arial"/>
        <b/>
        <color rgb="FFFF0000"/>
        <sz val="10.0"/>
      </rPr>
      <t>次回 廃棄申請。</t>
    </r>
  </si>
  <si>
    <t>E04229</t>
  </si>
  <si>
    <t>3QIE04229</t>
  </si>
  <si>
    <t>R24296</t>
  </si>
  <si>
    <t>基板実装失敗(FPGA他大きくずれている基板</t>
  </si>
  <si>
    <r>
      <rPr>
        <rFont val="Arial"/>
        <color theme="1"/>
        <sz val="10.0"/>
      </rPr>
      <t>20251217 入力漏れ、棚卸の数に含めるため追加。基板棚に置かれていた。</t>
    </r>
    <r>
      <rPr>
        <rFont val="Arial"/>
        <b/>
        <color rgb="FFFF0000"/>
        <sz val="10.0"/>
      </rPr>
      <t>担当者(記入者)は詳細情報を持っていない為、問い合わせされても回答できません。</t>
    </r>
  </si>
  <si>
    <t>廃棄予定</t>
  </si>
  <si>
    <t>R24262</t>
  </si>
  <si>
    <t>MFR-3100EX</t>
  </si>
  <si>
    <t>石川</t>
  </si>
  <si>
    <t>2025/12/17 RS開発部へ不良原因の調査依頼中。(石川さん経由)</t>
  </si>
  <si>
    <t>E04904</t>
  </si>
  <si>
    <t>R24137</t>
  </si>
  <si>
    <t>FA-16DNT</t>
  </si>
  <si>
    <t>ネットワーク接続不調</t>
  </si>
  <si>
    <r>
      <rPr>
        <rFont val="Arial"/>
        <color theme="1"/>
        <sz val="10.0"/>
      </rPr>
      <t xml:space="preserve">2025/12/19 </t>
    </r>
    <r>
      <rPr>
        <rFont val="Arial"/>
        <color rgb="FFFF0000"/>
        <sz val="10.0"/>
      </rPr>
      <t>FPS開発部より廃棄希望（開発より受入れ）</t>
    </r>
    <r>
      <rPr>
        <rFont val="Arial"/>
        <color theme="1"/>
        <sz val="10.0"/>
      </rPr>
      <t xml:space="preserve">
25/12/23  CN3 各ピン再ハンダ→改善　DNTモジュールは不良の為、出庫依頼。修理不可。55期下期廃棄の予定。</t>
    </r>
  </si>
  <si>
    <t>起動しない時が時々ある</t>
  </si>
  <si>
    <r>
      <rPr>
        <rFont val="Arial"/>
        <color theme="1"/>
        <sz val="10.0"/>
      </rPr>
      <t xml:space="preserve">2025/12/19 </t>
    </r>
    <r>
      <rPr>
        <rFont val="Arial"/>
        <color rgb="FFFF0000"/>
        <sz val="10.0"/>
      </rPr>
      <t>FPS開発部より廃棄希望（開発より受入れ）</t>
    </r>
    <r>
      <rPr>
        <rFont val="Arial"/>
        <color theme="1"/>
        <sz val="10.0"/>
      </rPr>
      <t xml:space="preserve">
25/12/23  DNTモジュール不良→出庫依頼　DNT基板は、コールドスタート時に発生。FPGAは起動しているが、LANコネクタLEDが、停止もしくは消灯している。
IC1かX1があやしいか？修理不可。55期下期廃棄の予定。</t>
    </r>
  </si>
  <si>
    <t>フルMTXチェック SRC41/70エラー(B側)
I/O入れ替えで現象は移らない
5件目(6100では出たが4100では出ない不良含めると7件目)</t>
  </si>
  <si>
    <t>251222 過去同種の不良でリワーク成功が4台中1台の為、クロスポイントICの価格が高い為、費用対効果の観点から現時点ではリワークはせず再制作方針。該当するピン番号を確認し、アイオン電子に3DでX線検査して頂く予定(半田不良ではないことを確認する)</t>
  </si>
  <si>
    <t>基板実装失敗(D1パターン剥がれ)</t>
  </si>
  <si>
    <t>20251223 棚卸の数に含めるため追加。基板棚に置かれていた。
2025/12/25 IC56-63⇔CN14-1は導通有り</t>
  </si>
  <si>
    <t>廃棄検討</t>
  </si>
  <si>
    <t>R25065</t>
  </si>
  <si>
    <t>MFR-31PS</t>
  </si>
  <si>
    <t>POWER2</t>
  </si>
  <si>
    <t>電源起動せず
改造作業(S12250)が実施されていない(ロット30枚全数)</t>
  </si>
  <si>
    <t>2025/1/5 28枚センターへ返却、2枚石川さん対応(1/14急ぎ分)
2026/02/16 1枚受け取りし、組配へ</t>
  </si>
  <si>
    <t>R25202</t>
  </si>
  <si>
    <t>HVS-49DVE</t>
  </si>
  <si>
    <t>EXPAND CRAD</t>
  </si>
  <si>
    <t>3G FLX_KEY 2DDVEをONにするとKEY出力せず。
基板目視確認後、通電したがしばらくしてC1131焼損
(ZQ5301)</t>
  </si>
  <si>
    <t>26/1/8 通電前のショートチェックでは問題なかった。焼損後はGNDとショート状態
26/1/15 C1131取り外し。IC40(TP15) +1.3V～GNDショート、
IC36(TP11) +1.0V_DVE2～GND　抵抗値低い
＆TP15との抵抗値低い。また、IC35(TP10)+1.0V_DVE1(TP10)～TP15 抵抗値低い　IC40と各FPGA NGか？
改善見込み低いか？</t>
  </si>
  <si>
    <t>E04410</t>
  </si>
  <si>
    <t>R25436</t>
  </si>
  <si>
    <t>DSK-400</t>
  </si>
  <si>
    <t>F CPU</t>
  </si>
  <si>
    <t>渡部</t>
  </si>
  <si>
    <t>ENC1の品番違い。(REC16Bが実装されている)</t>
  </si>
  <si>
    <t>2026/1/9 MFGセンターへ返却(ロット全数)
2026/1/16 MFGセンター交換完了し組配へ</t>
  </si>
  <si>
    <t>E04263-1</t>
  </si>
  <si>
    <t>ENC1</t>
  </si>
  <si>
    <t xml:space="preserve">3QFZ16A25M7
REC16A25-201-M/E
</t>
  </si>
  <si>
    <t>出力信号が安定しない。</t>
  </si>
  <si>
    <t>2026/1/14　UNIT基板CN4017のピンが曲がってしまった。
2026/2/25　部品出庫依頼（2026/3/4希望納期）
2026/3/2　部品入手（手配表作成依頼）
2026/3/4　手配表発行済　
　　　　　センターへリワーク依頼。（2026/4/3希望納期）
2026/3/24　センターより返却、正常動作確認。</t>
  </si>
  <si>
    <t>E04772-1</t>
  </si>
  <si>
    <t>CN4017</t>
  </si>
  <si>
    <t>3QG0SEAF20S10</t>
  </si>
  <si>
    <t>HDタイミングジッタ0.80UI以上（1.10UI）</t>
  </si>
  <si>
    <r>
      <rPr>
        <rFont val="Arial"/>
        <color theme="1"/>
        <sz val="10.0"/>
      </rPr>
      <t xml:space="preserve">2026/1/19 C378,C379交換
2026/2/6 現象再現
</t>
    </r>
    <r>
      <rPr>
        <rFont val="Arial"/>
        <b/>
        <color theme="1"/>
        <sz val="10.0"/>
      </rPr>
      <t xml:space="preserve">2026/4/21 部品出庫依頼 (X7)
</t>
    </r>
    <r>
      <rPr>
        <rFont val="Arial"/>
        <color theme="1"/>
        <sz val="10.0"/>
      </rPr>
      <t>2026/5/7 X7部品交換実施。動作確認中。</t>
    </r>
  </si>
  <si>
    <t>C379
X007？</t>
  </si>
  <si>
    <t>3QCXF1A105MMA
3QZ6C404H0270</t>
  </si>
  <si>
    <t>R25370</t>
  </si>
  <si>
    <t>LAN1　通信せず</t>
  </si>
  <si>
    <r>
      <rPr>
        <rFont val="Arial"/>
        <color theme="1"/>
        <sz val="10.0"/>
      </rPr>
      <t>26/1/16  cpu基板が起動していない模様。電源電圧は問題なし
26/1/19  ハンダ面 c421/c442にまたがり異物あり（マスキングテープ片？)絶縁されていたが、除去後に起動する事を確認。組配へ再組立てを依頼.
26/1/20 調整に受入れ
2026/2/6　調整にて正常動作確認しました。
2026/2/26　検査完了。</t>
    </r>
    <r>
      <rPr>
        <rFont val="Arial"/>
        <color rgb="FFFF0000"/>
        <sz val="10.0"/>
      </rPr>
      <t>(FA-1616B-12G・NO.19080283</t>
    </r>
    <r>
      <rPr>
        <rFont val="Arial"/>
        <color theme="1"/>
        <sz val="10.0"/>
      </rPr>
      <t>)</t>
    </r>
  </si>
  <si>
    <t>R25433</t>
  </si>
  <si>
    <t>FA-10RU</t>
  </si>
  <si>
    <t>GPI3 全GPI_OUT出力が点滅する(常時点灯が正常)</t>
  </si>
  <si>
    <t>260119 部品出庫依頼
260126 交換品受け取り、データを書き込めるが、DSP側で読み取れず</t>
  </si>
  <si>
    <t>E04022</t>
  </si>
  <si>
    <t>IC101</t>
  </si>
  <si>
    <t>3QA7E2210F256</t>
  </si>
  <si>
    <t>R25345</t>
  </si>
  <si>
    <t>FA-1010</t>
  </si>
  <si>
    <t>滝沢</t>
  </si>
  <si>
    <t>組立配線した後、電源ONしたが起動しない</t>
  </si>
  <si>
    <t>2026/1/20 内部電源+5.5VがGNDに短絡。CN14-B29,B30に半田ブリッジ。
　MFGセンターへ返却
2026/2/4 MFGセンターより受取り。起動を確認後、組配へ。</t>
  </si>
  <si>
    <t>E03906-2</t>
  </si>
  <si>
    <t>3QG3FX8C6P4</t>
  </si>
  <si>
    <t>△
組込前基板
修理完了</t>
  </si>
  <si>
    <t>R25427</t>
  </si>
  <si>
    <t>USF-105DDA-12GA</t>
  </si>
  <si>
    <t>谷口</t>
  </si>
  <si>
    <t>C342が破損している。組立配線で損傷する可能性は低い。</t>
  </si>
  <si>
    <t>2026/1/20 MFGセンターへ返却
2026/2/4 MFGセンターより受取り、組配へ</t>
  </si>
  <si>
    <t>E04784-2</t>
  </si>
  <si>
    <t>C342</t>
  </si>
  <si>
    <t>3QCX1AMTCT225
(TCTOM1A225M8R)</t>
  </si>
  <si>
    <t>POW_B</t>
  </si>
  <si>
    <t>19080291→
19080283へ変更</t>
  </si>
  <si>
    <t>SW2　反応しない。（PS1側）</t>
  </si>
  <si>
    <r>
      <rPr>
        <rFont val="Arial"/>
        <color theme="1"/>
        <sz val="10.0"/>
      </rPr>
      <t>2026/1/21　坂下さんへ調査依頼。PS1ユニットのみ
2026/1/21  POWER_B のCN2に座屈あり。リワーク予定
2026/2/5　NO.19080283と入れ替え(FA-1616HB-12G不足の為)
2026/2/5　リワーク依頼
2026/2/20 リワーク完了、組配へ
2026/2/24　修理完了※調整グループにて正常動作確認。
2026/2/26　検査完了。(</t>
    </r>
    <r>
      <rPr>
        <rFont val="Arial"/>
        <color rgb="FFFF0000"/>
        <sz val="10.0"/>
      </rPr>
      <t>FA-1616B-12G・NO.19080283</t>
    </r>
    <r>
      <rPr>
        <rFont val="Arial"/>
        <color theme="1"/>
        <sz val="10.0"/>
      </rPr>
      <t>)</t>
    </r>
  </si>
  <si>
    <t>E04856</t>
  </si>
  <si>
    <t>CN2</t>
  </si>
  <si>
    <t>3QG3HSEC81201
( HSEC8-120-01-L-DV-A-K )</t>
  </si>
  <si>
    <t>26/1/22 部品出庫依頼
26/1/23  代替部品組配へ引き渡し</t>
  </si>
  <si>
    <t>PTPW17-070WV1502</t>
  </si>
  <si>
    <t>R25337</t>
  </si>
  <si>
    <t>USF-1043FS</t>
  </si>
  <si>
    <t>全OUTチャンネルHD・3G信号が出力しない
（SD信号はOK）</t>
  </si>
  <si>
    <r>
      <rPr>
        <rFont val="Arial"/>
        <color theme="1"/>
        <sz val="10.0"/>
      </rPr>
      <t xml:space="preserve">2026/2/2 PALは正常だがNTSCに現象が発生する。PLL回路の位相比較信号(TP55)がおかしい。
X12の周波数が1/3になっている。148.3MHz → 50MHz程度
2026/3/13 部品出庫依頼
</t>
    </r>
    <r>
      <rPr>
        <rFont val="Arial"/>
        <b/>
        <color theme="1"/>
        <sz val="10.0"/>
      </rPr>
      <t>2026/4/29 サーマルパットのため、リワーク依頼必要</t>
    </r>
  </si>
  <si>
    <t>E04185-3</t>
  </si>
  <si>
    <t>X12</t>
  </si>
  <si>
    <t>3QZ6M33721483</t>
  </si>
  <si>
    <t>2026/2/2 PALは正常だがNTSCに現象が発生する。PLL回路の位相比較信号(TP55)がおかしい。
X12の周波数が1/3になっている。148.3MHz → 50MHz程度
2026/3/13 部品出庫依頼</t>
  </si>
  <si>
    <t>R25360</t>
  </si>
  <si>
    <t>MFR-18RUA</t>
  </si>
  <si>
    <t>CN2が破損している。コネクタに亀裂が有り</t>
  </si>
  <si>
    <t>260126 1/30希望でセンターへ返却
260130 受け取り、CN2確に半田ブリッジあり、認の為QMへ</t>
  </si>
  <si>
    <t>3QG3FX4C160P5</t>
  </si>
  <si>
    <t>R25253</t>
  </si>
  <si>
    <t>MFR-16OUT</t>
  </si>
  <si>
    <t>IOEX</t>
  </si>
  <si>
    <t>スロットの認識せず</t>
  </si>
  <si>
    <r>
      <rPr>
        <rFont val="Arial"/>
        <color theme="1"/>
        <sz val="10.0"/>
      </rPr>
      <t xml:space="preserve">2026/1/26　CN2　2efのピンが折れて2fとショートしている。
2026/1/26　</t>
    </r>
    <r>
      <rPr>
        <rFont val="Arial"/>
        <color rgb="FFFF0000"/>
        <sz val="10.0"/>
      </rPr>
      <t>センターへ修正を依頼。</t>
    </r>
  </si>
  <si>
    <t>E04322-1</t>
  </si>
  <si>
    <t>1997
↓
1855へ</t>
  </si>
  <si>
    <t xml:space="preserve">IN10.11 SDI出力なし。IC39.40不良？
</t>
  </si>
  <si>
    <t>2026/1/26 RSリレーは正常に切り替わる。ケーブルイコライザー(GS3440)の出力がおかしい？
2026/2/5 項1855へ</t>
  </si>
  <si>
    <t>2026/1/28 MFGセンターへ返却
2026/2/16 MFGセンターより受取り、組配へ</t>
  </si>
  <si>
    <t>CN1,CN2に接触跡有り。コネクタ勘合に影響する</t>
  </si>
  <si>
    <t>2026/1/28 MFGセンターへ返却予定
2026/2/6 MFGセンターへ</t>
  </si>
  <si>
    <t>CN1,CN2</t>
  </si>
  <si>
    <t>SDタイミングジッタ0.18UI以上。調整へ。
1080/50Pで映像がロックしない</t>
  </si>
  <si>
    <r>
      <rPr>
        <rFont val="Arial"/>
        <color theme="1"/>
        <sz val="10.0"/>
      </rPr>
      <t xml:space="preserve">2026/1/29 C379交換、C378交換
2026/1/30 PALフォーマットでNG
</t>
    </r>
    <r>
      <rPr>
        <rFont val="Arial"/>
        <b/>
        <color theme="1"/>
        <sz val="10.0"/>
      </rPr>
      <t>2026/4/21 部品出庫依頼 (X7)</t>
    </r>
  </si>
  <si>
    <t>R24393</t>
  </si>
  <si>
    <t>OUTPUT全出力NoSignal、IC供給の+1.8V,+3.3Vは正常</t>
  </si>
  <si>
    <r>
      <rPr>
        <rFont val="Arial"/>
        <color theme="1"/>
        <sz val="10.0"/>
      </rPr>
      <t xml:space="preserve">260202 正常品と比較し、FPGAからクロスポイントへの波形が一致しない。IC35？
260423 部品出庫、リワーク準備
</t>
    </r>
    <r>
      <rPr>
        <rFont val="Arial"/>
        <color rgb="FF000000"/>
        <sz val="10.0"/>
      </rPr>
      <t xml:space="preserve">260424 5/29希望でリワーク依頼(IC35)
</t>
    </r>
    <r>
      <rPr>
        <rFont val="Arial"/>
        <color theme="1"/>
        <sz val="10.0"/>
      </rPr>
      <t>260518 リワーク品動作確認、現象変わらず。IC127?</t>
    </r>
  </si>
  <si>
    <t>IC035</t>
  </si>
  <si>
    <t>3QA7ZKU0602</t>
  </si>
  <si>
    <t>SDI-IN</t>
  </si>
  <si>
    <t>SRC24画像出力せず</t>
  </si>
  <si>
    <t>2026/2/3 原因がSDI IN/SDI MEZのどちらか切り分けが必要
2026/2/4 IC1の10,11ピンの出力波形が異常。部品出庫依頼。
2026/3/9 IC1 リワーク依頼
2026/3/23 IC1 の波形の有無を確認し、組配へ</t>
  </si>
  <si>
    <t>E05025</t>
  </si>
  <si>
    <t>3QA6Z6G3440</t>
  </si>
  <si>
    <t>R25284</t>
  </si>
  <si>
    <t>HVS-Q12</t>
  </si>
  <si>
    <t>IO_BASE</t>
  </si>
  <si>
    <t xml:space="preserve">IN1ノイズ　</t>
  </si>
  <si>
    <t>26/2/2 切り分け未
26/2/24  再現しない　Q12 S/No.10へ実装し検査
26/3/2    S/No.10調整検査完了</t>
  </si>
  <si>
    <t>E05087</t>
  </si>
  <si>
    <t>R25291</t>
  </si>
  <si>
    <t>HVS-Q12IO</t>
  </si>
  <si>
    <t>OUT1 出力せず</t>
  </si>
  <si>
    <t>26/2/10 CN15-C7～C174 導通無　CN15ハンダ不良か？GNDショートはしていない。部品出庫依頼中
26/2/11 出庫不可　手配表作成依頼中
26/3/11 部品入手
26/3/26 CN15 リワーク依頼(希望納期5/8)
26/4/13  リワーク受領　症状改善→組配依頼  
26/5/12   Q12 S/No.39実装、正常動作確認</t>
  </si>
  <si>
    <t>E05087-1</t>
  </si>
  <si>
    <t>CN15</t>
  </si>
  <si>
    <t>3QG3M5006S082</t>
  </si>
  <si>
    <t>R25438</t>
  </si>
  <si>
    <t>1HU_R3GSDI</t>
  </si>
  <si>
    <t>オペレート側の映像が出力されない。バイパス側は正常
リレーコイルON制御時</t>
  </si>
  <si>
    <t>2026/2/12 RL2の動作不良(ON制御時に導通なし)。MFGセンターへ返却予定。(50716M)
2026/4/16 MFGセンター作業中？</t>
  </si>
  <si>
    <t>PVB421-1</t>
  </si>
  <si>
    <t>RL2</t>
  </si>
  <si>
    <t>このSBCを使用するとタッチパネルが白色点灯し、正常動作しない。別のSBCを使用すると正常動作する。</t>
  </si>
  <si>
    <t>26/2/24  保証期間外か？　代替在庫なし</t>
  </si>
  <si>
    <t>R25286</t>
  </si>
  <si>
    <t>管理検査時、AUX14～16 出力せず。REBOOTにて復帰</t>
  </si>
  <si>
    <t xml:space="preserve">26/2/19  1080/50P EYEパターンなし  基板選別まだ  SW開発連絡済み
26/2/24   再現せず
26/3/12    Q12調整検査にて使用継続中だが、再現せず
</t>
  </si>
  <si>
    <t>REF BB、3値入れてもロックしない。
1080i59.94、1080i50どちらも発生する。</t>
  </si>
  <si>
    <t>26/2/24 REAR基板抜き差しで復帰。コネクタ勘合不良か？ 再組配依頼中
26/3/31 再組配後、調整検査完了。それまでに左記の現象は再現せず。</t>
  </si>
  <si>
    <t>Q-OU2_TRANS22</t>
  </si>
  <si>
    <t>SW67のLEDが点灯しない。押して反応はする。LEDキャップを入れ替えても現象は移動しないので、ベース又は基板に原因あり。</t>
  </si>
  <si>
    <t>2026/2/26 R168が破損している。部品は基板端に位置する。部品交換し、組配へ
2026/3/23 S/N399として上がってきた492WOUで動作に異常がないことを確認したため調整検査完了。F5515079-01に出荷</t>
  </si>
  <si>
    <t>E04399-3</t>
  </si>
  <si>
    <t>R168</t>
  </si>
  <si>
    <t>3QDX6HQD2870</t>
  </si>
  <si>
    <t>LCD3,4,7,8,11,12,16,17点灯せず
SW4,5,6,10,11,12,16,17,18 アクティブにすると消灯する
SW基板CN2作業した形跡有(CN2破損品の交換？)
細かい線?がピン同士をつないでいて導通している</t>
  </si>
  <si>
    <t>260316 修正品受け取り、組配</t>
  </si>
  <si>
    <t>E04302-2</t>
  </si>
  <si>
    <t>LCD1-8点灯しない
R20-22 抵抗が付いていない
R23抵抗が片方ついていない
CN2 a19、b19、b20パット無し(未使用ピン)
同様の箇所の部品が被害を受けている事例が同じロットR25360で2件目、
R23264で2件、R24633で1件と発生している</t>
  </si>
  <si>
    <t>260303 石川さんより、後付けコネクタから2mm離れている部品になぜ半田が当たるのかセンターへ確認して頂き、数ロットにわたって発生している為、部品が飛ばないように対策必須と伝えて頂く方針
260307 修正品組配</t>
  </si>
  <si>
    <t>R25289</t>
  </si>
  <si>
    <t>IO BASE</t>
  </si>
  <si>
    <t>（20270058）</t>
  </si>
  <si>
    <t>IN9からの信号が出力されない（偶に出力されても不安定）。UNIT B基板入れ替えても現象変わらず、パターンにも異常がないことから、IC13が原因か？</t>
  </si>
  <si>
    <t>26/3/12 IC13 出庫依頼
26/3/26  IC13リワーク依頼（希望納期5/8）
26/4/13  リワーク受領→UNIT_B不良(項番2051)の為、確認できず。</t>
  </si>
  <si>
    <t>REAR I/F1</t>
  </si>
  <si>
    <t>EXT IF基板 RS422通信せず。計4件発生</t>
  </si>
  <si>
    <t>26/3/3 基板切り分け　外観ハンダ不良なし。子基板の為、再製作が良いか？
26/3/10 MU_CPU基板とのねじ取付、電動ドライバから手締めに変更にて改善。
他４件(25式中)発生 デザイン連絡済み</t>
  </si>
  <si>
    <t>E05102</t>
  </si>
  <si>
    <t>UNIT_B</t>
  </si>
  <si>
    <t>IO基板起動せず。切り分け結果、UNIT_B基板</t>
  </si>
  <si>
    <t>26/3/3  +12V～GNDショート（ヒューズ切れ) 後段回路ショート
26/3/11 IC32 GNDショート　出庫依頼中
26/3/17 IC32 次ロットと一緒に手配（1個のみ手配で@8000）</t>
  </si>
  <si>
    <t>E05089</t>
  </si>
  <si>
    <t>eMMC書き込み不可</t>
  </si>
  <si>
    <t>26/3/5  IC109 (+1.8VMGT_KU が出力+0.8V)
26/3/11 IC109 出庫依頼中</t>
  </si>
  <si>
    <t>E04537</t>
  </si>
  <si>
    <t>HD パソロジNG</t>
  </si>
  <si>
    <r>
      <rPr>
        <rFont val="Arial"/>
        <color theme="1"/>
        <sz val="10.0"/>
      </rPr>
      <t xml:space="preserve">2026/3/10 作業卓の波形モニタの影響か？別の計測環境では再現せず。
</t>
    </r>
    <r>
      <rPr>
        <rFont val="Arial"/>
        <b/>
        <color theme="1"/>
        <sz val="10.0"/>
      </rPr>
      <t>2026/4/17 ヒートラン中にてWFM8300 C_anc_checksumに偶にエラー発生することがある。
LV5490ではエラー表示されず。調整へ再確認依頼。</t>
    </r>
  </si>
  <si>
    <t>EXT IF基板 RS422通信せず。5件目。</t>
  </si>
  <si>
    <t>2026/3/11 現象は項番2050と同様。REAR　I/F1の組直しで復帰</t>
  </si>
  <si>
    <t>R24583</t>
  </si>
  <si>
    <t>HVS-492ROU</t>
  </si>
  <si>
    <t>OU2_SW12</t>
  </si>
  <si>
    <r>
      <rPr>
        <rFont val="Arial"/>
        <color theme="1"/>
        <sz val="10.0"/>
      </rPr>
      <t xml:space="preserve">特定のSW反応せず。
</t>
    </r>
    <r>
      <rPr>
        <rFont val="Arial"/>
        <b/>
        <color rgb="FFFF0000"/>
        <sz val="10.0"/>
      </rPr>
      <t>断線箇所については部品のリード間で導通確認したが、改造作業による影響であるのか不明。</t>
    </r>
  </si>
  <si>
    <t>26/3/11 回路断線2系統(B_S_D0_0とB_S_D0_1)ジャンパーにて修正
26/3/12 特定 SW認識するが、点灯せず。→R14欠品
正常点灯確認、組配へ返却</t>
  </si>
  <si>
    <t>E04619</t>
  </si>
  <si>
    <t>R25066</t>
  </si>
  <si>
    <t>MFR-31CPU</t>
  </si>
  <si>
    <t>CPU_CARD</t>
  </si>
  <si>
    <t>Xlinx書き込みできない
+12V、+5.0V、+3.3V正常、他出力無し
IC63破損している(上部構造が取れかかっている)
ぶつけた？プチプチに3枚くるまれていた中の真ん中、段ボールの中で2段の状態で詰まれていたうちの下段</t>
  </si>
  <si>
    <r>
      <rPr>
        <rFont val="Arial"/>
        <color theme="1"/>
        <sz val="10.0"/>
      </rPr>
      <t xml:space="preserve">260318 センターへ返却(3/25希望)
260325 返却品受け取り⇒動作NGの為、センターへ返却(4/17希望)
260423 未返却
</t>
    </r>
    <r>
      <rPr>
        <rFont val="Arial"/>
        <color rgb="FFFF0000"/>
        <sz val="10.0"/>
      </rPr>
      <t>260427 交換品受け取り、電圧確認OK、データ書き込みして組配へ返却</t>
    </r>
  </si>
  <si>
    <t>E04436-2</t>
  </si>
  <si>
    <t>IC63</t>
  </si>
  <si>
    <t>3QJ0PV012A0X3</t>
  </si>
  <si>
    <t>R25452</t>
  </si>
  <si>
    <t>-
引当てシリアル
不明</t>
  </si>
  <si>
    <t>RL1-8ピンに未半田あり (50716M)　識別:35
　RL1-8ピンにリレー制御電圧なし(2-8ピン間)
　リレー駆動用の+3.3V_F2は正常電圧を確認
　8ピンを上から押しても改善せず</t>
  </si>
  <si>
    <t>2026/3/19 配線のパターン不良の切り分けのため、
RL1-8ピンを再半田付けしたとことろ復帰した
2026/4/16　引当て先シリアル不明ですが、リレーをセンター
手付け分が組配完了・検査完了。</t>
  </si>
  <si>
    <t>電源電圧+12V出力せず</t>
  </si>
  <si>
    <t>26/3/18 電源電圧確認後、通電
26/3/19  調整検査中アラーム認識　通電3h程度経過か？
品質異常発行</t>
  </si>
  <si>
    <t>E05094</t>
  </si>
  <si>
    <t>3QJ0PCA150012</t>
  </si>
  <si>
    <t>R25254</t>
  </si>
  <si>
    <t>HVS-6000SDI</t>
  </si>
  <si>
    <t>INPUT</t>
  </si>
  <si>
    <t>ダウンロード後、正常起動せず　(ZQ5301)</t>
  </si>
  <si>
    <t>26/3/23 CPUのみLED点灯、電源ショート確認後、SLOT入れ替え
にてFPGA点灯したが、正常ではない。
元のSLOTに戻したが沈黙。IC33,34,97～GNDショートになった。
FPGAもNGな可能性→修理困難、廃棄検討
余剰品と交換
シンテックDCDCのシリアル：IC34 2HP2242102、IC33 2HP2242102</t>
  </si>
  <si>
    <t>E04608</t>
  </si>
  <si>
    <t>IC33 / IC34
 / IC97</t>
  </si>
  <si>
    <r>
      <rPr>
        <rFont val="Arial"/>
        <b/>
        <color rgb="FFFF0000"/>
        <sz val="10.0"/>
      </rPr>
      <t>シンテック</t>
    </r>
    <r>
      <rPr>
        <rFont val="Arial"/>
        <color theme="1"/>
        <sz val="10.0"/>
      </rPr>
      <t xml:space="preserve">
3QJ0MPN12AD20</t>
    </r>
  </si>
  <si>
    <t>AUX OUT</t>
  </si>
  <si>
    <t>通電後1h以上にて異臭(ZQ5301)</t>
  </si>
  <si>
    <t>26/3/25  IC140,144 焼損  IC137～139 GNDショート
IC134,135 4PIN～GNDショート（シンテックDC/DC　シリアルIC134 2HP22Z0606　IC135 2HP22Z0606)
FPGA恐らくNG  廃棄検討
26/3/26 余剰品(12A品)と交換、交換スロットはAUX9-16 (出荷品の処置)</t>
  </si>
  <si>
    <t>E04534</t>
  </si>
  <si>
    <t>IC140/144
137/138/139
IC134/135</t>
  </si>
  <si>
    <r>
      <rPr>
        <rFont val="Arial"/>
        <b/>
        <color rgb="FFFF0000"/>
        <sz val="10.0"/>
      </rPr>
      <t>シンテック</t>
    </r>
    <r>
      <rPr>
        <rFont val="Arial"/>
        <color theme="1"/>
        <sz val="10.0"/>
      </rPr>
      <t xml:space="preserve">
3QJ0MPN12AD20</t>
    </r>
  </si>
  <si>
    <t>R25315</t>
  </si>
  <si>
    <t>通電後、3h以上で入力異常(ZQ5301)</t>
  </si>
  <si>
    <t>26/3/26 IC31 対GND 通常KΩ のところ20Ω 余剰品と交換
シンテック IC31 2HP2310401</t>
  </si>
  <si>
    <t>IC31</t>
  </si>
  <si>
    <r>
      <rPr>
        <rFont val="Arial"/>
        <b/>
        <color rgb="FFFF0000"/>
        <sz val="10.0"/>
      </rPr>
      <t>シンテック</t>
    </r>
    <r>
      <rPr>
        <rFont val="Arial"/>
        <color theme="1"/>
        <sz val="10.0"/>
      </rPr>
      <t xml:space="preserve">
3QJ0MPN12AD20</t>
    </r>
  </si>
  <si>
    <t>画が位相ズレ(H方向)</t>
  </si>
  <si>
    <t>26/3/26  CN10 41-42ピンショート　２件目(項番1894と同じ)
  MFGセンターへ返却</t>
  </si>
  <si>
    <t>ME TOP/BASE</t>
  </si>
  <si>
    <t xml:space="preserve">貸150448 FOR-A KOREA　修理断念品(HVS-6000 MEユニット　S/No.20)
とシリアル交換し海外技術返却対応   </t>
  </si>
  <si>
    <t>交換基板(KOREA戻り)、HVS-6000ME 36号機として廃棄予定</t>
  </si>
  <si>
    <t>E04542
E04535</t>
  </si>
  <si>
    <t>24Hヒートラン後の起動にてFPGA起動せず(ZQ5301)</t>
  </si>
  <si>
    <r>
      <rPr>
        <rFont val="Arial"/>
        <color theme="1"/>
        <sz val="10.0"/>
      </rPr>
      <t xml:space="preserve">26/3/27  IC97～GNDショート
シンテック4PIN～GNDショート IC33 ,35  2HP2310401
</t>
    </r>
    <r>
      <rPr>
        <rFont val="Arial"/>
        <b/>
        <color theme="1"/>
        <sz val="10.0"/>
      </rPr>
      <t xml:space="preserve">2026/4/3 X線検査を行うためタク技研へ送付
</t>
    </r>
    <r>
      <rPr>
        <rFont val="Arial"/>
        <color theme="1"/>
        <sz val="10.0"/>
      </rPr>
      <t>26/4/9    X線検査戻りハンダ不良なし</t>
    </r>
  </si>
  <si>
    <t>IC33 IC35</t>
  </si>
  <si>
    <r>
      <rPr>
        <rFont val="Arial"/>
        <b/>
        <color rgb="FFFF0000"/>
        <sz val="10.0"/>
      </rPr>
      <t>シンテック</t>
    </r>
    <r>
      <rPr>
        <rFont val="Arial"/>
        <color theme="1"/>
        <sz val="10.0"/>
      </rPr>
      <t xml:space="preserve">
3QJ0MPN12AD20</t>
    </r>
  </si>
  <si>
    <t>起動後のREBOOTにてGUIと通信せず（ZQ5301)</t>
  </si>
  <si>
    <t>26/3/26  ターミナルでは通信できる。単品起動の方が発生頻度低い
26/4/1  シンテックIC74 4PIN～GND 18Ω（通常KΩ）
　　　　2HP22Z0606
26/4/9   シンテック交換依頼中　使用数全て(2HP2352201*6個)
26/4/13 受領。IC74 DIMM実装すると18Ωになる様。現象とは関連ないか？
26/4/15  SSD変更品にて症状発生、変通前に交換し改善。開発連絡済み。
抵抗値は、DIMM実装時において良品と同じであった。</t>
  </si>
  <si>
    <r>
      <rPr>
        <rFont val="Arial"/>
        <color rgb="FFFF0000"/>
        <sz val="10.0"/>
      </rPr>
      <t>シンテック</t>
    </r>
    <r>
      <rPr>
        <rFont val="Arial"/>
        <color theme="1"/>
        <sz val="10.0"/>
      </rPr>
      <t xml:space="preserve">
3QJ0MPN12AD20</t>
    </r>
  </si>
  <si>
    <t>R25449</t>
  </si>
  <si>
    <t>MBP-P308</t>
  </si>
  <si>
    <t>PCIE</t>
  </si>
  <si>
    <t>AbstツールにてGenlockがUnlock</t>
  </si>
  <si>
    <t>2026/3/30 C146交換し調整へ
2026/3/31 再調整し改善した</t>
  </si>
  <si>
    <t>E04865</t>
  </si>
  <si>
    <t>C146</t>
  </si>
  <si>
    <t>3QCX1AMTCO476</t>
  </si>
  <si>
    <t>通電中に電源が落ち再起動せず。(24h以上通電) ZQ5301</t>
  </si>
  <si>
    <r>
      <rPr>
        <rFont val="Arial"/>
        <color theme="1"/>
        <sz val="10.0"/>
      </rPr>
      <t xml:space="preserve">26/3/31 シンテックDC/DC GNDショートに伴いIC焼損
  QMにて調査中
シンテック IC71,73,74,75(2HP22Z0606)    ヒューズ切れF4(15A)
IC焼損 IC35,IC79
</t>
    </r>
    <r>
      <rPr>
        <rFont val="Arial"/>
        <b/>
        <color theme="1"/>
        <sz val="10.0"/>
      </rPr>
      <t xml:space="preserve">2026/4/3 X線検査をおこなうため、メイショウへ送付(QM)
</t>
    </r>
    <r>
      <rPr>
        <rFont val="Arial"/>
        <color theme="1"/>
        <sz val="10.0"/>
      </rPr>
      <t>26/5/中　QMより返却</t>
    </r>
  </si>
  <si>
    <r>
      <rPr>
        <rFont val="游ゴシック, monospace"/>
        <color theme="5"/>
        <sz val="10.0"/>
      </rPr>
      <t>シンテック</t>
    </r>
    <r>
      <rPr>
        <rFont val="游ゴシック, monospace"/>
        <color theme="1"/>
        <sz val="10.0"/>
      </rPr>
      <t xml:space="preserve">
3QJ0MPN12AD20</t>
    </r>
  </si>
  <si>
    <t>2026/3/31 C146交換し調整へ
2026/4/1 再調整し改善した</t>
  </si>
  <si>
    <t>OU2_BUS22</t>
  </si>
  <si>
    <t>LED3が浮いている</t>
  </si>
  <si>
    <t>2026/4/1 半田手直しを実施(石川さん)</t>
  </si>
  <si>
    <t>E04398</t>
  </si>
  <si>
    <t>3QB3SLI343P8G
(SLI-343P8G3F)</t>
  </si>
  <si>
    <t>開発部へデータ書込み依頼したところ、書込み出来ず。+12VがGNDにショートしている。</t>
  </si>
  <si>
    <r>
      <rPr>
        <rFont val="Arial"/>
        <color theme="1"/>
        <sz val="10.0"/>
      </rPr>
      <t xml:space="preserve">2026/4/1 IC6001の出力(+0.72V_KU1)がGNDへ短絡している？
　IC6001:DC/DC (+12V入力、0.72V出力) 
部品出庫依頼
</t>
    </r>
    <r>
      <rPr>
        <rFont val="Arial"/>
        <b/>
        <color theme="1"/>
        <sz val="10.0"/>
      </rPr>
      <t xml:space="preserve">2026/4/2 IC6001は正常な基板と比較し入力以外は同じ為、正常
</t>
    </r>
    <r>
      <rPr>
        <rFont val="Arial"/>
        <color theme="1"/>
        <sz val="10.0"/>
      </rPr>
      <t xml:space="preserve">2026/4/14 部品納期 7/9過ぎの連絡
</t>
    </r>
    <r>
      <rPr>
        <rFont val="Arial"/>
        <b/>
        <color theme="1"/>
        <sz val="10.0"/>
      </rPr>
      <t>2026/4/28 R756取り外して+12Vは開放となる。</t>
    </r>
  </si>
  <si>
    <t>IC6001</t>
  </si>
  <si>
    <t>R25313</t>
  </si>
  <si>
    <t>CN12～15欠品（圧入コネクタ）</t>
  </si>
  <si>
    <t>2026/4/2 MFGセンターへ返却
2026/4/22 受領、組配へ引き渡し</t>
  </si>
  <si>
    <t>CN12～15</t>
  </si>
  <si>
    <t>3QG020658831
(2065883-1)</t>
  </si>
  <si>
    <t>CPU/ME/AUX
MTX/INPUT</t>
  </si>
  <si>
    <t>28,29</t>
  </si>
  <si>
    <t>ZQ5301 シンテックショートのロット実装
2HP22Z0606/2HP2242102</t>
  </si>
  <si>
    <t>シンテック交換必要</t>
  </si>
  <si>
    <t>R25254 / R25315</t>
  </si>
  <si>
    <t>ZQ5301 シンテックショートのロット実装
2HP2310401/2HP2242102</t>
  </si>
  <si>
    <t>CPU/AUX/MTX
GLLAN/INPUT</t>
  </si>
  <si>
    <t>30～35</t>
  </si>
  <si>
    <t>R24955</t>
  </si>
  <si>
    <t>CPU/AUX/MTX
ME BASE/INPUT</t>
  </si>
  <si>
    <t>32,33</t>
  </si>
  <si>
    <t>ZQ5301 シンテックショートのロット実装
2HP22Z0606</t>
  </si>
  <si>
    <t>シンテック交換必要
26/4/9  MU CPU 2枚 2HP2352201へ 換装依頼
26/4/13 受領。１枚IC75_4PIN 通電前GNDショート
→換装失敗か？(MU_CPU)</t>
  </si>
  <si>
    <t>HD タイミングジッタがたまに大きい(0.5UI以上)</t>
  </si>
  <si>
    <t>2026/4/13 C147交換
2026/4/16 再調整し改善した(HD/12G共にOK)</t>
  </si>
  <si>
    <t>C147</t>
  </si>
  <si>
    <t>3QCX1AMTCT225</t>
  </si>
  <si>
    <t>R24389</t>
  </si>
  <si>
    <t>HVS-492OU</t>
  </si>
  <si>
    <t>OU2_WIRING18</t>
  </si>
  <si>
    <t>2026/4/21 購入後１年以上経過</t>
  </si>
  <si>
    <t>E04403</t>
  </si>
  <si>
    <t>R24957</t>
  </si>
  <si>
    <t>HVS-2000</t>
  </si>
  <si>
    <t>時刻設定反映せず</t>
  </si>
  <si>
    <t>26/4/22 キャパシタ電圧降下が早い。キャパシタとIC63出庫依頼
2026/4/23 キャパシタ(C775)取り外し、10分程度なら
                Power OFFで時刻カウント動作可能
26/4/27 キャパシタ交換、0.5h通電後、バックアップ確認中
26/4/28  20h電源切り後、通電し時刻設定保持を確認。 
                 S/NO.632へ実装</t>
  </si>
  <si>
    <t>E04126</t>
  </si>
  <si>
    <t>C775</t>
  </si>
  <si>
    <t>3QCZKR5R5V334</t>
  </si>
  <si>
    <t>R24392</t>
  </si>
  <si>
    <t>HVS-1200MF</t>
  </si>
  <si>
    <t>MU CPU/MOTHER</t>
  </si>
  <si>
    <t>MV出力が暗い、タイトルが表示されない。
STILLキャプチャNG、FileからのLoadはOK</t>
  </si>
  <si>
    <t>260429 MOTHER基板洗浄でMV出力は復帰、STILLはNG
260518 IC76~78交換で復帰</t>
  </si>
  <si>
    <t>E04658</t>
  </si>
  <si>
    <t>IC76~78</t>
  </si>
  <si>
    <t>CN17破損している個所がある</t>
  </si>
  <si>
    <t>2026/5/8 CN17 部品出庫依頼
2026/5/14 リワーク依頼</t>
  </si>
  <si>
    <t>CN17</t>
  </si>
  <si>
    <t>3QG3F2312SH</t>
  </si>
  <si>
    <t>組み込み時CN17破損
少しでも斜めになるとコネクタが破損する</t>
  </si>
  <si>
    <t>260430 デザインに確認して頂く予定
2026/5/8 CN17 部品出庫依頼
2026/5/14 リワーク依頼</t>
  </si>
  <si>
    <t>MTX_BASE</t>
  </si>
  <si>
    <t>MV  ME1アサインにてノイズ発生</t>
  </si>
  <si>
    <t>26/5/11  切り分けにてMTX_BASEと判明
26/5/11 CN1_B8～CN12_46pin間、導通無 センターへ調査依頼</t>
  </si>
  <si>
    <t>E05085-1</t>
  </si>
  <si>
    <t>2026/05/011</t>
  </si>
  <si>
    <t>R23965</t>
  </si>
  <si>
    <t>USF-105DADA</t>
  </si>
  <si>
    <t>FRONT CD</t>
  </si>
  <si>
    <t>OUT5が出力しない</t>
  </si>
  <si>
    <t>項番190と同症状の為、IC20交換</t>
  </si>
  <si>
    <t>E04895</t>
  </si>
  <si>
    <t>IC20</t>
  </si>
  <si>
    <t>3QA60A8337BCZ</t>
  </si>
  <si>
    <t>R25328</t>
  </si>
  <si>
    <t>ALARM LEDが点灯しない。</t>
  </si>
  <si>
    <t>2026/5/11 R397破損、LED1の半田付け時に破損か？
MFGセンターへ返却</t>
  </si>
  <si>
    <t>R397</t>
  </si>
  <si>
    <t>3QDX6KQJD561</t>
  </si>
  <si>
    <t>R25093</t>
  </si>
  <si>
    <t>PARAMETER CLEAR(S)が複数回表示された。
再現しなくなった。</t>
  </si>
  <si>
    <t>2026/5/13 開発部へ調査依頼。現品を確認いただいた。原因調査にソフトの調査が必要との事
2026/5/18 RS開発部より、Fパネルの初期化操作後再現し無くなれば出荷は可。調整へ返却</t>
  </si>
  <si>
    <t>ZQ5301 シンテックショート</t>
  </si>
  <si>
    <t>IC83 2HP22Z0603</t>
  </si>
  <si>
    <t>E4535-1</t>
  </si>
  <si>
    <t>ME TOP</t>
  </si>
  <si>
    <t>IC94  2HP22Z0603</t>
  </si>
  <si>
    <t>E4542-1</t>
  </si>
  <si>
    <t>2160/59.94Pの時または他のフォーマットから2160/59.94Pにした時リブートすると、ノイズが発生する。
全入出力で発生するが、頻度はそれぞれ異なる。
この状態でリブートすると復帰するが、再現もする。</t>
  </si>
  <si>
    <t>2026/5/19 SW開発部よりファームウェアの更新対応するとの事
　6月上旬の正式販にてリリース予定</t>
  </si>
  <si>
    <t>CN3実装不良(リード曲がり？)</t>
  </si>
  <si>
    <t>2026/5/18 MFGセンターへ返却
2026/5/29 MFGセンターより返却 (半田修正)</t>
  </si>
  <si>
    <t>E05084</t>
  </si>
  <si>
    <t>R25331</t>
  </si>
  <si>
    <t>FPGA GENLOCK/GPI/HDMI 書き込み不可(FF-FF表示)</t>
  </si>
  <si>
    <t>26/5/19  IC110 +2.5V DC/DCコンバータ 4-5PINショート
26/5/29  同部品出庫完了。リワーク MPQ会議結果待ち</t>
  </si>
  <si>
    <t>E04919A</t>
  </si>
  <si>
    <t>IC110</t>
  </si>
  <si>
    <t>3QA62FS140606</t>
  </si>
  <si>
    <t>ACインレットよりACケーブル直接抜き差しにて起動しなくなった。
PS1/2同時に抜き差しでPS1のみ起動不良</t>
  </si>
  <si>
    <t>26/5/20 開発連絡済み　品質異常発行品と同じ症状
                SW開発検証の為、引き渡し。同日返却
26/6/1    SW開発 Q12検証の為、貸し出し</t>
  </si>
  <si>
    <t>R25290</t>
  </si>
  <si>
    <t>HVS-Q12PSM</t>
  </si>
  <si>
    <t>ACインレットよりACケーブル直接抜き差しにて起動しなくなった。
PS1/2同時に抜き差しでPS2のみ起動不良</t>
  </si>
  <si>
    <t>26/5/20 開発連絡済み　品質異常発行品と同じ症状
26/6/1    SW開発 Q12検証の為、貸し出し</t>
  </si>
  <si>
    <t>R25496</t>
  </si>
  <si>
    <t>LOCK LEDの緑が点灯しない。</t>
  </si>
  <si>
    <t>2026/5/21 CN1-A18 (信号 LED_G0) に異物あり。緑 不点灯の原因と思われる。MFGセンターへ返却
206/5/29 MFGセンターより返却。異物除去</t>
  </si>
  <si>
    <t>R25419</t>
  </si>
  <si>
    <t>DDA-106B</t>
  </si>
  <si>
    <t>OUT2～6 カバー押さえるとエラーになる。
ロングケーブル受信特性エラー
・電源ON/OFFで現象が改善した
・内部が温まると現象が発生しなくなる？</t>
  </si>
  <si>
    <t>2026/5/21 WFM8300+ESG-4100(T1)の環境で再現せず。
2026/5/25  WFM8300+ESG-4100(T1)の環境で再現(100ｍ 旧ケーブル)
2026/5/26 RL500交換、多少改善？
26/5/30  新しいケーブル使用で現象再現せず。</t>
  </si>
  <si>
    <t>E03883</t>
  </si>
  <si>
    <t>RL500</t>
  </si>
  <si>
    <t>CN11.12　HDMIケーブルが入らない。</t>
  </si>
  <si>
    <t>2026/5/25　部品出庫依頼。（2026/5/29希望納期）</t>
  </si>
  <si>
    <t>CN11.12</t>
  </si>
  <si>
    <t>3QG3TX3285</t>
  </si>
  <si>
    <t>HDパソロジNG(OUT2と3が出やすい)。カラーバーもNG。ショートOK</t>
  </si>
  <si>
    <t>26/5/31  新しいケーブル使用で現象再現せず。
また、BNC側セムスをスタッド(SBB330)変更+天板にシールド材をスタッドに接触する様に貼り付けると改善</t>
  </si>
  <si>
    <t>入出力出ず。EYEパターンなし。HDMIは出力出る。</t>
  </si>
  <si>
    <t>26/5/27  IC143(+1.35V出力) 4-5PINショート 
同部品実装 R23553で２件目</t>
  </si>
  <si>
    <t>IC143</t>
  </si>
  <si>
    <t>R25445</t>
  </si>
  <si>
    <t>LCD1表示がランダムに動きまわる
Verupで一時改善、ヒートラン中に再発</t>
  </si>
  <si>
    <t>LCD1交換、交換時にLCD11の画面に傷をつけてしまった為、センターへ交換依頼(5/29希望)
2026/5/29 MFGセンターより返却</t>
  </si>
  <si>
    <t>R25359</t>
  </si>
  <si>
    <t>S19縦線入る</t>
  </si>
  <si>
    <t>2026/5/29 センターへ部品の取り外し依頼（希望納期6/12）</t>
  </si>
  <si>
    <t>LCD18点灯しない
R25360で同様の不良3件→内2件品質異常発行したが回答は
LCD内部のコネクタのピンが奥側に変形した形跡。
実装工程で破壊した可能性がある為、要確認
写真を撮る為、基板の状態で仮組した際にLCD18の表示にノイズのような表示が発生</t>
  </si>
  <si>
    <t>260601 センターへ返却</t>
  </si>
  <si>
    <t>LCD1点灯しない
R25360で同様の不良3件→内2件品質異常発行したが回答は
LCD内部のコネクタのピンが奥側に変形した形跡。
実装工程で破壊した可能性がある為、要確認</t>
  </si>
  <si>
    <t>260601 品質異常発行予定</t>
  </si>
  <si>
    <t>LCD9点灯しない
R25360で同様の不良3件→内2件品質異常発行したが回答は
LCD内部のコネクタのピンが奥側に変形した形跡。
実装工程で破壊した可能性がある為、要確認</t>
  </si>
  <si>
    <t>R24481</t>
  </si>
  <si>
    <t>MFR-SDOGB</t>
  </si>
  <si>
    <t>8SDOGB</t>
  </si>
  <si>
    <t>IC9の入力(+12V)と出力(+0.95V)が導通している
3KGB_CN基板と繋いでいるフレキケーブル焼損(+12V部分)</t>
  </si>
  <si>
    <t>260601 +12Vと+0.95Vが導通した状態で電源を入れた結果燃えた為、修理せず廃棄へ</t>
  </si>
  <si>
    <t>R24482</t>
  </si>
  <si>
    <t>MFR-8ODL</t>
  </si>
  <si>
    <t>3KGB CN</t>
  </si>
  <si>
    <t>不良2129発生時焼損したフレキケーブルが付いていた基板</t>
  </si>
  <si>
    <t>260601 接続していたフレキが焼損した為、修理せず廃棄へ</t>
  </si>
  <si>
    <t>R24418</t>
  </si>
  <si>
    <t>OUT1 Aジッタ0.21オーバー、Tジッタ0.50オーバー
OUT5 出力せず</t>
  </si>
  <si>
    <t>全OutChジッタ4.00オーバー
WFM-8300で常にエラーカウント発生</t>
  </si>
  <si>
    <t>WFM-8300でY/C Stuck Bitが変動する（全OutCh）
※Decap Extモード時</t>
  </si>
  <si>
    <t>IC74or93or94or104が不良の可能性あり</t>
  </si>
  <si>
    <t>950
20250121</t>
  </si>
  <si>
    <t>R24295</t>
  </si>
  <si>
    <t>HVS-490MAIN
 (HVS-1200)</t>
  </si>
  <si>
    <t>HVS-1200組込。KEYの映像がパタつく。
 DVE ONでも発生するが、電源再起動で復帰する場合もある。</t>
  </si>
  <si>
    <t>2024/2/27 発生3枚目。SW開発部へ相談中
20250122　完了へ移動</t>
  </si>
  <si>
    <t>出荷済</t>
  </si>
  <si>
    <t>1543
以下54期下期</t>
  </si>
  <si>
    <t>不足基板（現物無し) 再製作必要</t>
  </si>
  <si>
    <t>20250307　MU CPU 1枚不足。2024/11棚卸時の情報。
20250401　完了へ移動。</t>
  </si>
  <si>
    <t>行方不明</t>
  </si>
  <si>
    <t>SDのタイミングジッタ0.18以下のところ0.25以上になる</t>
  </si>
  <si>
    <t>2025/12/10 C379交換。現象再現しなくなった？調整へ
20251224　完了へ移動</t>
  </si>
  <si>
    <t>PVB421A</t>
  </si>
  <si>
    <t>3QCXF1A105MMA
(F981V105MSAAS1)</t>
  </si>
  <si>
    <t>IN10.12コンポジット出ない。</t>
  </si>
  <si>
    <t>2025/12/08 リレー電圧+2.90V。部品交換し、調整へ
20251209　完了へ移動</t>
  </si>
  <si>
    <t>RL10,RL12</t>
  </si>
  <si>
    <t>OUT2a　2b　オペレート側出ない時がある。</t>
  </si>
  <si>
    <t>2025/12/09 リレー交換し、調整へ（RL1交換）
2025/12/10　ヒートラン60分以上・リレー切り替え50回以上→異常無し。
2025/12/11　検査完了・入庫完了。
20251211　完了へ移動</t>
  </si>
  <si>
    <t>OUT2a　Bypass出ない時がある。</t>
  </si>
  <si>
    <t>2025/12/09 リレー交換し、調整へ（RL2交換）
2025/12/10　ヒートラン60分以上・リレー切り替え50回以上→異常無し。
2025/12/11　検査完了・入庫完了。
20251211　完了へ移動</t>
  </si>
  <si>
    <t>3QF9ARS10Y03</t>
  </si>
  <si>
    <t>2025/12/09 リレー交換し、調整へ（RL1交換）
2025/12/9　ヒートラン60分以上・リレー切り替え50回以上→異常無し。
2025/12/10　検査完了・入庫完了。
20251211　完了へ移動</t>
  </si>
  <si>
    <t>2025/12/11 リレー交換し、調整へ（RL1交換）
2025/12/11　ヒートラン60分以上・リレー切り替え50回以上→異常無し。
2025/12/11　検査完了・入庫完了。
20251211　完了へ移動</t>
  </si>
  <si>
    <t>OUT2a　オペレート側出ない時がある。</t>
  </si>
  <si>
    <t>2025/12/08 リレー交換し、調整へ（RL2交換）
2025/12/10　ヒートラン60分以上・リレー切り替え50回以上→異常無し。
2025/12/11　検査完了・入庫完了。
20251211　完了へ移動</t>
  </si>
  <si>
    <t>OUT2a　2b　Bypass・オペレート側出ない時がある。</t>
  </si>
  <si>
    <t>2025/12/08 リレー交換し、調整へ（RL1交換）
2025/12/10　ヒートラン60分以上・リレー切り替え50回以上→異常無し。
2025/12/10　検査完了・入庫完了。
20251211　完了へ移動</t>
  </si>
  <si>
    <t>2025/12/08 リレー交換し、調整へ（RL1交換）
2025/12/9　ヒートラン30分以上・リレー切り替え30回以上→異常無し。
2025/12/10　検査完了・入庫完了。
20251211　完了へ移動</t>
  </si>
  <si>
    <t>RL17リレー不良
RL18どちらにも切り替わらない</t>
  </si>
  <si>
    <t>20251204 リレー電圧+3.12V
20251224　完了へ移動</t>
  </si>
  <si>
    <t>E03906</t>
  </si>
  <si>
    <t>RL17,RL18</t>
  </si>
  <si>
    <t>R25345
⇒25435</t>
  </si>
  <si>
    <t>FA-1010
⇒FA-505</t>
  </si>
  <si>
    <t>RL1,RL17,RL20リレー不良</t>
  </si>
  <si>
    <t>20251204 リレー電圧+3.11V~+3.12V
20251224　完了へ移動</t>
  </si>
  <si>
    <t>RL1,
RL17,RL20</t>
  </si>
  <si>
    <t>3QF9ARS30Y03
3QF9ARS10Y03</t>
  </si>
  <si>
    <t>RL16リレー不良</t>
  </si>
  <si>
    <t>20251204 リレー電圧+3.13V
20251224　完了へ移動</t>
  </si>
  <si>
    <t>RL19リレー不良</t>
  </si>
  <si>
    <t>RL13リレー不良</t>
  </si>
  <si>
    <t>20251204 リレー電圧+3.11V
20251224　完了へ移動</t>
  </si>
  <si>
    <t>RL13</t>
  </si>
  <si>
    <t>BUS SWの輝度設定が3つずつ効かない(左から3つOK,3つNGの繰り返し)
R33 CN2側で半田屑、GNDとショートしている
(LED ENピンがショートしているので制御が効かなかった？)</t>
  </si>
  <si>
    <t>251121 半田ボール除去で復帰
20251201　完了へ移動</t>
  </si>
  <si>
    <t>E4302-2</t>
  </si>
  <si>
    <t>R33</t>
  </si>
  <si>
    <t>R25244</t>
  </si>
  <si>
    <t>RU CPU</t>
  </si>
  <si>
    <t>ENC左右どちらも反応なし、押しスイッチは反応する
現象はRU_CPU基板についてくる。
IC19 21-22pinが半田ボールでショートしている
(21：ENC_Aの信号線、22：GND)</t>
  </si>
  <si>
    <t>20251120 除去して動作OK(急ぎ工程の為、センターへは返却せず
20251201　完了へ移動</t>
  </si>
  <si>
    <t>E03538-3</t>
  </si>
  <si>
    <t>R25345
⇒R25435</t>
  </si>
  <si>
    <t>20251117 リレー交換
20251125　完了へ移動</t>
  </si>
  <si>
    <t>RL16リレー不良
RL18、20リレー不良（20251118追加）</t>
  </si>
  <si>
    <t>20251117 リレー交換
20251118 RL16,RL20交換
20251125　完了へ移動</t>
  </si>
  <si>
    <t>RL16,RL18,RL20</t>
  </si>
  <si>
    <t>RL11,RL19リレー不良</t>
  </si>
  <si>
    <t>RL11,RL19</t>
  </si>
  <si>
    <t>RL11リレー不良</t>
  </si>
  <si>
    <t>20251112 在庫確認中
20251117 リレー交換
20251125　完了へ移動</t>
  </si>
  <si>
    <t>RL11</t>
  </si>
  <si>
    <t>RL17リレー不良</t>
  </si>
  <si>
    <t>RL17</t>
  </si>
  <si>
    <t>RL11,RL17リレー不良</t>
  </si>
  <si>
    <t>RL11,RL17</t>
  </si>
  <si>
    <t>LCD9縦線</t>
  </si>
  <si>
    <t>20251111 11/14希望でセンターへ交換依頼
20251114 交換品受け取り
20251125　完了へ移動</t>
  </si>
  <si>
    <t>LCD9</t>
  </si>
  <si>
    <t>LCD12表示されない
1858と同様,3件目</t>
  </si>
  <si>
    <t>20251111 11/14希望でセンターへ交換依頼、品質異常発行予定
20251114 交換品受け取り
20251201　完了へ移動</t>
  </si>
  <si>
    <t>LCD12</t>
  </si>
  <si>
    <t>LCD3表示されない
1858と同様</t>
  </si>
  <si>
    <t>LCD3</t>
  </si>
  <si>
    <t>CPLD書き込み出来ない</t>
  </si>
  <si>
    <t>2025/11/11 改造指示書S12402のパターンカット未処理。パターンカットを実施したところ、CPLDを書込み可能となり正常起動を確認。
20251125　完了へ移動</t>
  </si>
  <si>
    <t>作業改造指示書</t>
  </si>
  <si>
    <t>S12402</t>
  </si>
  <si>
    <t>2025/11/10 RS開発部へ相談、機材引き渡し済み
2025/11/11 RS開発部より返却。FPGA Config用メモリのデータが壊れていると思われる。現品は調整へ。
　偶に発生する現象のため様子見とする。(対処法は説明済)
20251209　完了へ移動</t>
  </si>
  <si>
    <t>R24705
⇒R25404</t>
  </si>
  <si>
    <t>RL5リレー不良</t>
  </si>
  <si>
    <t>20251107 該当リレー全交換
20251118　完了へ移動</t>
  </si>
  <si>
    <t>RL4</t>
  </si>
  <si>
    <t>RL12,RL16,RL20リレー不良
RL2リレー不良(Bypassに切り替わらない)</t>
  </si>
  <si>
    <t>20251106部品出庫依頼(11/7希望)
20251107 該当リレー全交換
20251118　完了へ移動</t>
  </si>
  <si>
    <t>RL2,
RL12,RL16,RL20</t>
  </si>
  <si>
    <t>RL12リレー不良
RL4,RL14切り替わらない</t>
  </si>
  <si>
    <t>RL4,
RL12,14</t>
  </si>
  <si>
    <t>R24641（R24645）</t>
  </si>
  <si>
    <t>FA-1616HB-12G</t>
  </si>
  <si>
    <t>IO-A</t>
  </si>
  <si>
    <t>19080259
（19110132）</t>
  </si>
  <si>
    <t>２ｄ入力２ｄ出力出ない。
３ｃ入力３ｃ出力出ない時がある。
※BNCに触れると消える？</t>
  </si>
  <si>
    <t>25/11/6 両出力ともに、EYEパターンなし。BNC端子、入出力断線している。2D側(CN41)未ハンダ有
 2025/12/12 MFGセンターより返却。調整へ
 2025/12/15 組配グループへ。
2025/12/23　検査完了・入庫完了。
20251224　完了へ移動</t>
  </si>
  <si>
    <t>E04858-1</t>
  </si>
  <si>
    <t>CN41</t>
  </si>
  <si>
    <t>R25112</t>
  </si>
  <si>
    <t>MFR-40RU</t>
  </si>
  <si>
    <t>SW1</t>
  </si>
  <si>
    <t>BUSボタン23赤点灯しない</t>
  </si>
  <si>
    <r>
      <rPr>
        <rFont val="Roboto"/>
        <color rgb="FF434343"/>
      </rPr>
      <t>25/11/6暗点灯はしないが、明点灯はする。 IC5交換→改善せず。IC6_11PIN～R58断線→ジャンパー線にて接続し改善。
2025/11/10　検査完了。入庫完了。
※</t>
    </r>
    <r>
      <rPr>
        <rFont val="Roboto"/>
        <color rgb="FFFF0000"/>
      </rPr>
      <t>以前にもMFR-40RUで基板のパターン不良がありました。</t>
    </r>
    <r>
      <rPr>
        <rFont val="Roboto"/>
        <color rgb="FF434343"/>
      </rPr>
      <t xml:space="preserve">
20251118　完了へ移動</t>
    </r>
  </si>
  <si>
    <t>E03539</t>
  </si>
  <si>
    <t>LCD11表示されない
LCD11信号線導通確認OK。
周辺部品含め再半田しても変わらず。
LCD9~12がデータバス、データの有効ピンがLCD16と共通しているが、正常に表示されている為、信号線は問題なし。
静電気破壊？交換して現象が同じか確認する</t>
  </si>
  <si>
    <t>20251105 11/12希望でLCD11交換依頼
20251112 交換品受け取り、MFGセンターにて取り外しに失敗した為、解析依頼できず
20251125　完了へ移動</t>
  </si>
  <si>
    <t>LCD11</t>
  </si>
  <si>
    <t>R24600
⇒R24318</t>
  </si>
  <si>
    <t>フルMTXチェック SRC37~39NG</t>
  </si>
  <si>
    <t>20251028 出荷分確保ができない為、R24318 MFR-4100のMTX基板と入れ替え、MFR-4100でも同じ現象となるか確認した後再制作するか判断する
20251111 MFR-4100で再チェック、エラー発生せず
20251201　完了へ移動</t>
  </si>
  <si>
    <t>IN10.12コンポジット出ない。リレー不良</t>
  </si>
  <si>
    <t>2025/11/10 リレー制御電圧は+2.93～2.95V、RL10,12交換し調整へ
20251118　完了へ移動</t>
  </si>
  <si>
    <t>R24979</t>
  </si>
  <si>
    <t>モニターOUT　出力しない</t>
  </si>
  <si>
    <t>2025/10/27　R179破損（センターへ修正依頼）※11/7納期
2025/11/5　センターより返却済。組配グループへ引き渡し。
2025/11/14　検査完了・入庫完了。
20251118　完了へ移動</t>
  </si>
  <si>
    <t>R179</t>
  </si>
  <si>
    <t>R24529（R24534）</t>
  </si>
  <si>
    <t>FA-1616MF
(FA-16IO-HB3G)</t>
  </si>
  <si>
    <t>19080148
（19130022→
0078と交換）</t>
  </si>
  <si>
    <t>AUDIO　NG（開発確認済・調査の為、開発へ）</t>
  </si>
  <si>
    <t>2025/10/24　開発にあります。
1025/11/22　VERUPにて処置。返却済。
1025/11/28　検査完了・入庫完了。
20251201　完了へ移動</t>
  </si>
  <si>
    <t>周波数不良1.023994までのところ1.023992</t>
  </si>
  <si>
    <t>2025/10/28 RTC交換し、調整へ
20251106　完了へ移動</t>
  </si>
  <si>
    <t>R24579
仕掛残1台
（R24265・24746）</t>
  </si>
  <si>
    <t xml:space="preserve">MFR-16SDOA
</t>
  </si>
  <si>
    <t>IOEX
(MFR-16OUT)</t>
  </si>
  <si>
    <t>19440312
(19530233）
(19530923)</t>
  </si>
  <si>
    <t>GUIでスロットの認識がしない
映像は出力してる。LED1.3　D1は点灯してる。</t>
  </si>
  <si>
    <t>2025/10/22　所在不明になっていた基板を動作確認をしたところ不良だったので
空いているシリアルを引き当てました。IOEXのみ不良で8SDOは正常と思われます。
赤テープは誰が貼ったのかわかりません。
25/11/4  アルテラベリファイ通らず、再書き込みにて基板認識。動作確認未
2025/11/18　検査完了。入庫完了。
20251125　完了へ移動</t>
  </si>
  <si>
    <t>E04322G</t>
  </si>
  <si>
    <t>MFR-16RUTAで立ち上がった。
DIPSWの2番を何度かON/OFF、F/W最新版へ書き換えで再現せず。</t>
  </si>
  <si>
    <t>251021フラックスが飛び散っている、半田ボールがある為、RU CPU基板のみセンターへ返却
251029 RU_CPU受け取り、再組配してヒートランへ
20251125　完了へ移動</t>
  </si>
  <si>
    <t>GUI上で+2.5Vの判定がNGとなる。実測値は+2.485Vで範囲内。正常品は+2.49Vは超えている。R95の抵抗値が2kΩしかない。
取り外すと抵抗値に問題なし。R95貼り替えして+2.493Vになったが今度は全電圧NGと表示される。</t>
  </si>
  <si>
    <t>251021 CPU基板に現象が付いてくるのでLM81故障？LM81出庫依頼
SW基板のRU CPUと接続するコネクタにフラックスが入り込んでいる為、確認用でセンターへSW基板+板金の状態で返却
20251023 LM81交換で復帰、SW基板返却待ち
20251029 SW基板受け取り、再組配してヒートランへ
20251125　完了へ移動</t>
  </si>
  <si>
    <t>IC28</t>
  </si>
  <si>
    <t>3QA6Z9L81CT3</t>
  </si>
  <si>
    <t>LCD18縦線</t>
  </si>
  <si>
    <t>251020 10/22希望でセンターへ交換依頼
251022 交換品受け取り、組配工程へ再組配依頼
20251125　完了へ移動</t>
  </si>
  <si>
    <t>LCD18</t>
  </si>
  <si>
    <t>リセットスイッチが反応しない
基板単体チェック問題なし、基板の状態で組み合わせして現象再現せず。
CN2 フラックス混入した痕有</t>
  </si>
  <si>
    <t>251017 接点洗浄して様子見
251022 ヒートラン、出荷チェック時に動作確認を30回以上実施し現象が出ないことを確認。洗浄後正常動作するのでSWとRUCPU基板を繋ぐコネクタへフラックス混入したことによる接触不良で動作しなかったと結論付け
20251125　完了へ移動</t>
  </si>
  <si>
    <t>IN9コンポジット出ない。リレー叩いてもNG</t>
  </si>
  <si>
    <t>2025/10/17 リレー制御電圧は2.92～2.94V。
2025/10/22 RL9交換し調整へ
20251211　完了へ移動</t>
  </si>
  <si>
    <t>RL9</t>
  </si>
  <si>
    <t>IN8.12.19コンポジット出ない(リレー叩いたら出る)。IN20コンポジット出ない(叩いてもNG）</t>
  </si>
  <si>
    <t>2025/10/17 リレー制御電圧は2.92～2.94V。
2025/10/30 RL8,12,19,20交換し、調整へ
20251211　完了へ移動</t>
  </si>
  <si>
    <t>RL8,RL12,RL19</t>
  </si>
  <si>
    <t>IN17 コンポジット出ない。リレー叩いたら出る</t>
  </si>
  <si>
    <t>2025/10/17 リレー制御電圧は2.92～2.94V。
2025/10/22 RL17交換し、調整へ
20251211　完了へ移動</t>
  </si>
  <si>
    <t>MV-420SDI</t>
  </si>
  <si>
    <t>IN2.16コンポジット出ない(リレー叩いたら出る）。IN9 コンポジット出ない(叩いてもNG）
リレー交換実施後、IN5にコンポジット出力無を確認。リレーを押すと切り替わる。</t>
  </si>
  <si>
    <t>2025/10/17 リレー制御電圧は2.92～2.94V。
2025/10/28 RL2,9,16を交換
20251211　完了へ移動</t>
  </si>
  <si>
    <t>RL2,RL6,RL9</t>
  </si>
  <si>
    <t>IN5.14コンポジット出ない。リレー叩いたら出る</t>
  </si>
  <si>
    <t>2025/10/17 リレー制御電圧は2.92～2.94V。
2025/10/27 RL5,14交換し、調整へ
20251118　完了へ移動</t>
  </si>
  <si>
    <t>RL5,RL14</t>
  </si>
  <si>
    <t>IN11.14.16コンポジット出ない。リレー叩いたら出る</t>
  </si>
  <si>
    <t>2025/10/17 リレー制御電圧は2.92～2.94V。
20251118　完了へ移動</t>
  </si>
  <si>
    <t>R11,RL14,RL16</t>
  </si>
  <si>
    <t>IN15 SDI出ない。リレー不良。</t>
  </si>
  <si>
    <t>2025/10/10 リセット、電源OFF時に導通なし。部品出庫依頼。
2025/10/21 RL5交換。改善し調整へ
20251106　完了へ移動</t>
  </si>
  <si>
    <t>RL15</t>
  </si>
  <si>
    <t>RL7 Bypass出力に切り替わらない。
台座からリレー本体が浮いている。</t>
  </si>
  <si>
    <t>251009 センターへ返却
251020 基板受け取り(未修正)⇒基板はQMへ
251022 センターへ交換部品を出庫するように依頼
20251106　完了へ移動</t>
  </si>
  <si>
    <t>R24633
仕掛残1</t>
  </si>
  <si>
    <t>LCD12縦線</t>
  </si>
  <si>
    <t>20251008 10/10希望でセンターへ交換依頼
20251015 交換品受け取り、再組配
20251106　完了へ移動</t>
  </si>
  <si>
    <t>CPU_V</t>
  </si>
  <si>
    <t>CN5・6（LAN2A・2B）コネクタのピン折れ</t>
  </si>
  <si>
    <t>2025/10/7　センターへ部品の取り外し依頼（10/17納期）※購買へ部品出庫依頼済
2025/10/27　センターより返却。修理完了。
2025/11/21　入庫完了。
20251125　完了へ移動</t>
  </si>
  <si>
    <t>E4852-1</t>
  </si>
  <si>
    <t>CN5・6</t>
  </si>
  <si>
    <t>R25243</t>
  </si>
  <si>
    <t>MFR-16RUTA</t>
  </si>
  <si>
    <t>エージング後に電源OFF→ONで表示器が点灯しないことがある。（市場にて同様の不具合が発生しています）</t>
  </si>
  <si>
    <t>2025/10/6　市場不具合品を開発にて調査中。(Redmine：36649 三友経由ｻｰﾊﾞｰｴｰｼﾞｪﾝﾄ向け)
2025/11/18　開発より対策指示有　入庫完了。
20251118　完了へ移動</t>
  </si>
  <si>
    <t>オプション組み込み作業中にドライバーを落とし、12Vラインショート</t>
  </si>
  <si>
    <t>20251002 Q37ショート(Q37及び調査の為取り外ししたR1023/C1976/C1986/C1996~1998出庫依頼)
20251003 該当箇所取付して動作OK
20251015　完了へ移動</t>
  </si>
  <si>
    <t>Q37</t>
  </si>
  <si>
    <t>RS1E280BNTB</t>
  </si>
  <si>
    <t>R25222</t>
  </si>
  <si>
    <t>MFR-1000</t>
  </si>
  <si>
    <t>DST2 全フォーマット出力しない
IC33 27pinと28pinが半田ボールでショートしている</t>
  </si>
  <si>
    <t>20251001 半田ボール除去
20251015　完了へ移動</t>
  </si>
  <si>
    <t>E04821</t>
  </si>
  <si>
    <t>IC33</t>
  </si>
  <si>
    <t>IN15 HD出ない。リレー不良。</t>
  </si>
  <si>
    <t>2025/10/9 RL15交換、調整へ
20251106　完了へ移動</t>
  </si>
  <si>
    <t>RL7リレー不良</t>
  </si>
  <si>
    <t>20250926 部品出庫依頼(9/29希望)
20250929 RL7交換して復帰
20251106　完了へ移動</t>
  </si>
  <si>
    <t>R25353</t>
  </si>
  <si>
    <t>1UH R3GSDI</t>
  </si>
  <si>
    <t>HDパソロジNG</t>
  </si>
  <si>
    <t>2025/9/25 Rear基板を挿抜し改善。調整へ
20250930　完了へ移動</t>
  </si>
  <si>
    <t>R24705</t>
  </si>
  <si>
    <t>RL18リレー不良</t>
  </si>
  <si>
    <t>2025/9/24 RL18交換して復帰
20250930　完了へ移動</t>
  </si>
  <si>
    <t>R25272</t>
  </si>
  <si>
    <t>FA-10DCCRU</t>
  </si>
  <si>
    <t>S6半田ブリッジ</t>
  </si>
  <si>
    <t>2025/9/24 半田修正して動作OK
20250925　完了へ移動</t>
  </si>
  <si>
    <t>OU_SUB_CD</t>
  </si>
  <si>
    <t>ラバースィッチのMENU(LED4)が白点灯しない。</t>
  </si>
  <si>
    <t>LED4交換後、点灯OK
20250930　完了へ移動</t>
  </si>
  <si>
    <t>LED4</t>
  </si>
  <si>
    <t>IN13 コンポジット出ない。</t>
  </si>
  <si>
    <t>2025/9/25 RL13交換し、調整へ
20251106　完了へ移動</t>
  </si>
  <si>
    <t>IN5,19,20コンポジット出ない。</t>
  </si>
  <si>
    <t>2025/9/26 RL5,19,20交換し、調整へ</t>
  </si>
  <si>
    <t>RL5,19,20</t>
  </si>
  <si>
    <t>IN14,20コンポジット出ない。</t>
  </si>
  <si>
    <t>2025/9/26 RL14,20交換し、調整へ
20250930　完了へ移動</t>
  </si>
  <si>
    <t>RL14,20</t>
  </si>
  <si>
    <t>2025/9/25 RL13交換し、調整へ
20250930　完了へ移動</t>
  </si>
  <si>
    <t>R24305</t>
  </si>
  <si>
    <t>起動せず</t>
  </si>
  <si>
    <t>25/9/17 コードデバッガよりCPU / FPGA 書き込みできず。電源電圧は問題なさそう。
2025/11/13 各電源電圧は正常。FPGA (IC16)Config Done Lowレベルのまま。
2025/11/14　開発にて再書き込みで復旧。検査・入庫完了。
20251118　完了へ移動</t>
  </si>
  <si>
    <t>E03893-1</t>
  </si>
  <si>
    <t>R24633</t>
  </si>
  <si>
    <t>RU CPU CARD</t>
  </si>
  <si>
    <t>AC Power Input 1 未入力の状態でNGと表示される。
CN14 2ピンと3ピンが常時導通していない。
(正常時は未入力で導通)</t>
  </si>
  <si>
    <t>20250912 部品在庫状況確認中
2025/9/19 部品交換して復帰
20250930　完了へ移動</t>
  </si>
  <si>
    <t>E03538</t>
  </si>
  <si>
    <t>周波数不良　1.023992（1.023994までのところ）
RTCの設定変更したが可変せず</t>
  </si>
  <si>
    <t>2025/9/18 IC61交換し、調整へ
20251015　完了へ移動</t>
  </si>
  <si>
    <t>R24588</t>
  </si>
  <si>
    <t>S24縦線</t>
  </si>
  <si>
    <t>2025/9/12　センターへ部品の取り外し依頼
2025/10/6　センターより返却　部品取り付けして検査完了
2025/11/28　入庫完了。
20251201　完了へ移動</t>
  </si>
  <si>
    <t>S24</t>
  </si>
  <si>
    <t>IN16デジタルNG リレー不良</t>
  </si>
  <si>
    <t>2025/9/12 RL16交換し、調整へ
20250930　完了へ移動</t>
  </si>
  <si>
    <t>IN9 コンポジットでない。</t>
  </si>
  <si>
    <t>2025/9/12 RL9交換し、調整へ
20250930　完了へ移動</t>
  </si>
  <si>
    <t>IN11 コンポジット出ない。リレー不良。</t>
  </si>
  <si>
    <t>2025/9/12 RL11交換し、調整へ
20250930　完了へ移動</t>
  </si>
  <si>
    <t>R25223</t>
  </si>
  <si>
    <t>2025/9/11 C146交換し調整へ→動作確認しOK、仕掛りへ返却
20251015　完了へ移動</t>
  </si>
  <si>
    <t>R24214</t>
  </si>
  <si>
    <t>IN11 コンポジット出るのが遅い
　リレーの切り替わり反応が鈍い</t>
  </si>
  <si>
    <t>2025/9/10 RL11交換し調整へ
20250925　完了へ移動</t>
  </si>
  <si>
    <t>R23抵抗が立っている。
近くに後付け部品有</t>
  </si>
  <si>
    <t>20250908 センターへ返却
20250912 修正品受け取り、動作確認してＯＫ
20250930　完了へ移動</t>
  </si>
  <si>
    <t>R23</t>
  </si>
  <si>
    <t>FPGA書込みできず
(Xilinxの書込みまではできるが、再起動後MBPUpdaterツール開かず書込みできない)</t>
  </si>
  <si>
    <t>2025/9/8 CN15 (金端)にフラックス？付着、洗浄して調整へ。
　　　　FPGAの書込み正常となる→仕掛りへ返却
20251125　完了へ移動</t>
  </si>
  <si>
    <t>R23644</t>
  </si>
  <si>
    <t>CPU</t>
  </si>
  <si>
    <t>1759に差し込みしたCPU
プレスフィット破損の疑い有の為、交換へ</t>
  </si>
  <si>
    <t>250904 9/5希望でCN11,CN12交換依頼⇒9/4に受け取り済み
20250919　完了へ移動</t>
  </si>
  <si>
    <t>R24432</t>
  </si>
  <si>
    <t>31CPU基板との嵌合が悪い
プレスフィット破損の疑い有の為、交換へ</t>
  </si>
  <si>
    <t>250905 9/8希望でCN11,CN12交換依頼
250908 交換品受け取り
20250919　完了へ移動</t>
  </si>
  <si>
    <t>単品チェックにてLinkup Speedが“3×1”と表示される。(正常は3×8)
調整時によく使用するスロット3つで3×1、他スロット2つで3×8と認識される。
正常基板が3×8と表示されるスロットで3×1と表示される場合はFPGA不良の可能性有りとFV 粕加屋さんより連絡有り</t>
  </si>
  <si>
    <t>2025/9/8 金端部分に汚れ発見、アルコールで拭いた後に3×1と表示されたスロットにさしてみたところ、3×8と表示されるようになった。
各スロットに何度かさしこみ、変わらず“3×8”表示だったため仕掛りへ返却
20251015　完了へ移動</t>
  </si>
  <si>
    <t>RU_CPU</t>
  </si>
  <si>
    <t>20250905 9/10希望でセンターへ交換依頼
20250910 交換品受け取り、動作確認してOK
20250925　完了へ移動</t>
  </si>
  <si>
    <t>LCD16 縦線</t>
  </si>
  <si>
    <t>20250903 9/8希望でセンターへ取り外し依頼
20250908 取り外し品受け取り、LCD16取付
20250925　完了へ移動</t>
  </si>
  <si>
    <t>LCD5 縦線</t>
  </si>
  <si>
    <t>20250903 9/8希望でセンターへ取り外し依頼
20250908 取り外し品受け取り、LCD5取付
20250930　完了へ移動</t>
  </si>
  <si>
    <t>LCD5</t>
  </si>
  <si>
    <t>時刻設定用RTCの周波数不良</t>
  </si>
  <si>
    <t>2025/9/3 周波数可変設定を実施しても変化なし
2025/9/4 IC61交換し、調整へ
20250919　完了へ移動</t>
  </si>
  <si>
    <t>周波数不良</t>
  </si>
  <si>
    <t>2025/9/1 IC61交換し、調整へ
20250903　完了へ移動</t>
  </si>
  <si>
    <t>R25212</t>
  </si>
  <si>
    <t>１HU_MAIN</t>
  </si>
  <si>
    <t>SDタイミングジッタ 2.0以上</t>
  </si>
  <si>
    <t>2025/9/11 C379交換し、改善。調整へ
20250919　完了へ移動</t>
  </si>
  <si>
    <t>POW_F
POWER　B</t>
  </si>
  <si>
    <t>19080256→
19080231→
19080259へ</t>
  </si>
  <si>
    <t>PS2側　SW1がONのまま</t>
  </si>
  <si>
    <t>2025/8/28　不良基板を切り分け　電源ユニットを坂下さんへ
25/8/29 スイッチがON状態（GNDへ) 　単品状態では改善、接点に異物か？
2025/9/1 基板バラシ状態で現象再現せず。フラックスと思われる物質付着のため洗浄して組配へ
25/9/4 再組立て後、通電したが改善せず
25/10/21 IC6リワーク依頼（希望納期１１月１４日)
25/11/5 IC6リワーク実施、症状改善
2025/12/23　検査完了・入庫完了。
20251224　完了へ移動</t>
  </si>
  <si>
    <t>E04855
E04856</t>
  </si>
  <si>
    <t>RL1リレー不良</t>
  </si>
  <si>
    <t>20250828 RL1交換
20250903　完了へ移動</t>
  </si>
  <si>
    <t>2025/8/27 IC61交換し、調整へ
20250901　完了へ移動</t>
  </si>
  <si>
    <t>0202/08/29</t>
  </si>
  <si>
    <t>1080/59.94p、59.94iタイミングジッタが大きい
インターナル、B.B、3値すべて同様
SD(NTSC/PAL両方)、1080/50p、50iは正常
急冷しても現象変わらず</t>
  </si>
  <si>
    <t>20250825 X2出庫依頼
20250827 9/19希望でリワーク依頼
2025/9/5 リワーク品受け取り、動作確認してOK
20250925　完了へ移動</t>
  </si>
  <si>
    <t>X2</t>
  </si>
  <si>
    <t>R231破損、1113ついていない</t>
  </si>
  <si>
    <t>2025/8/22 部品出庫依頼
2025/8/25 部品交換し調整へ
20250925　完了へ移動</t>
  </si>
  <si>
    <t>GENLOCK効かない R231破損、C1113ついていない</t>
  </si>
  <si>
    <t>2025/8/22 部品出庫依頼
2025/8/25 部品交換し調整へ
20250901　完了へ移動</t>
  </si>
  <si>
    <t>R24166</t>
  </si>
  <si>
    <t>MFR-AAI</t>
  </si>
  <si>
    <t>オーディオレベルがスペック外(VR調整が取り切れない)</t>
  </si>
  <si>
    <t>IC77、97交換復帰せず。VR調整付近の回路に異常なし。⇒原因不明により廃棄
20250821　54期末廃棄
20250922　54期末廃棄稟議通ったので完了へ移動。</t>
  </si>
  <si>
    <t>E04283</t>
  </si>
  <si>
    <t>54期廃棄予定へ追加</t>
  </si>
  <si>
    <t>音声出力せず(信号ラインとGNDショート)</t>
  </si>
  <si>
    <t>CN1交換したが、復帰せず。(基板ショートの可能性あり)⇒原因不明により廃棄
20250821　54期末廃棄
20250922　54期末廃棄稟議通ったので完了へ移動。</t>
  </si>
  <si>
    <t>R25210</t>
  </si>
  <si>
    <t>FA-10AES</t>
  </si>
  <si>
    <t>AES</t>
  </si>
  <si>
    <t>立ち上がらない。C197手半田の跡がある。
R238導通していない(+5.5Vライン、０Ω抵抗が非導通)</t>
  </si>
  <si>
    <t>20250821 センターへ修正依頼
20250822 修正品受け取り、動作確認してOK
20250825　完了へ移動</t>
  </si>
  <si>
    <t>2025/8/21 RL16のReset時に導通なし、部品を強めに押すと導通する。3D検査装置で測定のためQMへ引き渡し
2025/10/9 RL15交換し、調整へ
20251106　完了へ移動</t>
  </si>
  <si>
    <t>R24705
⇒R25351</t>
  </si>
  <si>
    <t>20250819 RL1交換で復帰
20250825　完了へ移動</t>
  </si>
  <si>
    <t>R25219
作番完了</t>
  </si>
  <si>
    <t>MFR-32RUW</t>
  </si>
  <si>
    <t>CPU_SW1</t>
  </si>
  <si>
    <t>電源入れても正常に立ち上がらす、MACアドレス書き込み不可能。</t>
  </si>
  <si>
    <t>2025/8/8 IC12に半田くずの付着有り、MFGセンターへ返却予定
2025/8/21 MFGセンターへ戻し
2025/9/3 MFGセンターより修正完了
2025/9/10　検査完了
20251125　完了へ移動</t>
  </si>
  <si>
    <t>E04002</t>
  </si>
  <si>
    <t>IC12</t>
  </si>
  <si>
    <t>R24979(作番完了)</t>
  </si>
  <si>
    <t>CN15の実装向き逆</t>
  </si>
  <si>
    <t>2025/8/7 MFGセンターへ返却予定
2025/9/1 MFGセンターより修理受け取りR番に返却済み
20251209　完了へ移動</t>
  </si>
  <si>
    <t>E03556</t>
  </si>
  <si>
    <t>3QG3504509
(5045-09A)</t>
  </si>
  <si>
    <t>1UH＿R3GSDI</t>
  </si>
  <si>
    <t>HD パソロジ100mNG
CBは100ｍ OK、3G 70ｍはOK</t>
  </si>
  <si>
    <t>2025/8/1 ESG4100+WFM8300 の環境で再現せず。
2025/8/4 WFM7100以外の波形モニタでは現象出ず。LV5600の判定を採用する。
20250808　完了へ移動</t>
  </si>
  <si>
    <t>R25118</t>
  </si>
  <si>
    <t>F_IF</t>
  </si>
  <si>
    <t>メニュースイッチ「HDR/WCG SETUP」、「GAIN」、「SYSTEM」の青色が点灯しない。</t>
  </si>
  <si>
    <t>25/8/1 切り分け実施、フロントパネル側が原因。基板目視確認後、再取り付け後、正常動作→I/F基板との接触不良か？調整ラインにて様子見
2025/9/4　異常が見られない為、検査完了　入庫完了
20250919　完了へ移動</t>
  </si>
  <si>
    <t>E04491A</t>
  </si>
  <si>
    <t>CN3？</t>
  </si>
  <si>
    <t>金端</t>
  </si>
  <si>
    <t>R21766</t>
  </si>
  <si>
    <t>MV-16SIPIO</t>
  </si>
  <si>
    <t>SDI出力アライメントジッタ 3G：0.36UI</t>
  </si>
  <si>
    <t>2025/7/30 本リストへの記載漏れの為、新規追加
GEN2の波形モニタで0.11UI。電源起動により0.25UIになる。
20250922　54期末でEOL廃棄。
20250922　54期末廃棄稟議通ったので完了へ移動。</t>
  </si>
  <si>
    <t>E04570</t>
  </si>
  <si>
    <t>12Gチェック時、タイミングジッタ大(4.0UI以上)</t>
  </si>
  <si>
    <t>2025/7/31 C147交換、効果がなければX1交換
2025/7/31 動作確認しOK、仕掛へ返却
20250919　完了へ移動</t>
  </si>
  <si>
    <t>C147？</t>
  </si>
  <si>
    <t>3QCX1AMTCP225</t>
  </si>
  <si>
    <t>周波数1.023994までのところ1.023987しかない</t>
  </si>
  <si>
    <t>2025/7/31 IC61交換し、調整へ
20250808　完了へ移動</t>
  </si>
  <si>
    <t>R24722</t>
  </si>
  <si>
    <t>8SDI CARD</t>
  </si>
  <si>
    <t>IN4 3G 100m受信しない。ショートはOK
L8インダクタが無くなっている</t>
  </si>
  <si>
    <t>20250729 L8(LQG15HS4N7B02D)出庫依頼
20250731 L8取り付け、動作確認してOK
20250919　完了へ移動</t>
  </si>
  <si>
    <t>L8</t>
  </si>
  <si>
    <t>3QE2QG15H4N7</t>
  </si>
  <si>
    <t>2025/7/29 C146交換し調整へ
2025/7/29 動作確認してOK、仕掛へ返却
20250919　完了へ移動</t>
  </si>
  <si>
    <t>2025/7/29 C146交換し調整へ
2025/7/29 動作確認してOK、仕掛へ返却
20250808　完了へ移動</t>
  </si>
  <si>
    <t>RL3リレー不良
(抵抗定数変更後の基板)</t>
  </si>
  <si>
    <t>20250724 RL3交換
20250903　完了へ移動</t>
  </si>
  <si>
    <t>RL3</t>
  </si>
  <si>
    <t>R25178</t>
  </si>
  <si>
    <t>3.3Vショート　1.8V出力してない</t>
  </si>
  <si>
    <t>25/7/22  C49ハンダショート。MFGセンターへ返却
2025/7/24 MFRGセンターにて修正完了。組配へ
2025/8/1　検査完了
20250930　完了へ移動</t>
  </si>
  <si>
    <t>E04271</t>
  </si>
  <si>
    <t>C49</t>
  </si>
  <si>
    <t>◯</t>
  </si>
  <si>
    <t>S28縦線</t>
  </si>
  <si>
    <t>25/7/18　センターへ部品取り外し依頼
2025/7/25 MFGセンターより受取
2025/8/7　検査完了・入庫完了
20250808　完了へ移動</t>
  </si>
  <si>
    <t>S28</t>
  </si>
  <si>
    <t>R24119</t>
  </si>
  <si>
    <t>MV-4210MAIN</t>
  </si>
  <si>
    <t>立ち上がらない。</t>
  </si>
  <si>
    <t>2025/7/17 IC85 GNDへショート。部品出庫依頼。
2025/7/28 リワーク依頼
2025/8/8 受け取り
2025/8/21 L101,L103取り付けし、動作確認。調整へ
20250925　完了へ移動</t>
  </si>
  <si>
    <t>E05004</t>
  </si>
  <si>
    <t>IC85</t>
  </si>
  <si>
    <t>3QAZ5TCDC1212
(CDCLVD1212RHAT)</t>
  </si>
  <si>
    <t>S33縦線</t>
  </si>
  <si>
    <t>2025/7/16　センターへ部品取り外し依頼
2025/7/25 MFGセンターより受取
2025/8/7　検査完了・入庫完了
20250808　完了へ移動</t>
  </si>
  <si>
    <t>S33</t>
  </si>
  <si>
    <t>-→17243050へ</t>
  </si>
  <si>
    <t>起動せず(組配にて)</t>
  </si>
  <si>
    <t>25/7/15 IC114 (+5.0VB)出力せず。同部品出庫依頼
25/7/23 部品入手
25/7/28 リワーク依頼 (納期8/29）
25/8/8 リワーク上がり通電→改善せず
25/8/20 R744/742/740交換にて改善→R740センターへ交換依頼(新品)
25/9/2 センター上がり、正常起動確認→組配へ引き渡し
2025/9/10　検査完了
2025/9/25　入庫完了
20250930　完了へ移動</t>
  </si>
  <si>
    <t>IC114
R744 / R742 / 
R740</t>
  </si>
  <si>
    <t xml:space="preserve">3QA62BD95861M
</t>
  </si>
  <si>
    <t>R23669
作番完了
→R24536</t>
  </si>
  <si>
    <t>C / B</t>
  </si>
  <si>
    <t>MV-4200MF</t>
  </si>
  <si>
    <t>FAN ALARM(D51)とGENLOCK(D52)が点灯する。</t>
  </si>
  <si>
    <t>20250728　修理完了し２課で組配済み。出荷は未定。
20250731　完了へ移動
2025/9/4 現象再発。SW46のキートップ部が原因。部品出庫依頼
2025/9/8 SW46 部品交換し、現象再現せず。仕掛(組配棚)へ返却
20250925　完了へ移動.</t>
  </si>
  <si>
    <t>E04081</t>
  </si>
  <si>
    <t>SW46</t>
  </si>
  <si>
    <t>3QF6K22K718C4</t>
  </si>
  <si>
    <t>OUT4a出力が波形モニター上でunlockと表示され、映像がいない
リレーはオペレート側に切り替わっている</t>
  </si>
  <si>
    <r>
      <rPr>
        <rFont val="Arial"/>
        <color theme="1"/>
        <sz val="10.0"/>
      </rPr>
      <t>20250723 8/5希望でIC28交換依頼
20250807 未納の為、センターへ確認、8/8上がり予定</t>
    </r>
    <r>
      <rPr>
        <rFont val="Arial"/>
        <color rgb="FFFF0000"/>
        <sz val="10.0"/>
      </rPr>
      <t xml:space="preserve">
20250808 動作確認して変わらず。オシロ上はケーブルドライバーまで信号有、ケーブルドライバー通過後のレベルが正常な出力と比較して非常に小さい
</t>
    </r>
    <r>
      <rPr>
        <rFont val="Arial"/>
        <color theme="1"/>
        <sz val="10.0"/>
      </rPr>
      <t>20250828 RL16交換で復帰(調査の為、周辺部品も取り外しを実施し、元に復元)
20250903　完了へ移動</t>
    </r>
  </si>
  <si>
    <t>E03906B</t>
  </si>
  <si>
    <t>IC28
RL16</t>
  </si>
  <si>
    <t>3QA6ZL0302SQN
3QF9ARS10Y03</t>
  </si>
  <si>
    <t>-
〇</t>
  </si>
  <si>
    <t xml:space="preserve">×
</t>
  </si>
  <si>
    <t>AC　Power2　None　表示</t>
  </si>
  <si>
    <t>2025/7/7　CN15　2ﾋﾟﾝのハンダが多すぎる。（あがりすぎている）センター返却
2025/7/23 MFGセンターより戻り、調整へ
2025/8/7　検査完了・入庫完了
20250808　完了へ移動</t>
  </si>
  <si>
    <t>R24633
仕掛残1　入庫済み？</t>
  </si>
  <si>
    <t>1695の現象がロット全体に渡って発生している</t>
  </si>
  <si>
    <r>
      <rPr>
        <rFont val="Arial"/>
        <color theme="1"/>
      </rPr>
      <t xml:space="preserve">2025/0708 組配工程から21式,調整工程から17式センターへ修正依頼(先行して調整17式を7/9希望残り確認中)
20250709 8式交換、残りは接点洗浄剤で確認しNGだったら返す方針に変更
20250710 9枚OK他未チェック
20250718 調整工程17式分はOK、組配工程21式は未チェック
20250724 21式中13式確認しOK、残8式は未チェック
20250902 未チェック残1(板金修正完了次第確認)
</t>
    </r>
    <r>
      <rPr>
        <rFont val="Arial"/>
        <color rgb="FFFF0000"/>
      </rPr>
      <t>20251008 チェック完了</t>
    </r>
    <r>
      <rPr>
        <rFont val="Arial"/>
        <color theme="1"/>
      </rPr>
      <t xml:space="preserve">
20251106　完了へ移動</t>
    </r>
  </si>
  <si>
    <t>LCD5~8点灯しない
CPU基板に現象はついてこない
CN3,CN4の金端に半田が上がってきている</t>
  </si>
  <si>
    <r>
      <rPr>
        <rFont val="Arial"/>
        <color theme="1"/>
      </rPr>
      <t xml:space="preserve">20250704 </t>
    </r>
    <r>
      <rPr>
        <rFont val="Arial"/>
        <strike/>
        <color theme="1"/>
      </rPr>
      <t>3D検査機</t>
    </r>
    <r>
      <rPr>
        <rFont val="Arial"/>
        <color theme="1"/>
      </rPr>
      <t>キーエンスで撮影の為、DISP/SWをQMへ貸出
2025/8/21 QMより受取
2025/9/3 センターへ返却(9/8希望)
20250908 受け取り、動作確認してNG(SW基板の抵抗が立っていた不良1762へ移行)
20250930　完了へ移動</t>
    </r>
  </si>
  <si>
    <t>R24285</t>
  </si>
  <si>
    <t>基板無し　2枚単品出荷対応　再製作実施不明</t>
  </si>
  <si>
    <t>25/7/1　行方不明リストへ移行
20250710　完了へ移動</t>
  </si>
  <si>
    <t xml:space="preserve">　　　△</t>
  </si>
  <si>
    <t>基板無し　不良基板ロット繰越しの為、他作番にて廃棄された模様</t>
  </si>
  <si>
    <t>25/7/1 行方不明リストへ移行
20250710　完了へ移動</t>
  </si>
  <si>
    <t>OU2_TRANS22</t>
  </si>
  <si>
    <t>C177破損(リードが外れている)を確認。発生現場の特定は不可</t>
  </si>
  <si>
    <t>2025/6/27 部品出庫依頼
2025/7/04 MFGセンターへ状態確認のため発送
2025/7/18 MFGセンターにて修理完了。組配へ
2025/8/29 動作確認完了
20250930　完了へ移動</t>
  </si>
  <si>
    <t>E04399</t>
  </si>
  <si>
    <t>C177</t>
  </si>
  <si>
    <t>3QCZKR5R5V334
(KR-5R5V334-R)</t>
  </si>
  <si>
    <t>R25059</t>
  </si>
  <si>
    <t>EzV-400組込み後、IO2(CN2)パソロジ入力NG(1m/100m共に)
単体チェックでは問題無し</t>
  </si>
  <si>
    <t>2025/6/9 EzV-400組込み後、IO2(CN2)パソロジ入力NG(1m/100m共に)
2025/6/12 再度単体チェック実施→OK(パソロジも問題無し)
2025/6/23 EzV-410組込み後、IO2(CN2)パソロジ入力NG(1m/100m共に)
2025/6/25 IC3交換予定。部品出庫依頼
2025/6/27 7月上旬に部品納品予定
2025/7/18 リワーク依頼中（納期 8月中旬？）
2025/8/1 リワーク戻り、調整へ
2025/8/7 単品調整OK、EzV-410(サービスメンテ機)用として2課へボード引渡し済み
2025/8/7 EzV-410組込み動作確認しOK
20250808　完了へ移動</t>
  </si>
  <si>
    <t>3QA6Z6G12190</t>
  </si>
  <si>
    <t>R24455</t>
  </si>
  <si>
    <t>FRONT　FAN</t>
  </si>
  <si>
    <t>FAN②異音がする。</t>
  </si>
  <si>
    <t>2025/6/18　組配Gへ返却してファン交換（廃棄品のファンを使用）
2025/6/19　検査完了
20250626　完了へ移動</t>
  </si>
  <si>
    <t>E04494-1</t>
  </si>
  <si>
    <t>ファン②</t>
  </si>
  <si>
    <t>3QZ4P1608</t>
  </si>
  <si>
    <t>SDI出力adjustmentからAUDIOの選択時、ヘッドホンから通常の音に雑音が入る
RTCの周波数を可変出来ない。</t>
  </si>
  <si>
    <t>2025/6/17 RS開発部へ調査依頼中。実機貸出                                                                  2025/07/8戻りました
2025/7/15 AUDIOの雑音は再現しないため、別の号機で再現した場合に調査再開とする。
2025/7/15 IC61交換し調整へ
20250718　完了へ移動</t>
  </si>
  <si>
    <t>R24284</t>
  </si>
  <si>
    <t>SDI出力adjustmentからAUDIOの選択時、ヘッドホンから通常の音に雑音が入る→開発確認して頂き現象が出ない為次回出荷予定</t>
  </si>
  <si>
    <t>2025/6/17 RS開発部へ調査依頼中→現象が出ない為出荷
20250710　完了へ移動</t>
  </si>
  <si>
    <t>2025/6/13 C146交換し調整へ
2025/6/16 正常に動作することを確認
20250808　完了へ移動</t>
  </si>
  <si>
    <t>R23769</t>
  </si>
  <si>
    <t>HVS-490</t>
  </si>
  <si>
    <t>HVS OU側のLAN通信せず</t>
  </si>
  <si>
    <t>2023/10/4 MACアドレス未設定、再設定後に通信確立。2課へ
 仕掛週報C 残2/50
20241126　出荷済である事を確認。
20241225　完了へ移動。
25/6/9  再発(通信断繰り返す)情報　検証中→再現せず   旧項番672
25/6/11 基板のコネクタに異常無し。基板抜き差しで再現しなくなる。
調整検査中は1度も再現しませんでした。
20250703　次回出荷引き当てまで様子見。
2025/07/10 今日まで再現しない。S/N0698に組込み、F5470207-01に引き当て。
20250711　20250716に出荷予定。
20250718　完了へ移動</t>
  </si>
  <si>
    <t>E04391-3</t>
  </si>
  <si>
    <t>R25166</t>
  </si>
  <si>
    <t>MBP-210MF</t>
  </si>
  <si>
    <t>POWER IF CD</t>
  </si>
  <si>
    <t>BITファイル書込み時にエラーになってしまう</t>
  </si>
  <si>
    <t>2025/6/11 IC1000交換とFV開発(深山さん)よりアドバイス有り
2025/10/15 初回専用版書込みは成功する。最新版の書込みでVerification Errorとなる。
2025/10/20 IC1000交換したが改善せず。2回目のbitファイルでエラー
2025/10/21 FV 深山さんへ調査依頼のため引き渡し→書き込み成功、製造へ返却
2025/11/04 MBP-210VSに組込み正常に動作することを確認
20251118　完了へ移動</t>
  </si>
  <si>
    <t>E05028</t>
  </si>
  <si>
    <t>IC1000</t>
  </si>
  <si>
    <t>3QA7SW25X40S</t>
  </si>
  <si>
    <t>R24693</t>
  </si>
  <si>
    <t>IN12 HD出ない。RL12浮いている。</t>
  </si>
  <si>
    <t>2025/6/3 RL12交換し調整へ
20250613　完了へ移動</t>
  </si>
  <si>
    <t>3QF9ARS30Y03
( ARS30Y03 )</t>
  </si>
  <si>
    <t>R24999</t>
  </si>
  <si>
    <t>MFR-16SDOA(MFR-SDO)</t>
  </si>
  <si>
    <t>8SDO</t>
  </si>
  <si>
    <t>19440656(19531829)</t>
  </si>
  <si>
    <t>OUT10 全フォーマット出力せず ショートもNG</t>
  </si>
  <si>
    <r>
      <rPr>
        <rFont val="Arial"/>
        <color theme="1"/>
        <sz val="10.0"/>
      </rPr>
      <t xml:space="preserve">2025/6/5　</t>
    </r>
    <r>
      <rPr>
        <rFont val="Arial"/>
        <color rgb="FFEA4335"/>
        <sz val="10.0"/>
      </rPr>
      <t>MOTHER基板の不良でした。項番1676へ</t>
    </r>
    <r>
      <rPr>
        <rFont val="Arial"/>
        <color theme="1"/>
        <sz val="10.0"/>
      </rPr>
      <t xml:space="preserve">
20250613　完了へ移動</t>
    </r>
  </si>
  <si>
    <t>2025/5/30 IC61を4回交換したが改善せず
2025/6/6 RTCの周波数オフセット設定にて対応予定。(設定方法は開発より説明済)
20251209　完了へ移動</t>
  </si>
  <si>
    <t>R24287</t>
  </si>
  <si>
    <t>OU2_BUS</t>
  </si>
  <si>
    <t>EMC3(ロータリーエンコーダF3)を回しても正常に反応しない。押しは正常。調整検査時は発生していなかった。</t>
  </si>
  <si>
    <t>EMC3交換後、再検査で正常動作確認できました。。
20250710　完了へ移動</t>
  </si>
  <si>
    <t>E04401-2</t>
  </si>
  <si>
    <t>EMC3</t>
  </si>
  <si>
    <t>3QFZ16A25M7</t>
  </si>
  <si>
    <t>OU3 TRANS</t>
  </si>
  <si>
    <t>SW103押しても反応せず、点灯はする。P1,2押してもショートしないので、ボトムが故障している可能性あり。</t>
  </si>
  <si>
    <t>2025/5/28 SW103交換し、組配へ
2025/11/14 交換後の再検査で異常なし
20251118　完了へ移動</t>
  </si>
  <si>
    <t>E04976</t>
  </si>
  <si>
    <t>SW103</t>
  </si>
  <si>
    <t>3QF6K9MKM</t>
  </si>
  <si>
    <t>ファン全開</t>
  </si>
  <si>
    <t>25/5/23 3.3V～GNDショート
25/5/26 R46取り外し(切り分け) IC1不良か？出庫依頼
25/5/29  部品入手
25/6/10 リワーク依頼(7/8納期)
25/6/20 リワーク上がり→ショート改善せず
25/6/23  C47破損？取り外し→ショート改善　センターへ原状回復依頼
25/7/1 センターより受領　ショート改善、通電・ファン回転制御改善
2025/7/3　検査完了
20250710　完了へ移動</t>
  </si>
  <si>
    <t>3QA62BD95861M</t>
  </si>
  <si>
    <t>時刻設定できず</t>
  </si>
  <si>
    <t>25/5/23 X12 1PIN-4PINはんだショート
25/5/27 はんだ除去→改善
20250701　完了へ移動</t>
  </si>
  <si>
    <t xml:space="preserve">3QZ6MC32.768K
( MC146_32.768K12.5/20 ) </t>
  </si>
  <si>
    <t>周波数1.023994までのところ1.023991</t>
  </si>
  <si>
    <t>2025/5/26 IC61交換後、1.023997KHzに改善。調整へ返却
20250602　完了へ移動</t>
  </si>
  <si>
    <t>3QA8RRV3029C2
( RV-3029-C2-TB-030 )</t>
  </si>
  <si>
    <t>R24977</t>
  </si>
  <si>
    <t>REAR CD</t>
  </si>
  <si>
    <t>SDI OUT6 出力せず</t>
  </si>
  <si>
    <t>2025/5/22 RL6 8ピン未はんだ。MFGセンターへ返却
2025/6/6 MFGセンターより受取、組配へ。
25/6/20 DSK-400 S/NO.16230351へ引き当て　調整検査完了。7月出荷予定。
20250701　完了へ移動</t>
  </si>
  <si>
    <t>E04247</t>
  </si>
  <si>
    <t>RL6</t>
  </si>
  <si>
    <t>3QF9ARS10Y03
( ARS10Y03 )</t>
  </si>
  <si>
    <t>バージョンアップ後LAN通信しない</t>
  </si>
  <si>
    <t>2025/5/23 RS開発部に現品確認いただき、後日DSPのエミュレータを使用して書込みする事となる。
セカンダリデータで起動しない原因は不明
2025/07/30　不良棚にあり。
25/8/27 開発大木さんへ書きこみ依頼。現品は開発にあり。
2025/9/26 開発部より返却、FPGAのデータが破損していた模様。　　　　　　　2025/10/8バージョンが通常に出ていることを確認（松井）
20251106　完了へ移動</t>
  </si>
  <si>
    <t>キーパットの左上MENUが緑点灯しない。LED3が割れている。</t>
  </si>
  <si>
    <t>2025/5/28 LED3交換し、調整へ→組配後、正常に緑点灯することが確認できました。
20250710　完了へ移動</t>
  </si>
  <si>
    <t>3QB3SML512M
( SML-512MWT86 )</t>
  </si>
  <si>
    <t>書込み不良</t>
  </si>
  <si>
    <t>2025/5/22 RS開発部に確認いただき、書込み環境の問題と判明。
サーバーからプログラムデータを転送していた為、ﾈｯﾄﾜｰｸ状況により通信断が発生して書込み不良起きたと思われる。→再書き込み完了
20250703　完了へ移動</t>
  </si>
  <si>
    <t>周波数不良1.023994までのところ1.023988</t>
  </si>
  <si>
    <t>2025/5/27 IC61交換後、1.023994KHzに改善。調整へ返却
20250602　完了へ移動</t>
  </si>
  <si>
    <t>時刻を設定したら、カウントアップしなくなる。リブート、再起動しても直らず。何度も設定していると、動く場合があるが、その状態で設定するとまた止まる。</t>
  </si>
  <si>
    <t>25/6/10 IC80 7-8PIN間に半田くずあり　除去後ピン間抵抗値OPENに
             仮通電にて改善確認→組配へ再組立て依頼
25/6/13 組配後、再調整で時刻に異常無し。また、電源切ってから半日後起動し、
             時刻が正常に動作していることを確認。
20250710　完了へ移動</t>
  </si>
  <si>
    <t>IC80 7-8ピン</t>
  </si>
  <si>
    <t>R23387</t>
  </si>
  <si>
    <t>MFR-16DTIO</t>
  </si>
  <si>
    <t>DATA</t>
  </si>
  <si>
    <t>15720051~0055</t>
  </si>
  <si>
    <t>IC52未書き込み※2022/6月に開発から作業指示書作成予定になっていますが作成されていない。</t>
  </si>
  <si>
    <t>2025/5/20　開発へ作業指示書の作成依頼。(5/26までに)
2025/5/26　作業指示書発行　書き込み完了
20250602　完了へ移動</t>
  </si>
  <si>
    <t>E04050</t>
  </si>
  <si>
    <t>IC52</t>
  </si>
  <si>
    <t>3QAAPM9265</t>
  </si>
  <si>
    <t>◯　
NO.51のみ入庫済</t>
  </si>
  <si>
    <t>トップパネル</t>
  </si>
  <si>
    <t>吉田、石川</t>
  </si>
  <si>
    <t>板金のシルク印刷されていない個所がある
中央付近の「SEL BUS」と「HOLD」のシルク</t>
  </si>
  <si>
    <t>2025/5/19 板金業者(城北工業)へ連絡
20250930　完了へ移動</t>
  </si>
  <si>
    <t>M221935-1/M104264_2240OUAﾊﾟﾈﾙｼﾙｸ</t>
  </si>
  <si>
    <t>R25060</t>
  </si>
  <si>
    <t>2025/3月にDDR4検証のためFV開発へ貸出し(初回書込みFV対応)
製造返却後に単体チェック用データに書き換え→再起動後基板認識せず(ツールは開くがバージョン表示されない)</t>
  </si>
  <si>
    <t>2025/5/26 DSの設定が製品設定になっていたためバージョンが見れなかった
単体チェックの設定に直したらバージョン表示され正常に動作することを確認
20250613　完了へ移動</t>
  </si>
  <si>
    <r>
      <rPr>
        <rFont val="Arial"/>
        <color theme="1"/>
        <sz val="10.0"/>
      </rPr>
      <t xml:space="preserve">2025/6/25 X1交換予定。部品出庫依頼
2025/6/27 7月上旬に部品納品予定
2025/7/18 X1交換し調整へ
</t>
    </r>
    <r>
      <rPr>
        <rFont val="Arial"/>
        <color rgb="FFFF0000"/>
        <sz val="10.0"/>
      </rPr>
      <t>2025/7/25 動作確認してOK、仕掛へ返却</t>
    </r>
    <r>
      <rPr>
        <rFont val="Arial"/>
        <color theme="1"/>
        <sz val="10.0"/>
      </rPr>
      <t xml:space="preserve">
20250808　完了へ移動</t>
    </r>
  </si>
  <si>
    <t>X1</t>
  </si>
  <si>
    <t>3QZ6VC7382M</t>
  </si>
  <si>
    <t>CN19変形</t>
  </si>
  <si>
    <t>2025/5/16　センターへ部品交換依頼(部品添付)
2025/6/12　修理完了・入庫完了
20250613　完了へ移動</t>
  </si>
  <si>
    <t>CN19</t>
  </si>
  <si>
    <t>3QG1BPLH2PA</t>
  </si>
  <si>
    <t>SW42フラックス付着していて接点が接触しない</t>
  </si>
  <si>
    <r>
      <rPr>
        <rFont val="Arial"/>
        <color theme="1"/>
      </rPr>
      <t xml:space="preserve">1643/1645と同様 4件目
2025/5/15 5/19希望で部品交換依頼
</t>
    </r>
    <r>
      <rPr>
        <rFont val="Arial"/>
        <color rgb="FFFF0000"/>
      </rPr>
      <t>2025/5/20 動作確認してOK、仕掛へ返却</t>
    </r>
    <r>
      <rPr>
        <rFont val="Arial"/>
        <color theme="1"/>
      </rPr>
      <t xml:space="preserve">
20251015　完了へ移動</t>
    </r>
  </si>
  <si>
    <t>SW42</t>
  </si>
  <si>
    <t>3QF6HP03154TP
( HP03-15AFKP4-TP )</t>
  </si>
  <si>
    <t>251120から251015へ変更
(納期が早い案件受注の為、予定変更)</t>
  </si>
  <si>
    <r>
      <rPr>
        <rFont val="Arial"/>
        <color theme="1"/>
      </rPr>
      <t xml:space="preserve">1643/1645と同様 3件目
2025/5/15 5/19希望で部品交換依頼
</t>
    </r>
    <r>
      <rPr>
        <rFont val="Arial"/>
        <color rgb="FFFF0000"/>
      </rPr>
      <t>2025/5/20 動作確認してOK、仕掛へ返却</t>
    </r>
    <r>
      <rPr>
        <rFont val="Arial"/>
        <color theme="1"/>
      </rPr>
      <t xml:space="preserve">
20251015　完了へ移動</t>
    </r>
  </si>
  <si>
    <t>R25108
作番完了</t>
  </si>
  <si>
    <t>B.B入力時にGENLOCKが15秒毎に外れる</t>
  </si>
  <si>
    <t>2025/5/16 C993,C994交換し調整へ
20250930　完了へ移動</t>
  </si>
  <si>
    <t>C993,C994</t>
  </si>
  <si>
    <t>3QCXTCB1A226
( TCB1002226MR10A0150 )</t>
  </si>
  <si>
    <t>SETUP SW反応しない。連打していると反応する場合がある</t>
  </si>
  <si>
    <r>
      <rPr>
        <rFont val="Arial"/>
        <color theme="1"/>
        <sz val="10.0"/>
      </rPr>
      <t xml:space="preserve">SW42 フラックスの付着がひどい状況、下の同様部品のスイッチは付着無し
2台目
2025/5/15 5/19希望で部品交換依頼
</t>
    </r>
    <r>
      <rPr>
        <rFont val="Arial"/>
        <color rgb="FFFF0000"/>
        <sz val="10.0"/>
      </rPr>
      <t>2025/5/20 動作確認してOK</t>
    </r>
    <r>
      <rPr>
        <rFont val="Arial"/>
        <color theme="1"/>
        <sz val="10.0"/>
      </rPr>
      <t xml:space="preserve">
20250602　完了へ移動</t>
    </r>
  </si>
  <si>
    <t>R23962
作番完了</t>
  </si>
  <si>
    <t>HVS-3355OU</t>
  </si>
  <si>
    <t>BUS5_CTRL</t>
  </si>
  <si>
    <t>LEDSW17.19が押しても反応しない。点灯はする。</t>
  </si>
  <si>
    <t>25/5/15 SW17 2pinスルーホールNG。SW17 2pin→SW18 2pinをジャンパーでつなぎ、導通確認OK
組配へ
20250710　完了へ移動</t>
  </si>
  <si>
    <t>E04434-1</t>
  </si>
  <si>
    <r>
      <rPr>
        <rFont val="Arial"/>
        <color theme="1"/>
        <sz val="10.0"/>
      </rPr>
      <t xml:space="preserve">SW42 フラックスの付着がひどい状況、下の同様部品のスイッチは付着無し
2025/5/15 5/19希望で部品交換依頼
</t>
    </r>
    <r>
      <rPr>
        <rFont val="Arial"/>
        <color rgb="FFFF0000"/>
        <sz val="10.0"/>
      </rPr>
      <t>2025/5/20 動作確認してOK</t>
    </r>
    <r>
      <rPr>
        <rFont val="Arial"/>
        <color theme="1"/>
        <sz val="10.0"/>
      </rPr>
      <t xml:space="preserve">
20250602　完了へ移動</t>
    </r>
  </si>
  <si>
    <t>大阪R&amp;D</t>
  </si>
  <si>
    <t>IC131に半田ショート</t>
  </si>
  <si>
    <t>2025/4/21  MFGセンターに返却。
2025/4/24  返却済み。修理完了。
20250808　完了へ移動</t>
  </si>
  <si>
    <t>PC1558-4</t>
  </si>
  <si>
    <t>IC131</t>
  </si>
  <si>
    <t>未実装部品
パターンのみ</t>
  </si>
  <si>
    <t>R25148</t>
  </si>
  <si>
    <t>S21のスイッチが浮いている</t>
  </si>
  <si>
    <t>2025/4/21  MFGセンターに返却。
2025/4/24  返却済み。修理完了。
20250731　完了へ移動</t>
  </si>
  <si>
    <t>2025/5/14 C146交換し調整へ→改善した
20250613　完了へ移動</t>
  </si>
  <si>
    <t>20回程度の電源入り切りにてIC108焼損</t>
  </si>
  <si>
    <t>25/5/12 IC108出庫依頼
25/5/15 部品入手
25/5/20 IC108リワーク依頼(6/25希望)
25/6/9 焼損部品交換したがGNDショート改善せず。
25/6/26 焼損部品以外でもGNDショートあり(4系統)　共通箇所IC73 / IC80
改善見込み低い為、余剰基板と交換、R24953不足なし
20250731　完了へ移動</t>
  </si>
  <si>
    <t>IC108
C1072</t>
  </si>
  <si>
    <t>3QAJ0BK6337QI
3QCX4B0JI476</t>
  </si>
  <si>
    <t>余剰基板の為、仕掛廃棄とは別扱い</t>
  </si>
  <si>
    <t>IN15 HD出ない。コンポジットOK。</t>
  </si>
  <si>
    <t>2025/5/12 RL15のSDI側の導通無し、部品出庫依頼
2025/5/19 RL15交換し、調整へ
20250613　完了へ移動</t>
  </si>
  <si>
    <t>R24530</t>
  </si>
  <si>
    <t>初回データ書き込みできない（USBブラスターFailed）
※ハンダ作業台に置いてあった(何故あったのかは不明）</t>
  </si>
  <si>
    <t>25/6/17 R59欠品(欠落)→改善
2025/6/24　検査完了・入庫完了
20250626　完了へ移動</t>
  </si>
  <si>
    <t>R59</t>
  </si>
  <si>
    <t>3QDX0CQA0R0</t>
  </si>
  <si>
    <t>R25100</t>
  </si>
  <si>
    <t>VDA-106B</t>
  </si>
  <si>
    <t>VIDEOCD</t>
  </si>
  <si>
    <t>IN1、2共にOUT1から3出力しない</t>
  </si>
  <si>
    <t>2025/5/12 IC1の出力無し
25/6/30 IC1 出力3V?→触れると高温　手配
25/8/20 IC1リワーク依頼 (9/19納期)
25/9/5 リワーク上がり→症状改善
20250930　完了へ移動</t>
  </si>
  <si>
    <t>E04277</t>
  </si>
  <si>
    <t xml:space="preserve">IC1
</t>
  </si>
  <si>
    <t>IN1OUT1~6出力しない（IN2出力あり）</t>
  </si>
  <si>
    <t>2025/5/12 L1断線、部品交換し調整へ
20250919　完了へ移動</t>
  </si>
  <si>
    <t>L1</t>
  </si>
  <si>
    <t>3QE2KL73E22N
( KL731ETTP22NG )</t>
  </si>
  <si>
    <t xml:space="preserve">Q-OU2_BUS12
</t>
  </si>
  <si>
    <t>M/E2側の一番左のOLEDが正常に表示しない。全点灯ﾓｰﾄﾞでは異常無し。</t>
  </si>
  <si>
    <t>OLED交換で復帰
20250930　完了へ移動</t>
  </si>
  <si>
    <t>E04971</t>
  </si>
  <si>
    <t>3QJ2ELW2701AA</t>
  </si>
  <si>
    <t>FA-1010
(FA-505)</t>
  </si>
  <si>
    <t>RL15リレーの動作が安定しない
(基本動作しないが、BNC挿抜程度の軽い衝撃で正常に動作するが切り替えると再発する)</t>
  </si>
  <si>
    <t>5/9部品出庫依頼
250512 RL15交換して復帰
20250522　完了へ移動</t>
  </si>
  <si>
    <t>Q-OU2_FUNC</t>
  </si>
  <si>
    <t>M/E1側の9mmLEDSW NOR/REVが押しても反応しない。点灯はする。ｷｬｯﾌﾟ側を換えても減少は移動しないので、ﾎﾞﾄﾑ側か基板が原因。</t>
  </si>
  <si>
    <t>2025/5/12 SW42(ボトム)交換し、改善。筐体S/N30に組配後再確認で異常なし。
20250930　完了へ移動</t>
  </si>
  <si>
    <t>E04973</t>
  </si>
  <si>
    <t>3QF6K9MKM
( K9M-KM )</t>
  </si>
  <si>
    <t>R24982</t>
  </si>
  <si>
    <t>SW36 緑が点灯しない</t>
  </si>
  <si>
    <t>R118交換で復帰、抵抗値がいない(非導通)為、1625と同様
20250516　完了へ移動</t>
  </si>
  <si>
    <t>R118</t>
  </si>
  <si>
    <t>R24813</t>
  </si>
  <si>
    <t>SW30点灯しない</t>
  </si>
  <si>
    <t>SW30未半田　5/9希望でセンターへ修正依頼⇒遅延 5/12着予定
20250512 修正品受け取り、動作確認してOK
20250516　完了へ移動</t>
  </si>
  <si>
    <t>SW030</t>
  </si>
  <si>
    <t>CN15(DCジャック)斜めに実装されている</t>
  </si>
  <si>
    <t>5/9希望でセンターへ修正依頼⇒遅延 5/12着予定
20250512 修正品受け取り、動作確認してOK
20250516　完了へ移動</t>
  </si>
  <si>
    <t>SW11緑が点灯しない</t>
  </si>
  <si>
    <t>R68再半田で改善せず。R68抵抗値がいないので交換して復帰。
割れてはいない?半田に違和感はあったが、拡大鏡、カメラで確認で半田不良はなさそう？
20250516　完了へ移動</t>
  </si>
  <si>
    <t>R68</t>
  </si>
  <si>
    <t>25/5/7 SW開発へ連絡　代替品交換後、単品にて通電し確認との事
25/5/8 DIMMを交換（別メーカー）にて改善、起動確認中
25/6/26 現在まで再現せず→HVS-2240OUA S/NO.28へ実装　完了とする
20250930　完了へ移動</t>
  </si>
  <si>
    <t>25/6/19 電源出力問題無し   BITファイル書き込み失敗か？
2025/7/25 Conf_done がLow状態。FPGA起動していない。
2025/9/8 CN15 (金端)にフラックス？付着、洗浄して再書き込み→正常に書き込みできたため、仕掛りへ返却
20250919　完了へ移動</t>
  </si>
  <si>
    <t>2025/6/19 電源出力問題無し　BITファイル書き込み失敗か？
2025/9/8 CN15 (金端)にフラックス？付着、洗浄して再書き込み→正常に書き込みできたため、仕掛りへ返却
2025/9/10 単体チェックにてHDタイミングジッタが少し大きい(0.4UI以上)
2025/9/10 C147交換し調整へ→改善せず
2025/9/11 再度C147交換し調整へ→タイミングジッタ正常値確認し仕掛りへ返却
20250919　完了へ移動</t>
  </si>
  <si>
    <t>2025/09/08
2025/09/11</t>
  </si>
  <si>
    <t>2025/5/1 部品出庫依頼
2025/5/2 IC61交換(1.023999KHz)し、調整へ
20250522　完了へ移動</t>
  </si>
  <si>
    <t>2025/5/1 部品出庫依頼
2025/5/9 IC61交換(1.023994KHz)し、調整へ
20250522　完了へ移動</t>
  </si>
  <si>
    <t>R25112
作番完了</t>
  </si>
  <si>
    <t>SW31が傾いている</t>
  </si>
  <si>
    <t>2025/5/2 MFGセンターへ返却
20251209　完了へ移動</t>
  </si>
  <si>
    <t>SW31</t>
  </si>
  <si>
    <t>3QF6KP2NB179B
( KP02-15ANBKP4-179C-B
 )</t>
  </si>
  <si>
    <t>R23775
⇒R25109</t>
  </si>
  <si>
    <t>D
⇒
C</t>
  </si>
  <si>
    <t>RL1リレー不良
GUIと接続できない</t>
  </si>
  <si>
    <r>
      <rPr>
        <rFont val="Arial"/>
        <strike/>
        <color theme="1"/>
        <sz val="10.0"/>
      </rPr>
      <t>リスト漏れの為追加</t>
    </r>
    <r>
      <rPr>
        <rFont val="Arial"/>
        <color theme="1"/>
        <sz val="10.0"/>
      </rPr>
      <t xml:space="preserve"> 744番が完了になってしまっていたので新規番号で追加
20250428 FAN3(CN32)が接続されているとLAN通信を正常に行えない。R962,R1219,D91交換→変わらず。IC117(DSP)出庫依頼
20250501 5/16希望でIC117交換依頼
</t>
    </r>
    <r>
      <rPr>
        <rFont val="Arial"/>
        <color rgb="FFFF0000"/>
        <sz val="10.0"/>
      </rPr>
      <t xml:space="preserve">20250516 リワーク品受け取り。動作確認してOK </t>
    </r>
    <r>
      <rPr>
        <rFont val="Arial"/>
        <color theme="1"/>
        <sz val="10.0"/>
      </rPr>
      <t xml:space="preserve">
20250526　完了へ移動</t>
    </r>
  </si>
  <si>
    <t>RL1
IC117</t>
  </si>
  <si>
    <t>3QF9ARS30Y03
3QA8C320D648C</t>
  </si>
  <si>
    <t>〇
-</t>
  </si>
  <si>
    <t>RL19リレー不良
BNC後付け前確認番号：40</t>
  </si>
  <si>
    <t>20250430 RL19交換して組配工程に返却
20250822 R25404 FA-505へ引き当て
20250825　完了へ移動</t>
  </si>
  <si>
    <t>RL1,RL4,RL9リレー不良
BNC後付け前確認番号：36</t>
  </si>
  <si>
    <t>20250430 RL1,RL4,RL9交換して組配工程に返却
20250828 R25404 FA-505へ引き当て
20250901　完了へ移動</t>
  </si>
  <si>
    <t>RL1,RL4,RL9</t>
  </si>
  <si>
    <t>RL3,RL9リレー不良
BNC後付け前確認番号：25</t>
  </si>
  <si>
    <t>20250430 RL3,RL9交換して組配工程に返却
20250826 R25404 FA-505へ引き当て
20250901　完了へ移動</t>
  </si>
  <si>
    <t>RL3,RL9</t>
  </si>
  <si>
    <t>RL1,RL10リレー不良
BNC後付け前確認番号：23</t>
  </si>
  <si>
    <t>20250430 RL1,RL10交換して組配工程に返却
20250826 R25404 FA-505へ引き当て
20250901　完了へ移動</t>
  </si>
  <si>
    <t>RL1,RL10</t>
  </si>
  <si>
    <t>R24705
⇒R25109</t>
  </si>
  <si>
    <t>RL20リレー不良
BNC後付け前確認番号：22-B(2つ存在してしまっている為アルファベットで区別)</t>
  </si>
  <si>
    <t>20250430 RL20交換して組配工程に返却
20250616 R25109 FA-505へ引当て
20250617　完了へ移動</t>
  </si>
  <si>
    <t>RL20</t>
  </si>
  <si>
    <t>RL9リレー不良
BNC後付け前確認番号：22-A(2つ存在してしまっている為アルファベットで区別)</t>
  </si>
  <si>
    <t>20250430 RL9交換して組配工程に返却
R25109 FA-505へ引当て
20250516　完了へ移動</t>
  </si>
  <si>
    <t>〇
〇</t>
  </si>
  <si>
    <t>RL2,RL6リレー不良
BNC後付け前確認番号：21-B(2つ存在してしまっている為アルファベットで区別)</t>
  </si>
  <si>
    <t>20250430 RL2,RL6交換して組配工程に返却
R25109 FA-505へ引当て
20250516　完了へ移動</t>
  </si>
  <si>
    <t>RL2,RL6</t>
  </si>
  <si>
    <t>RL10,RL17,RL19リレー不良
BNC後付け前確認番号：21-A(2つ存在してしまっている為アルファベットで区別)</t>
  </si>
  <si>
    <t>20250512 RL17,RL19交換、RL10制御信号線パターン損傷、FA-505専用として組配工程に返却(FA-505では未使用)
20250822 R25404 FA-505へ引き当て
20250825　完了へ移動</t>
  </si>
  <si>
    <t>RL10
RL17,RL19</t>
  </si>
  <si>
    <t>EzV-410として組配後、内部配線チェックにてGenlockがLockしない
MBP-P308の単体調整ではちゃんとLockしていた</t>
  </si>
  <si>
    <t>2025/4/25 C146・C147交換→改善せず。　IC16部品出庫依頼。
2025/5/7 EzV-410組込み後、Genlockがかからない問題はEzV-410のiniファイルが原因だった為、当基板は再度単体チェック実施し問題がなければ仕掛品として違うF番へ引当て
2025/5/16 単体チェック実施し正常に動作することを確認、仕掛品へ戻した
20250710　完了へ移動</t>
  </si>
  <si>
    <t>IC16</t>
  </si>
  <si>
    <t>3QA6Z5L1983QE</t>
  </si>
  <si>
    <t>2025/4/30 CN14リワーク依頼 (希望納期：5/30)
2025/5/26 MFGセンターより受取し組配へ
20250731　完了へ移動</t>
  </si>
  <si>
    <t>起動しない。POLに出力不良？(LED点灯しない)</t>
  </si>
  <si>
    <t>2025/4/25 IC75(+5.0V)出力がGNDに短絡している。部品出庫依頼
2025/5/15 リワーク依頼
2025/6/27 C1492に打痕あり、短絡状態。交換し改善。
2025/07/04 サームアタッチテープ入庫待ち
2025/7/15 ヒートシンク取付し組配へ
20250731　完了へ移動</t>
  </si>
  <si>
    <t>C1492</t>
  </si>
  <si>
    <t>3QCX4C81C476
(GRM32EC81C476KE15L)</t>
  </si>
  <si>
    <t>R25227
作番完了</t>
  </si>
  <si>
    <t>FA-16IO-B12G</t>
  </si>
  <si>
    <t>組立中にネジ折れ</t>
  </si>
  <si>
    <t>2025/4/23 CN14部品手配
2025/7/28 CN14部品出庫依頼
2025/7/30 MFGセンターへ作業依頼 (8/1社内メール)
20251209　完了へ移動</t>
  </si>
  <si>
    <t>3QG3PLR12G-2
( BNC(75)-PLR-PC-12G-2 )</t>
  </si>
  <si>
    <t>POWER B</t>
  </si>
  <si>
    <t>組立中にCN2破損</t>
  </si>
  <si>
    <t>2025/4/23 CN2部品手配
2025/5/23 リワーク完了し、組配へ
20250710　完了へ移動</t>
  </si>
  <si>
    <t>3QG3HSEC81201
( HSEC8-120-01-L-DV-A-K
 )</t>
  </si>
  <si>
    <t>周波数1.023994までのところ1.023992</t>
  </si>
  <si>
    <t>2025/4/28 IC61交換し調整へ
20250610　完了へ移動</t>
  </si>
  <si>
    <t>R25099</t>
  </si>
  <si>
    <t>VIDEO</t>
  </si>
  <si>
    <t>OUT⑤出力せず</t>
  </si>
  <si>
    <t>2025/4/18 CN4に半田くず付着。MFGセンターへ
2025/5/2 MFGセンターより受取、調整へ
20250610　完了へ移動</t>
  </si>
  <si>
    <t>CN4</t>
  </si>
  <si>
    <t>3QG1P2388
( P2388 )</t>
  </si>
  <si>
    <t>GUI/FRONT共にVer情報が読み取れない。起動していない。
D1のみ点灯する。正常品は他にD2,3,6が点灯するが、この基板はしない。</t>
  </si>
  <si>
    <t>20250421 表のF/Wデータが破損していた為、再書き込みして復帰
次回出荷予定：7/4(0伝)
20250701　完了へ移動</t>
  </si>
  <si>
    <t>20250704出荷予定</t>
  </si>
  <si>
    <t>R25059
(R25107)</t>
  </si>
  <si>
    <t>MBP-P308
(EzV-410)</t>
  </si>
  <si>
    <t>19070518
(19160104)</t>
  </si>
  <si>
    <t>内部配線チェックにてGenlockがLockしない
MBP-P308の単体調整ではちゃんとLockしていた</t>
  </si>
  <si>
    <t>2025/4/17 C146交換し調整へ→改善せず
2025/4/17 C147交換し改善
20250502　完了へ移動。</t>
  </si>
  <si>
    <t>3QCX1AMTCP225
( TCP1A225M8R )</t>
  </si>
  <si>
    <t>調整待</t>
  </si>
  <si>
    <t>R25048</t>
  </si>
  <si>
    <t>IN9 コンポジット出ない</t>
  </si>
  <si>
    <t>2025/4/16 RL9のコンポジット出力波形小さい。接点抵抗大？
20250610　完了へ移動</t>
  </si>
  <si>
    <t>2025/4/15 部品出庫依頼
2025/4/17 手持ち部品を使用し交換改善
20250423　完了へ移動</t>
  </si>
  <si>
    <t>2025/4/15 部品出庫依頼
2025/4/16 手持ち部品使用し交換で改善
20250423　完了へ移動</t>
  </si>
  <si>
    <t>R24705
⇒25109</t>
  </si>
  <si>
    <t>RL5,RL16リレー不良
BNC後付け前確認番号：33</t>
  </si>
  <si>
    <t>20250418 交換品受け取り
20250421 FA-505(R25109)へ引当て
20250516　完了へ移動</t>
  </si>
  <si>
    <t>RL5
RL16</t>
  </si>
  <si>
    <t>RL6リレー不良、
RL18：ARS30Yが乗っている。ARS10Yが正しい
BNC後付け前確認番号：31</t>
  </si>
  <si>
    <t>20250418 交換品受け取り
20250616 R25109 FA-505へ引当て
20250617　完了へ移動</t>
  </si>
  <si>
    <t>RL6
RL18</t>
  </si>
  <si>
    <t>RL11,RL15,RL20リレー不良
BNC後付け前確認番号：30</t>
  </si>
  <si>
    <t>RL11,RL15,RL20</t>
  </si>
  <si>
    <t>RL2リレー不良
BNC後付け確認前番号：28</t>
  </si>
  <si>
    <t>20250418 交換品受け取り
20250930　完了へ移動</t>
  </si>
  <si>
    <t>RL18リレー不良
BNC後付け前確認番号：27</t>
  </si>
  <si>
    <t>RL10,RL12,RL17リレー不良
BNC後付け前確認番号：26</t>
  </si>
  <si>
    <t>RL10
RL12,RL17</t>
  </si>
  <si>
    <t>R23651(T43278-231)
⇒R25109</t>
  </si>
  <si>
    <t>RL10 Bypass側に切り替わらない</t>
  </si>
  <si>
    <r>
      <rPr>
        <rFont val="Arial"/>
        <color theme="1"/>
        <sz val="10.0"/>
      </rPr>
      <t>20250407 4/16希望でセンターへ返却</t>
    </r>
    <r>
      <rPr>
        <rFont val="Arial"/>
        <color rgb="FFFF0000"/>
        <sz val="10.0"/>
      </rPr>
      <t xml:space="preserve">
20250407　R23651 修理不可は廃棄、と生産管理部から指示あり。
</t>
    </r>
    <r>
      <rPr>
        <rFont val="Arial"/>
        <color theme="1"/>
        <sz val="10.0"/>
      </rPr>
      <t>20250414 修理品受け取り
20250421 FA-505(R25109)へ引当て
20250522　完了へ移動</t>
    </r>
  </si>
  <si>
    <t>RL10</t>
  </si>
  <si>
    <t>R25109
R22449(F5040163-06)</t>
  </si>
  <si>
    <t>C
D</t>
  </si>
  <si>
    <t>FA-505
FA-1010</t>
  </si>
  <si>
    <t>RL3,RL9リレー不良</t>
  </si>
  <si>
    <r>
      <rPr>
        <rFont val="Arial"/>
        <color theme="1"/>
      </rPr>
      <t xml:space="preserve">20250407 4/16希望でセンターへ返却
</t>
    </r>
    <r>
      <rPr>
        <rFont val="Arial"/>
        <color rgb="FFFF0000"/>
      </rPr>
      <t xml:space="preserve">20250407　R23651 修理不可は廃棄、と生産管理部から指示あり。
</t>
    </r>
    <r>
      <rPr>
        <rFont val="Arial"/>
        <color theme="1"/>
      </rPr>
      <t>20250414 修理品受け取りRL13リレー不良、部品出庫依頼
20250415 RL13交換して復帰、FA-505へ引当て
20250416　完了へ移動</t>
    </r>
  </si>
  <si>
    <t>RL3,RL9
RL13</t>
  </si>
  <si>
    <t>周波数1.023994までのところ1.023993</t>
  </si>
  <si>
    <t>2025/4/4 RTC(IC61)交換 ⇒ 1.023996kHz。調整へ
20250409　入庫済。完了へ移動。</t>
  </si>
  <si>
    <t xml:space="preserve">R25024→R23774に引き当て
</t>
  </si>
  <si>
    <t>ENC CD</t>
  </si>
  <si>
    <t>ENC4に半田線が残っている</t>
  </si>
  <si>
    <t>MFGセンターへ返却、修正を依頼。
20250416　完了へ移動</t>
  </si>
  <si>
    <t>2025.2/27</t>
  </si>
  <si>
    <t>2025.4/25</t>
  </si>
  <si>
    <t>2025/4/3 RTC(IC61)交換 ⇒ 1.023994kHz。調整へ
20250409　入庫済。完了へ移動。</t>
  </si>
  <si>
    <t>AtoAのループバック16画面中4画面しか出力しない→開発へ</t>
  </si>
  <si>
    <t>2025/4/2 RS開発部へ現象報告。調査依頼済
20250630　完了へ移動</t>
  </si>
  <si>
    <t>E04983</t>
  </si>
  <si>
    <t>R24172</t>
  </si>
  <si>
    <t>STILL出力せず（M/E,AUX,STILL KEY全て)</t>
  </si>
  <si>
    <t>2025/3/31 IC74リワーク準備
25/4/2 IC74リワーク依頼
25/4/21 リワーク上がり 通電確認未(仕掛品無しの為)
25/5/23 通電確認→改善せず　IC76～78手配
25/5/29 部品入手済み
25/6/10 リワーク依頼(7/8納期)
25/6/23 通電確認→改善  組配へ
20250731　完了へ移動</t>
  </si>
  <si>
    <t>IC74
IC76～78</t>
  </si>
  <si>
    <t>3QA7Z6VLX130TAA
3QA65M2135213</t>
  </si>
  <si>
    <t>R24378</t>
  </si>
  <si>
    <t>MFR-31VP</t>
  </si>
  <si>
    <t>VIDEO PROC CD</t>
  </si>
  <si>
    <t>GUIでPOWER ERRORと表示される。
IC65の電圧値が低い、浮いている?</t>
  </si>
  <si>
    <t>2025/4/1 調整要領書の電圧確認ポイントの位置の記載が間違っていた。Ver1.03.00から本体に組んだ状態でなければFPGAが起動しない(POWER ERROR)となる仕様に変更されていた。
本体に組み込みして、現象が消えることを確認、ICが浮いているのはロット全体の傾向
20250409　入庫済。完了へ移動。</t>
  </si>
  <si>
    <t>E04918</t>
  </si>
  <si>
    <t>R24535</t>
  </si>
  <si>
    <t>分割画面の映像が時々停止する</t>
  </si>
  <si>
    <r>
      <rPr>
        <rFont val="Arial"/>
        <color theme="1"/>
      </rPr>
      <t xml:space="preserve">2025/3/28 開発部作業卓にて現象対策中？現品は3/21に確認
</t>
    </r>
    <r>
      <rPr>
        <rFont val="Arial"/>
        <color rgb="FFFF0000"/>
      </rPr>
      <t>2025/5/26 現象再現しない為、開発部より返却。調整卓で再確認する</t>
    </r>
    <r>
      <rPr>
        <rFont val="Arial"/>
        <color theme="1"/>
      </rPr>
      <t xml:space="preserve">
20250710　完了へ移動</t>
    </r>
  </si>
  <si>
    <r>
      <rPr>
        <rFont val="Arial"/>
        <color theme="1"/>
      </rPr>
      <t xml:space="preserve">2025/3/28 開発部作業卓にて現象対策中？現品は3/21に確認
</t>
    </r>
    <r>
      <rPr>
        <rFont val="Arial"/>
        <color rgb="FFFF0000"/>
      </rPr>
      <t>2025/5/26 現象再現しない為、開発部より返却。調整卓で再確認する</t>
    </r>
    <r>
      <rPr>
        <rFont val="Arial"/>
        <color theme="1"/>
      </rPr>
      <t xml:space="preserve">
20250710　完了へ移動</t>
    </r>
  </si>
  <si>
    <t>R24442</t>
  </si>
  <si>
    <t>2025/3/28 開発部作業卓にて現象対策中？現品は3/21に確認
　基板が温まった状態でFPGAの起動不良が発生する。
2025/6/18 X線検査の予定
　　X線画像ではFPGAの半田ボールにサイズ違いが有り、半田付状態が気になる。
2025/7/10　QMよりX線検査依頼
2025/7/31 RS開発部より、商社(マクニカ)からの提案
　R563(16m)とR603(12v)に1005サイズの10kΩ抵抗を取り付け (FPGA間のコンフィグ完了伝達用ピン)
2025/8/4 RS開発部と改善しない事を確認。
　IC85の部品交換を進める。部品出庫依頼
2025/9/5 MFGセンターよりリワーク戻り
2025/9/8 ヒートラン状態で起動を繰り返し、現象再現していないため調整作業台で再確認の予定
20250925　完了へ移動</t>
  </si>
  <si>
    <t>3QA7Z5SGSD8FG</t>
  </si>
  <si>
    <t>2025/3/28 開発部作業卓にて現象対策中？現品は3/21に確認
   ⇒各FPGAのVerを921_921_922にして現象が出ないことを確認して返却(25/5/22)
2025/5/23 最新版で現象再現しない場合は入庫する
20250731　完了へ移動</t>
  </si>
  <si>
    <t>2025/3/28 開発部作業卓にて現象対策中？現品は3/21に確認
   ⇒各FPGAのVerを921_921_922にして現象が出ないことを確認して返却(25/5/22)
2025/5/23 最新版で現象再現しない場合は入庫する
20250703　完了へ移動</t>
  </si>
  <si>
    <t>起動せず。ダウンロード不可</t>
  </si>
  <si>
    <t>25/3/27 CPU単体、不安定ながら起動　BUFF/CONFデータ書き込みできたが改善せず。
TP33 +1.0V出力から不安定 EN信号元Q33交換→改善せず　IC98(シンテック)テスター棒で触れると起動する→未はんだか？
25/4/3 IC98入手
25/4/8 IC98 5/9納期でリワーク依頼
25/4/25 リワーク完了　ダウンロード時、通電OK  組配へ
25/5/29 HVS-490 S/NO.698実装　調整検査中 調整検査OK
25/6/3 F5415140-01ｲｰｸﾞﾛｰﾊﾞﾚｯｼﾞ株式会社にS/N169に変更して単品出荷
20250610　完了へ移動</t>
  </si>
  <si>
    <t>E049391-3</t>
  </si>
  <si>
    <t>IC98</t>
  </si>
  <si>
    <t>3QJ0MPN12AD12
(MPN12AD12-TS)</t>
  </si>
  <si>
    <t>ラバースイッチのLED4(白)が点灯しない。
確認したところLEDが破損していた？発生場所は不明</t>
  </si>
  <si>
    <t>2025/3/25 LED4交換後、点灯OK
20250710　完了へ移動</t>
  </si>
  <si>
    <t>3QB3LWQ38E
( LWQ38E-Q1S2-3K6L-1 )</t>
  </si>
  <si>
    <t>R24529</t>
  </si>
  <si>
    <t>CPU P</t>
  </si>
  <si>
    <t>-　FA-1616HB-12G
NO.19080164へ引当て</t>
  </si>
  <si>
    <t>LAN1通信しない時がある。電源ON/OFFで発生か？</t>
  </si>
  <si>
    <r>
      <rPr>
        <rFont val="Arial"/>
        <color theme="1"/>
        <sz val="10.0"/>
      </rPr>
      <t xml:space="preserve">2025/3/25 仮組依頼（VER.UPしてみる）
2025/6/11　VERUPまでOK
2025/7/2　同不良は正常復帰しましたが、別に不良発生　</t>
    </r>
    <r>
      <rPr>
        <rFont val="Arial"/>
        <color rgb="FFEA4335"/>
        <sz val="10.0"/>
      </rPr>
      <t>項番1694へ</t>
    </r>
    <r>
      <rPr>
        <rFont val="Arial"/>
        <color theme="1"/>
        <sz val="10.0"/>
      </rPr>
      <t xml:space="preserve">
20250731　完了へ移動</t>
    </r>
  </si>
  <si>
    <t>E04854-1</t>
  </si>
  <si>
    <t>R25104</t>
  </si>
  <si>
    <t>HVS-100DI-A</t>
  </si>
  <si>
    <t xml:space="preserve">金端に半田くずが付着　(79，81ピン：+5.4V)
</t>
  </si>
  <si>
    <t>2025/3/24 MFGセンターへ返却
25/4/14 センターより返却(センター輸送中取れた？）　調整へ
20250630　入庫済み
20250701　完了へ移動</t>
  </si>
  <si>
    <t>E03968</t>
  </si>
  <si>
    <t>R24118</t>
  </si>
  <si>
    <t>IN17 3GパソロジNG。IN14HD,SD画が出ない。</t>
  </si>
  <si>
    <t>2025/5/9 RL14交換し改善。
2025/7/15 IN14 SDI受信特性(ロングケーブル)でNG
2025/9/10 IN14 IC43リワーク依頼
2025/11/5 現象改善を確認、調整へ
20251118　完了へ移動</t>
  </si>
  <si>
    <t>RL14
IC43</t>
  </si>
  <si>
    <t>3QF9ARS30Y03
3QA6Z6G4330</t>
  </si>
  <si>
    <t>R25056</t>
  </si>
  <si>
    <t>MFR-GPI</t>
  </si>
  <si>
    <t>14030471~0472</t>
  </si>
  <si>
    <t>ステータスLEDの赤と緑が逆に点灯する。</t>
  </si>
  <si>
    <t>2025/3/19　LEDが逆向きに実装されている。（3個）
基板バラしの為組配グループへ返却※ロット全数の可能性がある為石川さんより、センターへ連絡済。
2025/3/21　部品交換済（石川さん）
2025/3/22　検査完了・入庫済
20250610　完了へ移動</t>
  </si>
  <si>
    <t>E03542</t>
  </si>
  <si>
    <t>D1,D4</t>
  </si>
  <si>
    <t>3QB3L519EGW
( L-519EGW )</t>
  </si>
  <si>
    <t>R24533</t>
  </si>
  <si>
    <t>FA16IO_HB-12G</t>
  </si>
  <si>
    <t>2aIN　HDステータスエラー(GUIでの確認)※12G・3GはOK
パソロジ信号(ショートケーブルでもNG)※カラーバーはOK</t>
  </si>
  <si>
    <t>25/4/30 IC74出庫依頼
25/5/9 部品入手
25/5/13 リワーク依頼(25/6/13希望）
25/5/29 通電確認→改善 調整検査中
2025/7/7　FA-1616HB-12G（NO.19080236へ組込み）検査完了
20250710　完了へ移動</t>
  </si>
  <si>
    <t>IC74</t>
  </si>
  <si>
    <t>T43278-163
(25109)</t>
  </si>
  <si>
    <t>FA-1010(FA-505)</t>
  </si>
  <si>
    <t>RL1,RL10リレー不良</t>
  </si>
  <si>
    <t>20250318 センターへ返却(3/20希望)
20250320 交換品受け取り、R23651に返却
20250324 FA-505 R25109で使用
20250401　完了へ移動</t>
  </si>
  <si>
    <t>3QF9ARS30Y03
( ARS30Y03Z )</t>
  </si>
  <si>
    <t>ー⇒19080199</t>
  </si>
  <si>
    <t>CN18　アルテラバージョンアップできない（初回データ）
途中でエラーが出る</t>
  </si>
  <si>
    <t>2025/3/14　MAIN2Golden側書き込み不良＋1.8v-F2OK
2025/3/17　SW2.3再設定（J-TAG）でOK（小川）
2025/3/18　組配グループへ返却（門脇）
2025/3/28　検査中　2025/4/3出荷予定（門脇)
2025/4/2　入庫済です。(門脇)
20250416　完了へ移動</t>
  </si>
  <si>
    <t>E04857-1</t>
  </si>
  <si>
    <t>ー⇒19080200</t>
  </si>
  <si>
    <t>All　アップデートできない</t>
  </si>
  <si>
    <t>2025/3/14　R109　F1-AS-DATE1不安定　F1側QSPI2GB認識せず
R120.117.112NG
2025/3/17　DW設定変更で書き込みOK（小川）
2025/3/18　組配グループへ返却（門脇）
2025/3/28　検査中　2025/4/18出荷予定(門脇)
2025/4/2　入庫済です。(門脇)
20250416　完了へ移動</t>
  </si>
  <si>
    <t>R23690</t>
  </si>
  <si>
    <t>OUT①a　12GのアイパターンNG</t>
  </si>
  <si>
    <t>2025/3/17 項番605の継続案件
2025/3/18 IC43？ 部品出庫依頼
2025/4/2 リワーク依頼
20250407　R23690 修理不可は廃棄、と生産管理部から指示あり。
2025/6/3　検査完了して入庫しました。
20250610　完了へ移動</t>
  </si>
  <si>
    <t>IC43</t>
  </si>
  <si>
    <t>3QA6ZL1218RTW
( LMH1218RTWT )</t>
  </si>
  <si>
    <t>20250425？</t>
  </si>
  <si>
    <t>R24611</t>
  </si>
  <si>
    <t>LOCK　LED点灯しない※SW19パターン剥がれている。</t>
  </si>
  <si>
    <t>2025/3/13　SW19パターン修正（坂下さん）
20250401　完了へ移動</t>
  </si>
  <si>
    <t>E04165-1</t>
  </si>
  <si>
    <t>D0005に縦線（LCD5）</t>
  </si>
  <si>
    <t>2025/3/13センターへ部品の取り外しを依頼
2025/3/21　センターより基板戻り、部品取り付け
20250401　完了へ移動</t>
  </si>
  <si>
    <t>E04178-1</t>
  </si>
  <si>
    <t>3QF6ISCO1P
( IS-C01P )</t>
  </si>
  <si>
    <t>FRONT SW</t>
  </si>
  <si>
    <t>18580099(仮)</t>
  </si>
  <si>
    <t>不足基板/板金の手配が必要</t>
  </si>
  <si>
    <t>20250310 FRONT SW基板1枚不足 ※第1ロット員数不足を止むを得ず詰めた為
板金：ﾌﾞﾗﾝｸﾊﾟﾈﾙ*3,MTXｵｻｴｶﾅｸﾞ*6,ﾌﾛﾝﾄﾏﾄﾞ*3,ﾌﾛﾝﾄﾊﾟﾈﾙ*2,ﾊﾟﾈﾙｺﾃｲBRK*8,CPUｼｰﾙﾄﾞﾊﾞﾝ*2,CPUｾﾞﾂｴﾝｼｰﾄ*2,ｼｷﾘｲﾀSB*1,ｶﾅｸﾞｳｹﾌﾞﾛｯｸ*2,ｼｰﾙﾄﾞﾊﾞﾝMTX6100*1,SWBRK*2,ｻﾌﾞｶﾊﾞｰ*1,ﾌｧﾝｺﾈｸﾀｰｶﾊﾞｰ*1,PWA1955-1*1 ※最大3台分
20250311 板金,部材のみ手配表作成、石川さんに提出済み
20250710　完了へ移動</t>
  </si>
  <si>
    <t>E04795</t>
  </si>
  <si>
    <t>2E04795</t>
  </si>
  <si>
    <t>R24254
作番完了</t>
  </si>
  <si>
    <t>左半分の釦が選択すると消灯してしまう※通常は点灯</t>
  </si>
  <si>
    <t>2025/3/10 CN1に異物混入、MFGセンターへ返却
2025/4/16 センターより返却済　現象変化せず
25/4/16 R5欠品あり修正→正常操作
2025/4/16　検査完了
2025/5/13　入庫完了
20250808　完了へ移動</t>
  </si>
  <si>
    <t>CN1
R5</t>
  </si>
  <si>
    <t xml:space="preserve">3QG3FX4C160P5
</t>
  </si>
  <si>
    <t xml:space="preserve">
〇</t>
  </si>
  <si>
    <t>BUS釦⑤赤点灯しない</t>
  </si>
  <si>
    <t>2025/3/7 R41の電極が破損
2025/3/10 MFGセンターへ返却
2025/4/14 MFGセンターより受取
2025/4/15　修理完了⇒検査中
2025/5/13　入庫完了
20250808　完了へ移動</t>
  </si>
  <si>
    <t>R41</t>
  </si>
  <si>
    <t>3QDX0CQD681</t>
  </si>
  <si>
    <t>R24303</t>
  </si>
  <si>
    <t>CC-106B</t>
  </si>
  <si>
    <t>製品裏ネジ穴切れてない</t>
  </si>
  <si>
    <t>2課にて修理完了入庫待ち
20250731　完了へ移動</t>
  </si>
  <si>
    <t>R23775</t>
  </si>
  <si>
    <t>MAIN/LED/LTC
(複合基板)</t>
  </si>
  <si>
    <t>20250306　基板手配は出ているようだが発注STOPされている状況。藤谷さんに確認した所、手配を進めて良いか、製品を廃棄にして部品を戻すか、関係者からの返信が無い。
20250401　完了へ移動。</t>
  </si>
  <si>
    <t>E03906
E03988
E04021</t>
  </si>
  <si>
    <t>3QIX00125-01</t>
  </si>
  <si>
    <t>生板不良</t>
  </si>
  <si>
    <t>基板が割れていた。部品実装前に確認。</t>
  </si>
  <si>
    <t>R25036</t>
  </si>
  <si>
    <t>MBP-1100VS-P8S9として組込み後、受信特性チェックエラー。
IO13(CN2)-OUT5のみ1mケーブル接続NG。(100mはOK)
新品同様の5CFBケーブル+マイクロBNC(芯線もOK)でチェックしたがNG</t>
  </si>
  <si>
    <t>2025/6/25 部品出庫依頼
2025/6/27 7月上旬に部品納品予定
2025/7/18 リワーク依頼中（納期 8月中旬？）
2025/8/1 リワーク戻り、調整へ
2025/8/29 単品調整実施しOK→仕掛りへ戻し製品引当て待ち
20250919　完了へ移動</t>
  </si>
  <si>
    <t>R24597
作番完了</t>
  </si>
  <si>
    <t>MV-12SDI</t>
  </si>
  <si>
    <t>IN1 コンポジット出ない</t>
  </si>
  <si>
    <t>2025/3/25 RL1交換し、調整へ
20250423　完了へ移動</t>
  </si>
  <si>
    <t>E04315</t>
  </si>
  <si>
    <t>ME_BASE/MU CPU</t>
  </si>
  <si>
    <t>R24181 不足基板（現物無し) 再製作必要</t>
  </si>
  <si>
    <t>20250306　MU CPU ME_BASEが行方不明。2024/11棚卸時の情報。
20250401　完了へ移動。</t>
  </si>
  <si>
    <t>R23651(T43278-229返却分)
⇒R25109</t>
  </si>
  <si>
    <t>RL6リレー不良</t>
  </si>
  <si>
    <t>T43278-229で手配され、返却された基板
2025/03/06 3/7希望でセンターへ交換依頼
2025/3/7 受け取り、動作確認してOK
20250324 FA-505 R25109で使用
20250508　完了へ移動</t>
  </si>
  <si>
    <t>R22449 (T43278-225返却分)
⇒R25109</t>
  </si>
  <si>
    <t>RL5,RL10,RL18リレー不良</t>
  </si>
  <si>
    <t>T43278-225で手配され、返却された基板
2025/03/06 3/7希望でセンターへ交換依頼
2025/3/7 受け取り、動作確認してOK
20250324 FA-505 R25109で使用
20250508　完了へ移動</t>
  </si>
  <si>
    <t>RL5,RL10,
RL20</t>
  </si>
  <si>
    <t>R22449 (F5010097-01返却分)
⇒R24976</t>
  </si>
  <si>
    <t>RL18,RL19,RL20リレー不良</t>
  </si>
  <si>
    <t>F5010097-01で手配され、返却された基板
2025/03/06 3/7希望でセンターへ交換依頼
2025/3/7 受け取り、動作確認してOK
20250324 FA-505 R24976で使用
20250502　完了へ移動。</t>
  </si>
  <si>
    <t>RL18,RL19,RL20</t>
  </si>
  <si>
    <t>17242836⇒
17242905へ
引当て</t>
  </si>
  <si>
    <t>HDMI端子から出力しない</t>
  </si>
  <si>
    <t>CN12コネクタ最奥部フラックスか？　画出たりでなかったり
2025/3/6 MFGセンターへ返却  　
25/3/21 センターにて洗浄→改善 組配へ引き渡し
2025/7/11　検査完了
20250731　完了へ移動</t>
  </si>
  <si>
    <t>CN12</t>
  </si>
  <si>
    <t xml:space="preserve">3QG3TCX3285
</t>
  </si>
  <si>
    <t>FA-96DIN4-CBL（タイムコード）検査　Generator側(CN20)通信せず</t>
  </si>
  <si>
    <t>2025/3/7 -5.0VA出力せず（+2.?V)  IC112出庫依頼中   2025/3/10 部品入手
2025/3/12 IC112リワーク依頼（4/14納期）
25/3/28  通電確認→復帰確認　組配へ
2025/4/16　検査完了・入庫済
20250423　完了へ移動</t>
  </si>
  <si>
    <t>IC112</t>
  </si>
  <si>
    <t>3QA6Z9B8316GW</t>
  </si>
  <si>
    <t>2025/3/5 C146交換し調整へ→改善した
20250526　完了へ移動</t>
  </si>
  <si>
    <t>ー⇒17242904へ
引当て</t>
  </si>
  <si>
    <t>起動しない　FA-9600表示のまま　D95点灯せず(CN30のとなり)</t>
  </si>
  <si>
    <t>2025/3/3 D59→A2C_3.3V_CONF_DONE 
2025/3/13 電源電圧・クロック・リセット「OK」 CYCLONEとIC23(LAN)間？
　　　　　IC23は起動してるものの、CYCLONEとのやり取りができてない様子
25/4/2 IC3リワーク依頼
25/4/21 リワーク上がり 正常起動確認　組配へ
2025/7/1　検査・入庫完了
20250701　完了へ移動</t>
  </si>
  <si>
    <t>IC3?</t>
  </si>
  <si>
    <t>組配待</t>
  </si>
  <si>
    <t>タイミングジッタが高い(たまに0.5UI以上になる)</t>
  </si>
  <si>
    <t>2025/3/4 部品出庫依頼
2025/3/10 C136交換
2025/3/11 動作確認してOK
20250602　完了へ移動</t>
  </si>
  <si>
    <t>3QZ6VC73827M</t>
  </si>
  <si>
    <t>〇
(開発から入庫)</t>
  </si>
  <si>
    <t>2025/3/3 C135交換し調整へ→改善した
20250526　完了へ移動</t>
  </si>
  <si>
    <t>C135</t>
  </si>
  <si>
    <t>16351770～1778
31未定</t>
  </si>
  <si>
    <t>CN14,CN15 2pin半田が上がりすぎている
40枚NG</t>
  </si>
  <si>
    <t>2025/3/3 31枚センターへ返却(S/No未定)　9枚調整Gで修正(S/No16351770～1778)
2025/3/17 31枚返却受け取り
20250710　完了へ移動</t>
  </si>
  <si>
    <t>CN14,15</t>
  </si>
  <si>
    <t>3QG3PCL712A</t>
  </si>
  <si>
    <t>9〇</t>
  </si>
  <si>
    <t>記載時点で仕掛残が全数対象につき、作番完了時にクローズ</t>
  </si>
  <si>
    <t>SDI基板に書込み出来ず(上段)</t>
  </si>
  <si>
    <t>2025/2/28 データ書込み出来ず。ALTERA書込み時にUnknown
2025/3/3 改造個所の未半田有り　⇒ 修正し組配へ
20250731　完了へ移動</t>
  </si>
  <si>
    <t>S12444</t>
  </si>
  <si>
    <t>単品調整の映像チェックにて、IO4出力せず。
ツール上でのMXFファイル再生はOKだったため、出力(IO4)のみNGの可能性有り
↓
リワーク後、IO4は出力し復帰したがタイミングジッタが大きい</t>
  </si>
  <si>
    <t>2025/3/3 部品出庫依頼
2025/3/21 部品受取、リワーク準備中
2025/3/24 IC8リワーク依頼
2025/4/18 リワーク受取
2025/4/25 再調整しIO4は出力するようになったが、タイミングジッタが0.5UI以上になるときがある
　X1交換予定、部品出庫依頼
2025/5/19 X1交換し調整へ→正常に動作することを確認
20250526　完了へ移動</t>
  </si>
  <si>
    <t>IC8
X1</t>
  </si>
  <si>
    <t>3QA6Z6G12190
( GS12190-INE3 )
3QZ6VC73827M
( VC700-0038-27MHZ
 )</t>
  </si>
  <si>
    <t>20250502？</t>
  </si>
  <si>
    <t>POWER1 無入力時にPOWER NGと表示される
(無入力時はNONEが正しい)
CN14 内部変形している？2-3ピンがショートしない</t>
  </si>
  <si>
    <t>2025/2/27 CN14取り付け時に捩られた？外す際少し跳ねた。取り外し後の部品は正常に動いている。対象部品は交換で対処
20250701　完了へ移動</t>
  </si>
  <si>
    <t>R24999(24578)</t>
  </si>
  <si>
    <t>C(C)</t>
  </si>
  <si>
    <t>MFR-SDO(MFR-8OUT)</t>
  </si>
  <si>
    <t>8SDO CARD</t>
  </si>
  <si>
    <t>19531793
(16052429)</t>
  </si>
  <si>
    <t>Q1出力がいない。半田部変色している
IC10半田が付いて無いピンがある</t>
  </si>
  <si>
    <t>Q1 IC10の半田が薄い
2025/2/26 MFGセンターへ返却
2025/4/16 修正品受け取り、動作確認してOK
20250522　完了へ移動</t>
  </si>
  <si>
    <t>E04230</t>
  </si>
  <si>
    <t>IC10
Q1</t>
  </si>
  <si>
    <t>3QA6Z9L4365CD
3QB1NTD4302G</t>
  </si>
  <si>
    <t>I/F?</t>
  </si>
  <si>
    <t>フロント操作NG　釦を押してもブザー音が鳴らない　LEDの表示・点灯の仕方もおかしい</t>
  </si>
  <si>
    <t>2025/2/21 I/Fとフロント基板を本体より取り外し、再組立て→再現せず 。
2025/3/3　入庫完了
20250416　完了へ移動</t>
  </si>
  <si>
    <t>17242792→ー
⇒17242906へ
引当て</t>
  </si>
  <si>
    <t>起動しない　フロント表示”FA-9600"のまま　LED19~21点滅してない（リセットSW付近）</t>
  </si>
  <si>
    <t>2025/2/25 電源電圧OK μSD起動もせず。(CYCRONからのクロックはある) ARRIAのINIT_DONEが無い模様(LED点灯せず)
2025/3/4MAINを交換して17242792は完了※不良のMAINはシリアル無しとなります。
25/4/21 LAN LED消灯せず INIT完了していない？
25/4/22 IC3出庫依頼 
25/4/24 IC3入手
25/4/25 IC3リワーク依頼(5/26希望)
25/5/26 IC3リワーク上がり通電→改善 組配へ
2025/7/11　検査完了　
20250731　完了へ移動</t>
  </si>
  <si>
    <t>3QA7Z5CSEMA26</t>
  </si>
  <si>
    <t>IN3 コンポジット出ない</t>
  </si>
  <si>
    <t>2025/2/20 RL3動作不良？ リードの浮きが目立つ  部品出庫依頼
2025/3/24 RL1交換。調整へ
20250423　完了へ移動</t>
  </si>
  <si>
    <t>IN2 コンポジット出ない</t>
  </si>
  <si>
    <t>2025/2/20 RL2動作不良？ リードの浮きが目立つ  部品出庫依頼
2025/3/24 RL1交換。調整へ
20250423　完了へ移動</t>
  </si>
  <si>
    <t>2025/2/20 RL1動作不良？ リードの浮きが目立つ  部品出庫依頼
2025/3/24 RL1交換。調整へ
20250423　完了へ移動</t>
  </si>
  <si>
    <t>R24507</t>
  </si>
  <si>
    <t>開発評価で使用していた基板
ConnectMEデータ破損している。</t>
  </si>
  <si>
    <t>2025/2/19 センターへCN30交換依頼
2025/2/21 CN30交換品受け取り
20250324　完了へ移動</t>
  </si>
  <si>
    <t>CN30</t>
  </si>
  <si>
    <t>POWER LED 赤点灯しない</t>
  </si>
  <si>
    <t>R5ズレていた?修正済み
20250602　完了へ移動</t>
  </si>
  <si>
    <t>R5</t>
  </si>
  <si>
    <t>3QDX0CQE222</t>
  </si>
  <si>
    <t>IN15 SDIとコンポジットが出ない時がある。</t>
  </si>
  <si>
    <t>2025/5/9 再現せず。調整へ
20250610　完了へ移動</t>
  </si>
  <si>
    <t>R24639</t>
  </si>
  <si>
    <t>MFR-SDO</t>
  </si>
  <si>
    <t>CN1変形</t>
  </si>
  <si>
    <t>2025/2/18　センターへ部品交換依頼
2025/3/7　修理完了　組配へ
20250526　完了へ移動</t>
  </si>
  <si>
    <t>R24577</t>
  </si>
  <si>
    <t>CN2変形</t>
  </si>
  <si>
    <t>OU3 BUS16</t>
  </si>
  <si>
    <t>SW1 赤が点灯しない。基板、ボトム側が原因</t>
  </si>
  <si>
    <t>2025/2/17 D193破損、組配作業中に接触？  交換し組配へ
2025/3/17 使用したか不明
25/9/30 組配基板棚に基板なし使用した模様
20250930　完了へ移動</t>
  </si>
  <si>
    <t>E04975</t>
  </si>
  <si>
    <t>D193</t>
  </si>
  <si>
    <t>3QB21SS355VMT</t>
  </si>
  <si>
    <t>2025/2/14 C136交換し調整へ→改善せず
2025/2/17 C135交換し調整へ ⇒ 改善せず
2025/2/26  X1交換 →改善した
20250324　完了へ移動</t>
  </si>
  <si>
    <t>2025/2/14 C135交換し調整へ→改善した
20250324　完了へ移動</t>
  </si>
  <si>
    <t>R24413</t>
  </si>
  <si>
    <t>ステータスLEDが誤点灯する</t>
  </si>
  <si>
    <t>2025/2/14 LED点灯のバラつき、組配へ返却(極、暗く点灯している状態)
20250710　完了へ移動</t>
  </si>
  <si>
    <t>R24584</t>
  </si>
  <si>
    <t>HVS-190MVをOFFからONにしてリブートしたら、AUX1,2,3が正常に出力されなくなる。PGMは問題なし。REF抜き差しで復帰する。</t>
  </si>
  <si>
    <t>HVS-190MV+190EDの切り替え(ON→OFF、OFF→ONにするたびにリブート)を行い不良内容が再現するか確認。往復30回ずつ行ったが再現せず。坂下課長代理の許可で出荷可能。
2025/03/17 入庫未 (3末入庫予定)
20250324　完了へ移動</t>
  </si>
  <si>
    <t>R23775(R24976)</t>
  </si>
  <si>
    <t>RL7,RL20リレー不良</t>
  </si>
  <si>
    <t>不良番号701の基板、リワーク時の熱負荷(2回)で故障の疑い
2050217 RL7,RL20交換で復帰
20250324　完了へ移動</t>
  </si>
  <si>
    <t>RL7,
RL20</t>
  </si>
  <si>
    <t>IN13 コンポジット出ない</t>
  </si>
  <si>
    <t>225/3/26 RL13交換し調整へ
20250718　完了へ移動</t>
  </si>
  <si>
    <t>LCD5縦線</t>
  </si>
  <si>
    <t>2025/2/10 MFGセンターへ取外し依頼
2025/2/21 LCD5取り外し品受け取り、交換
20250516　完了へ移動</t>
  </si>
  <si>
    <t>SW40 緑点灯せず</t>
  </si>
  <si>
    <t>2025/2/6 R117実装位置ずれ。MFGセンターへ
2025/2/25 MFGセンターより受取、組配へ
2025/5/7　検査待ち
20250516　完了へ移動</t>
  </si>
  <si>
    <t>R117</t>
  </si>
  <si>
    <t>FA-16IO-HB12G</t>
  </si>
  <si>
    <t>書き込みできない。途中でエラーが出る</t>
  </si>
  <si>
    <t>2025/1/23 ショートチェックOK
2025/3/14 再書き込み→OK  調整ライン戻し
2025/3/18 組配グループへ返却
2025/7/3　FA-1616HB-12G　NO.19080233へ組込み　検査完了
20250710　完了へ移動</t>
  </si>
  <si>
    <t>R23878</t>
  </si>
  <si>
    <r>
      <rPr>
        <rFont val="Arial"/>
        <color theme="1"/>
        <sz val="10.0"/>
      </rPr>
      <t xml:space="preserve">MAIN LED点灯は良品と変わらず。LCD「FA9600」表示から変化なし(小川）
20250210　開発へ問合せ中。　25/2/12 開発　野口さんへ調査依頼
20250213　(FPS野口)MAIN 基板の CycloneV と IC23(PHY)との通信で初期シーケンスが止まっている事が原因。I023 と周辺部品に半田不良が無いか確認しましたが異常なし。IC23 の故障か Cyc10neV の半田不良と思われますが、同様の不具合がもう1台(項番871)ある事から IC23 の故障は無いと考えます。CycloneV BGA 半田不良が濃厚と想像しますが、今までに IC23 交換で修理出来た事があるなら、IC23 の故障も考えられます。
20250304　項番1497よりリワーク成功率高いので、こちらを先にリワークする。
</t>
    </r>
    <r>
      <rPr>
        <rFont val="Arial"/>
        <color rgb="FFFF0000"/>
        <sz val="10.0"/>
      </rPr>
      <t xml:space="preserve">20250325　0304のコメント間違い、項番1497のリワークを優先
</t>
    </r>
    <r>
      <rPr>
        <rFont val="Arial"/>
        <color theme="1"/>
        <sz val="10.0"/>
      </rPr>
      <t>25/4/2 IC3リワーク依頼 
25/4/21 リワーク上がり　正常起動を確認　組配へ
2025/5/1　検査完了・入庫完了
20250502　完了へ移動。</t>
    </r>
  </si>
  <si>
    <t>R23878
仕掛残1に対し2件有</t>
  </si>
  <si>
    <t>起動後、LCD表示乱れる</t>
  </si>
  <si>
    <r>
      <rPr>
        <rFont val="Arial"/>
        <color theme="1"/>
      </rPr>
      <t xml:space="preserve">IF基板 IC1(125,126,127ピン)乱れに同期したノイズ有→MAIN Arriaからの信号(小川)
20250210　開発へ問合せ中。  25/2/12 開発　野口さんへ調査依頼
20250213　(FPS野口)MAIN基板のArria10からCycloneVに出力しているLCD制御線の異常が原因。Arria10またはCycloneVの実装不良と思われる。
20250304　項番1498を先行リワーク。
2025/3/6 IC3 リワーク依頼
</t>
    </r>
    <r>
      <rPr>
        <rFont val="Arial"/>
        <color rgb="FFFF0000"/>
      </rPr>
      <t xml:space="preserve">25/3/28 通電確認→改善せず
</t>
    </r>
    <r>
      <rPr>
        <rFont val="Arial"/>
        <color theme="1"/>
      </rPr>
      <t>2025/8/8　廃棄予定基板有り（調整グループ保管）
20250922　54期末廃棄に含まれていた。このR番は仕掛残1台なので、この廃棄でR番クローズ。
20250922　54期末廃棄稟議通ったので完了へ移動。</t>
    </r>
  </si>
  <si>
    <t>55期廃棄予定→54期末の廃棄に含まれていた</t>
  </si>
  <si>
    <t>L61焼損により回路断</t>
  </si>
  <si>
    <r>
      <rPr>
        <rFont val="Arial"/>
        <color theme="1"/>
        <sz val="10.0"/>
      </rPr>
      <t xml:space="preserve">L61 センターへ依頼(25/2/4)→L61交換　起動確認 調整ラインへ戻し
</t>
    </r>
    <r>
      <rPr>
        <rFont val="Arial"/>
        <color rgb="FFFF0000"/>
        <sz val="10.0"/>
      </rPr>
      <t xml:space="preserve">20250304　2/19に入庫済。
</t>
    </r>
    <r>
      <rPr>
        <rFont val="Arial"/>
        <color theme="1"/>
        <sz val="10.0"/>
      </rPr>
      <t>20250314　完了へ移動</t>
    </r>
  </si>
  <si>
    <t>L61</t>
  </si>
  <si>
    <t>3QE5BPBLM121K</t>
  </si>
  <si>
    <t>入庫済</t>
  </si>
  <si>
    <t>R24688</t>
  </si>
  <si>
    <t>6 CLN SW GAINボタン緑点灯しない。(D13)
SW基板に現象がついて来る</t>
  </si>
  <si>
    <t>D13点灯せず(テスターもNG)⇒交換しても変わらず。R13正常
R13⇔IC4間導通無し、内層パターンが繋がっていない。
ジャンパー線で配線し、動作OK(QM了承済み)
20250324　完了へ移動</t>
  </si>
  <si>
    <t>E03663</t>
  </si>
  <si>
    <t>ロータリエンコーダF3可変せず、F4どちらに回しても増加</t>
  </si>
  <si>
    <t>25/2/3 IF基板に症状がついてくる。LCDも点灯しない時がある。ALTERA J_TAGできない。CN3,CN4エタノールにてふき取り後、改善した。(小川)</t>
  </si>
  <si>
    <t>E04491-2</t>
  </si>
  <si>
    <t>フロント　Memory　card　error表示</t>
  </si>
  <si>
    <t>2025/1/31　SDカード交換も変化無し  25/2/3 SDカード認識していないRESET信号NG?IC21逆付け修正箇所はんだ不良か？再はんだにて改善(小川)</t>
  </si>
  <si>
    <t>IC21</t>
  </si>
  <si>
    <t>R24414</t>
  </si>
  <si>
    <t>MV-4200MAIN</t>
  </si>
  <si>
    <r>
      <rPr>
        <rFont val="Arial"/>
        <color theme="1"/>
        <sz val="10.0"/>
      </rPr>
      <t>2025/1/31 RS1動作不良、SET側に切替わらない。部品出庫依頼
2025/3/21 IC1( +3.3V)出力無し</t>
    </r>
    <r>
      <rPr>
        <rFont val="Arial"/>
        <color rgb="FFFF0000"/>
        <sz val="10.0"/>
      </rPr>
      <t xml:space="preserve">
</t>
    </r>
    <r>
      <rPr>
        <rFont val="Arial"/>
        <color theme="1"/>
        <sz val="10.0"/>
      </rPr>
      <t>2025/4/8 シールド板組込時にR2006破損？。取付し調整へ 
20250502　完了へ移動。</t>
    </r>
  </si>
  <si>
    <t>E04077</t>
  </si>
  <si>
    <t>R2006</t>
  </si>
  <si>
    <t>3QDX0CQJG104
( MCR01MZPJ104 )</t>
  </si>
  <si>
    <r>
      <rPr>
        <rFont val="Arial"/>
        <color theme="1"/>
        <sz val="10.0"/>
      </rPr>
      <t xml:space="preserve">2025/1/31 RS1動作不良、SET側に切替わらない。部品出庫依頼
</t>
    </r>
    <r>
      <rPr>
        <rFont val="Arial"/>
        <color rgb="FFFF0000"/>
        <sz val="10.0"/>
      </rPr>
      <t xml:space="preserve">2025/3/21 IC1( +3.3V)出力無し
</t>
    </r>
    <r>
      <rPr>
        <rFont val="Arial"/>
        <color theme="1"/>
        <sz val="10.0"/>
      </rPr>
      <t>2025/4/8 シールド板組込時にR2006破損？
2025/4/9 R2006取付し調整へ
20250610　完了へ移動</t>
    </r>
  </si>
  <si>
    <t>FRONT_LCD</t>
  </si>
  <si>
    <t>CPLD更新ができない</t>
  </si>
  <si>
    <t>2025/1/30 CN1コネクタの浮きによる未半田。 リワークせず廃棄作番と交換検討。
廃棄品と交換済
20250526　完了へ移動</t>
  </si>
  <si>
    <t>E04493</t>
  </si>
  <si>
    <t>3QG3HSEC81201</t>
  </si>
  <si>
    <t>完了？</t>
  </si>
  <si>
    <t>MBP-1100VS-P4S1として組込み後、受信特性チェックエラー。
IO5(CN2)-OUT5のみ1mケーブル接続NG。(100mはOK)
新品同様の5CFBケーブル+マイクロBNC(芯線もOK)でチェックしたがNG</t>
  </si>
  <si>
    <t>2025/3/3 部品出庫依頼
2025/3/21 部品受取、リワーク準備中
2025/3/24 IC2リワーク依頼
2025/4//18 リワーク受取
2025/4/25 単体チェックにてIN(CN2)にパソロジ1mケーブルを入力し、1分間程Statusエラー無し→仕掛品に戻した。(単体チェックにはパソロジチェックが無い為、FV永田さんに確認しチェック実施)
20250526　完了へ移動</t>
  </si>
  <si>
    <t>3QA6Z6G12190
( GS12190-INE3 )</t>
  </si>
  <si>
    <t>POWER_F</t>
  </si>
  <si>
    <t>PS1①側PS1・2SW動作せず※PS1SWは途中で動作するようになった</t>
  </si>
  <si>
    <t>2025/1/30　QM宮澤さんサービス沖田さん確認済
　半田面側の金端にフラックス？　MFGセンターへ返却
2025/3/28 MFGセンターより受取。金端部の洗浄を実施。調整へ
2025/3/28　正常動作確認しました。(門脇)
2025/6/12　入庫完了しています。
20250613　完了へ移動</t>
  </si>
  <si>
    <t>E04855</t>
  </si>
  <si>
    <t>R24683</t>
  </si>
  <si>
    <t>connect/MEの動作不良(CN10)</t>
  </si>
  <si>
    <t>2025/1/28 MFGセンターへ部品交換依頼　(部品は石川さん管理分より使用)
2025/2/14 MFGセンターより受取、組配へ返却
20251201　完了へ移動</t>
  </si>
  <si>
    <t>ロットの頭出し6式が起動しない
maicroSD書換、書込みデバイス交換したが改善せず</t>
  </si>
  <si>
    <t>2025/1/27 FPS開発部へ調査依頼 → IC21の実装向きが逆
　　IC21を交換し、+3.3V電源電圧と正常起動を確認
2025/1/28 MFGセンターで修正開始。MAIN基板返却
20250207　不具合原因判明して対応中なので、この項番はクローズ。対応後に発生したk不具合は、別途項番へ記載する。</t>
  </si>
  <si>
    <t>起動時にFANが全開で回転する</t>
  </si>
  <si>
    <t>2025/1/27 IC80(+2.5V)出力無し、IC83(+1.8V)出力無し
　　IC1の半田面に半田くず付着(電源ショート)、部品取れが数ヶ所あり。
　　→ MFGセンターへ返却
2025/2/7　MFGセンターより受取。IC80,IC83の出力確認し、組配へ
20250731　完了へ移動</t>
  </si>
  <si>
    <t>起動しない　SDカード付近のLED2～5点灯しない　フロント表示出ない</t>
  </si>
  <si>
    <t>20250131　IC6,7交換&amp;μsdへクロック来ていない(IC3から)    IC3出庫依頼。
20250304　IC3数個しか入手出来なかった為、現象同じの項番1015を先にリワーク。
25/4/2 IC3リワーク依頼
25/4/21 リワーク上がり　LED点灯は正常だが起動しない
25/4/21 μSDカード交換にて正常起動→組配へ
2025/4/22　組配完了・検査中
2025/5/16　検査中にBNCの変形が発覚　項番1649へ移行
20250526　完了へ移動</t>
  </si>
  <si>
    <t>×
μSD交換で復帰</t>
  </si>
  <si>
    <t>項目として完了</t>
  </si>
  <si>
    <t>I/F (本体あり)</t>
  </si>
  <si>
    <t>フロント表示出ない</t>
  </si>
  <si>
    <t>20250131　CN3接触不良か(不規則)？QM確認。
2025/2/18 再発 IF基板認識していない模様　アルテラ枝3へアップデート→認識したが表示・点灯異常　IC2,3交換→改善せず　IC1がNGか？部品手配、リワーク準備。  25/2/25 IC1交換→正常起動確認　調整ラインへ
2025/3/5　入庫完了
20250825　完了へ移動</t>
  </si>
  <si>
    <t>3QA7E10M02SC8</t>
  </si>
  <si>
    <t>R24641(IO-R24533)</t>
  </si>
  <si>
    <t>19080180(IO-19110099)</t>
  </si>
  <si>
    <t>IO基板のバージョンアップができない
writing date 10.00%でエラーが出る。
(初回データ：IO_FPGA_R10800_20230429zip)</t>
  </si>
  <si>
    <t>不良基板の切り分けをまだしていません
2025/3/14→別のIO基板と入れ替えたところ書き込みできたのでIOが原因。
2025/3/17　もう一度組み直して書き込みしたところバージョンアップできるようになりました。（接触不良？）
20250403　完了へ移動</t>
  </si>
  <si>
    <t>R24586</t>
  </si>
  <si>
    <t>OU_MAIN</t>
  </si>
  <si>
    <t>ロータリーエンコーダ(ENC5)のSW操作が反応しない</t>
  </si>
  <si>
    <t>2025/1/23 部品出庫依頼
2025/1/29 ENC5交換し調整へ
2025/03/17 入庫済み
20250326　完了へ移動</t>
  </si>
  <si>
    <t>ENC5</t>
  </si>
  <si>
    <t>3QFZ16K25WH</t>
  </si>
  <si>
    <t>R21567
作番完了</t>
  </si>
  <si>
    <t>FA-96EX12G06</t>
  </si>
  <si>
    <t>SDI12G　CD</t>
  </si>
  <si>
    <t>スロットA認識せず※出力も出ない</t>
  </si>
  <si>
    <t>2025/1/21　VERUPで復帰
20250526　完了へ移動</t>
  </si>
  <si>
    <t>E04591</t>
  </si>
  <si>
    <t>FA-1616</t>
  </si>
  <si>
    <t>映像ロックしない　GENLOCK認識せず</t>
  </si>
  <si>
    <t>項番1553へ移行
20250325　上記と重複していた為、削除。</t>
  </si>
  <si>
    <t>E04857</t>
  </si>
  <si>
    <t>R24110</t>
  </si>
  <si>
    <t>MFR-SRCPU</t>
  </si>
  <si>
    <t>起動不良　GUIに接続できない　D12~15LEDの点灯がおかしい</t>
  </si>
  <si>
    <t>2025/2/13 切り分け I/F基板か？　フラットケーブル付けなおし後、正常起動(小川)
2025/2/19 MFR-3232RPS(S/No.16160243)に組み込み、正常に動作することを確認
2025/2/20　入庫済
20250610　完了へ移動</t>
  </si>
  <si>
    <t>E03730</t>
  </si>
  <si>
    <t>SDI IN CD</t>
  </si>
  <si>
    <t>IN1コンポジット出ない。</t>
  </si>
  <si>
    <t>2025/1/17 SDI入力は出力するのでRL1の不良？
2025/1/21 部品出庫依頼(納期は未定)
2025/3/26 RL1交換し調整へ ⇒ 改善せず。リレー動作せず
　　R1108,D1が破損している。基板端、シールド板のボス付近。 取付し調整へ
20250502　完了へ移動。</t>
  </si>
  <si>
    <t>D1
R1108</t>
  </si>
  <si>
    <t>3QB2RB530CM30
( RB530CM-30T2R )
3QDX0CQB4R7
( RK73B1ETTP4R7J )</t>
  </si>
  <si>
    <t>17242747へ引当</t>
  </si>
  <si>
    <t>SW6-1 操作部が破損。交換したが操作しても反応なし。</t>
  </si>
  <si>
    <t>2025/1/16 SW6-1パットが破損していたため、SW操作に反応しなかった。修正
20250206　2課へ戻し済み。
2025/8/8　組配グループへ確認したところ次作番と一緒に不足部品がくるので、部品そろい次第、組配予定
20250930　次ロット起きたが不足部品がまだないので部品が来たら組配予定。
2025/10/8　組配完了。通常検査完了。
2025/12/11　入庫完了。
20251211　完了へ移動</t>
  </si>
  <si>
    <t>PCB</t>
  </si>
  <si>
    <t>LTC2977書込み後、出力電圧の低い個所がある。①2.5V⇒0.1V、②1.8V⇒0.9V</t>
  </si>
  <si>
    <t>2025/3/3 IC47部品出庫依頼 (部品入庫予定：4/10)
2025/5/23 リワーク依頼
2025/6/10  DC/DC出力確認し調整へ→動作確認しF番引当て予定
20250703　完了へ移動</t>
  </si>
  <si>
    <t>IC47</t>
  </si>
  <si>
    <t>R24609</t>
  </si>
  <si>
    <t>タッチパネル左下点灯しない箇所がある</t>
  </si>
  <si>
    <t>2025/1/15 表示器交換で改善。部品故障
20250502　完了へ移動。</t>
  </si>
  <si>
    <t>２EP3089</t>
  </si>
  <si>
    <t>3QKZTMS431044</t>
  </si>
  <si>
    <t>R25003</t>
  </si>
  <si>
    <t>1HU_MAIN</t>
  </si>
  <si>
    <t>3G-SDIのタイミングジッタが規定値を偶に超える</t>
  </si>
  <si>
    <t>2025/1/15 ループフィルタ C378、C379交換 ⇒ 改善せず
　Rear側FANに異音が偶に発生する
2025/1/17 X7交換実施。Rear側FAN交換し調整へ
20250526　完了へ移動</t>
  </si>
  <si>
    <t>2PC1558A</t>
  </si>
  <si>
    <t>X7</t>
  </si>
  <si>
    <t>3QZ6C404H0270</t>
  </si>
  <si>
    <t>2025/01/15 C135交換し、3課へ→改善した
20250124　完了へ移動</t>
  </si>
  <si>
    <t>FRONT2</t>
  </si>
  <si>
    <t>フロントパネルが反応しない</t>
  </si>
  <si>
    <t>2025/1/15 Front基板単品で起動しない。CPU2の書込みもれ？
　　書き込み実施後、正常起動を確認。組配へ
20250502　完了へ移動。</t>
  </si>
  <si>
    <t>PVA421-1</t>
  </si>
  <si>
    <t>R24723</t>
  </si>
  <si>
    <t>MFR-3232RPS</t>
  </si>
  <si>
    <t>設定データ(名称/SALVO、SystemFormat設定)が保存されない。
XPT設定は残っている</t>
  </si>
  <si>
    <t>2025/1/14 初期化後、再現せず。⇒次回組配時に再チェック予定
2025/2/19 10回再試験⇒再現しない為、初期化漏れと判断
20250324　完了へ移動</t>
  </si>
  <si>
    <t>CN4の実装向き逆</t>
  </si>
  <si>
    <t>2025/1/14 MFGセンターへ返却
2025/2/7 MFGセンターより受取。組配へ
20250710　完了へ移動</t>
  </si>
  <si>
    <t>E04080E</t>
  </si>
  <si>
    <t>3QG3FX1814PSV</t>
  </si>
  <si>
    <t>PowerLED 緑点灯不良。ネットワーク接続不良</t>
  </si>
  <si>
    <t>2025/1/9 POWER_F基板の金端に半田くず有り。除去して調整へ
20250710　完了へ移動</t>
  </si>
  <si>
    <t>SDI CARD</t>
  </si>
  <si>
    <t>起動しない。D75しか点灯していない。</t>
  </si>
  <si>
    <t>2025/1/9 R803破損している。交換して調整へ
2025/1/16 動作確認完了
20250502　完了へ移動。</t>
  </si>
  <si>
    <t>R803</t>
  </si>
  <si>
    <t>3QDX0CQF103</t>
  </si>
  <si>
    <t>LCD3横一列ドット欠け？時間経過で復帰⇒再現を繰り返す.
復帰⇒再現の時間間隔は不明(数時間以上？)</t>
  </si>
  <si>
    <t>2025/1/8 LCD3取り外しを依頼、部品は品質異常で調査して頂く予定
2025/1/14 取り外し品受け取り
2025/1/27 LCD3交換/40hヒートラン、動作OK
20250324　完了へ移動</t>
  </si>
  <si>
    <t>R24685</t>
  </si>
  <si>
    <t>C527~528、C549~550の抵抗値が低い(7.2KΩ)
IC47(+2.5V)EN信号レベル無し</t>
  </si>
  <si>
    <t>2025/1/8 登録もれ。IC44、IC47の1ピン-15ピンが短絡している。
　　部品出庫依頼(在庫品、引き充て済、MOQ250)
2025/4/14 リワーク依頼 ( 希望納期:5/9 )
2025/4/25 リワーク受取
2025/4/25 再調整し正常な抵抗値な事を確認
20250526　完了へ移動</t>
  </si>
  <si>
    <t>IC44,IC47</t>
  </si>
  <si>
    <r>
      <rPr>
        <rFont val="Arial"/>
        <color theme="1"/>
        <sz val="10.0"/>
      </rPr>
      <t>R23775(</t>
    </r>
    <r>
      <rPr>
        <rFont val="Arial"/>
        <color rgb="FFFF0000"/>
        <sz val="10.0"/>
      </rPr>
      <t>24976</t>
    </r>
    <r>
      <rPr>
        <rFont val="Arial"/>
        <color theme="1"/>
        <sz val="10.0"/>
      </rPr>
      <t>)</t>
    </r>
  </si>
  <si>
    <r>
      <rPr>
        <rFont val="Arial"/>
        <color theme="1"/>
        <sz val="10.0"/>
      </rPr>
      <t>FA-1010
(</t>
    </r>
    <r>
      <rPr>
        <rFont val="Arial"/>
        <color rgb="FFFF0000"/>
        <sz val="10.0"/>
      </rPr>
      <t>FA-505MF</t>
    </r>
    <r>
      <rPr>
        <rFont val="Arial"/>
        <color theme="1"/>
        <sz val="10.0"/>
      </rPr>
      <t>)</t>
    </r>
  </si>
  <si>
    <t>RL7,RL9リレー不良</t>
  </si>
  <si>
    <r>
      <rPr>
        <rFont val="Arial"/>
        <b/>
        <color rgb="FFFF0000"/>
        <sz val="10.0"/>
      </rPr>
      <t>不良760の基板</t>
    </r>
    <r>
      <rPr>
        <rFont val="Arial"/>
        <color theme="1"/>
        <sz val="10.0"/>
      </rPr>
      <t xml:space="preserve">
2024/12/25 棚ズレの為、部品出庫出来ず。(25年4月以降?)
2025/2/17 RL7,RL9交換で復帰
20250324　完了へ移動</t>
    </r>
  </si>
  <si>
    <t>RL7,RL9</t>
  </si>
  <si>
    <t>Windowボタン4反応せず</t>
  </si>
  <si>
    <t>2025/12/25 半田ブリッジ有り、出荷間近のため処置して調整へ
20250502　完了へ移動。</t>
  </si>
  <si>
    <t>E03842</t>
  </si>
  <si>
    <t>R23955</t>
  </si>
  <si>
    <t>書込み出来ず</t>
  </si>
  <si>
    <t>2024/12/18 
 仕掛週報D 残3/30
2025/07/30　不良棚にあり。
25/7/31 X4002 未ハンダか？　センターへ確認依頼
20251118　完了へ移動</t>
  </si>
  <si>
    <t>POWER_B/
POWER_F</t>
  </si>
  <si>
    <t>LEDの点灯が不安定になる</t>
  </si>
  <si>
    <t>2024/12/24 POWER_B基板のCN2にフラックス様なものが付着している
　ｸﾘｰﾆﾝｸﾞして組み直したら正常点灯に復帰した。
20250710　完了へ移動</t>
  </si>
  <si>
    <t>E04856
E04855</t>
  </si>
  <si>
    <t>R24449</t>
  </si>
  <si>
    <t>FA-10GPI</t>
  </si>
  <si>
    <t>GPI CARD</t>
  </si>
  <si>
    <t>GPI IN 9,10が反応しない
R18抵抗が付いていない。R21抵抗がズレている</t>
  </si>
  <si>
    <t>2024/12/25 ぶつけた痕跡はあるが作業工程は不明。MFGセンターへ返却
2025/1/24  MGFセンターより受取。調整卓へ
2025/1/27 R21修正されておらず。調整で修正(作業依頼が何故かR19になっていた)
20250324　完了へ移動</t>
  </si>
  <si>
    <t>E03926</t>
  </si>
  <si>
    <t>R18
R21</t>
  </si>
  <si>
    <t>2024/12/24
(20243/9/15)</t>
  </si>
  <si>
    <t>MAN</t>
  </si>
  <si>
    <t>FAN1停止のアラーム検出できない。FAN交換しても改善せず</t>
  </si>
  <si>
    <r>
      <rPr>
        <rFont val="Arial"/>
        <color theme="1"/>
        <sz val="10.0"/>
      </rPr>
      <t xml:space="preserve">2024/12/24 半田面(4,r)付近にパターン断線している。断線したパターンの上にソルダーレジストが塗られている。  MFGセンターへ返却。→廃棄検討
</t>
    </r>
    <r>
      <rPr>
        <rFont val="Arial"/>
        <color rgb="FFFF0000"/>
        <sz val="10.0"/>
      </rPr>
      <t xml:space="preserve">20250306　センターへ基板返却要請済。
</t>
    </r>
    <r>
      <rPr>
        <rFont val="Arial"/>
        <color theme="1"/>
        <sz val="10.0"/>
      </rPr>
      <t>2025/3/11センターより返却済。※調整グループにて保管しています。(門脇)
20250401　完了へ移動。</t>
    </r>
  </si>
  <si>
    <t>3QIE04490-05</t>
  </si>
  <si>
    <t>R24679</t>
  </si>
  <si>
    <t>HVS-AUX16D</t>
  </si>
  <si>
    <t>OLEDが点灯せず、基板入替したら点灯した</t>
  </si>
  <si>
    <t>2024/12/24 CN3に半田不良？　⇒　半田付して復帰し調整卓へ  25/2/27 入庫済み
20250314　完了へ移動</t>
  </si>
  <si>
    <t>E04178</t>
  </si>
  <si>
    <t>Ｃ</t>
  </si>
  <si>
    <t>LAN通信しない。</t>
  </si>
  <si>
    <t>2024/12/23 CN1にフラックスが付着。MFGセンターへ返却
2025/1/10 MFGセンターより受取、組配へ
20250324　完了へ移動</t>
  </si>
  <si>
    <t>Refロックしない。</t>
  </si>
  <si>
    <t>R23775(24976)</t>
  </si>
  <si>
    <t>RL7リレー不良
(FA-505に組み込み時発生)</t>
  </si>
  <si>
    <t>2024/12/20 RL7交換
20250324　完了へ移動</t>
  </si>
  <si>
    <t>○</t>
  </si>
  <si>
    <t>RTCの周波数が製品仕様外になる</t>
  </si>
  <si>
    <t>2024/12/20 RTC交換し調整卓へ→ 改善せず
2025/1/9  RTC交換し調整卓へ(2回交換)
20250324　完了へ移動</t>
  </si>
  <si>
    <t>映像がLOCKしない</t>
  </si>
  <si>
    <t>720p50画出し後、3G用オールデータを入れてリブートしたら、立ち上がらなくなる。OU、PC共に通信不可能。出力からEYEパターン(1080p59.94)あり、REF OUTからBBも出ている。電源入れ切りですべて正常動作し、3Gオールデータも反映されている。</t>
  </si>
  <si>
    <t>30回以上再現試験実施→再現せず　入庫完了
20250314　完了へ移動</t>
  </si>
  <si>
    <t>R23764</t>
  </si>
  <si>
    <t>HVS-AUX64A</t>
  </si>
  <si>
    <t>LEDSW48で通常→セットアップモードに移行したとき、点灯状態が保持されたままになる。他の仕掛でも再現確認。</t>
  </si>
  <si>
    <t>他の筐体でも発生した。（開発問い合わせ中）サービスメンテ機引き当ての為、入庫
20250314　完了へ移動</t>
  </si>
  <si>
    <t>CPU_SW2</t>
  </si>
  <si>
    <t>LEDSW53が押しても反応しない(点灯はする)。D090を破損してしまった。</t>
  </si>
  <si>
    <t>D090交換後、正常動作確認。  入庫完了
20250314　完了へ移動</t>
  </si>
  <si>
    <t>E04026</t>
  </si>
  <si>
    <t>D090</t>
  </si>
  <si>
    <t>microSDからの書込みが出来ない。
途中で停止し、最初から繰り返す。</t>
  </si>
  <si>
    <t>大阪R&amp;Dで確認。
20250402　IC131半田ブリッジ修正で書き込みOK。
2025/4/4 受取後、動作確認し組配へ
20250703　完了へ移動</t>
  </si>
  <si>
    <t>大阪R&amp;Dで確認。
20250402　IC131半田ブリッジ修正で書き込みOK。
2025/4/4 受取後、動作確認し組配へ
20250516　完了へ移動</t>
  </si>
  <si>
    <t>15122389
(予定)</t>
  </si>
  <si>
    <t>RL9リレー不良⇒修理失敗(パターン破損)</t>
  </si>
  <si>
    <t>2024/12/12 受付漏れ
2024/12/13 パターン修正⇒制御ピンがうまくつかずNG、リレー取外し不可状態
20250306　廃棄の方針。
20250401　完了へ移動。</t>
  </si>
  <si>
    <t>SETUPなしのB.Bを入力するとLockしない。電源投入時はLockするが、B.Bの抜き差しでLockしなくなる。
SETUP付きのB.Bは問題無し。</t>
  </si>
  <si>
    <t>2024/12/12 FPS開発部(上里さん)に確認いただいた。Ref回路の個別不良か？ 温まるとBB(SET UP関係なく)IC245出力バタつく→交換(小川)
20250206　既に入庫済。</t>
  </si>
  <si>
    <t>IC245</t>
  </si>
  <si>
    <t>Refロックしない。ステータス表示は正常だが、動作不良となる</t>
  </si>
  <si>
    <t>2024/12/12 CN1にフラックスが付着。MFGセンターへ返却
2025/1/10 MFGセンターより受取、組配へ
20250324　完了へ移動</t>
  </si>
  <si>
    <t>R24390</t>
  </si>
  <si>
    <t>OU2＿TRANS22</t>
  </si>
  <si>
    <t>SW77が点灯しない。R178欠損している</t>
  </si>
  <si>
    <t>2024/12/10 R178交換し、組配へ 組配後、正常動作確認。</t>
  </si>
  <si>
    <t>R178</t>
  </si>
  <si>
    <t>R24993</t>
  </si>
  <si>
    <t>LTC2977書込み後、出力電圧の低い個所がある。①2.5V⇒1.0V、②1.8V⇒0.9V</t>
  </si>
  <si>
    <t>2025/3/3 IC47部品出庫依頼 (部品入庫予定：4/10)
2025/5/23 リワーク依頼
2025/6/10  DC/DC出力確認し調整へ→動作確認しF番引当て予定
20250718　完了へ移動</t>
  </si>
  <si>
    <t>OU2_BUS18</t>
  </si>
  <si>
    <t>SW85を押下しても反応しない</t>
  </si>
  <si>
    <t>2024/12/10 D85が破損している。D85交換し組配へ 組配後、正常動作確認。</t>
  </si>
  <si>
    <t>E04401</t>
  </si>
  <si>
    <t>D85</t>
  </si>
  <si>
    <t>3QB21SS404</t>
  </si>
  <si>
    <t>R24297</t>
  </si>
  <si>
    <t xml:space="preserve">OPスロットBの基板認識不良
 HVS-100DI-A ⇒ 100PCI
 HVS-100DO ⇒ HVS-100PCO                                         </t>
  </si>
  <si>
    <t>2024/12/9 OPT_IF基板交換しても改善せず。
2024/12/9基板切り分け→MAIN 
2025/2/27 IC58リワーク依頼　3/31納期。　　　　　　　
25/3/21 リワーク基板受領　組配依頼中
25/4/7 通電確認　改善せず
25/4/11 SW岡田さん問い合わせ 
25/4/15 CN21手配
25/4/17 部品受領
25/4/23 CN21交換依頼(5/20希望）
25/5/16 CN21交換品受領
25/5/20 通電確認→改善せず　廃棄へ
20250922　54期末廃棄稟議通ったので完了へ移動。</t>
  </si>
  <si>
    <t>3QA8CAM5728</t>
  </si>
  <si>
    <r>
      <rPr>
        <rFont val="Arial"/>
        <color theme="1"/>
        <sz val="10.0"/>
      </rPr>
      <t xml:space="preserve">R24721
</t>
    </r>
    <r>
      <rPr>
        <rFont val="Arial"/>
        <color rgb="FFFF0000"/>
        <sz val="10.0"/>
      </rPr>
      <t>作番完了</t>
    </r>
  </si>
  <si>
    <t>SETUPボタンが動作しない</t>
  </si>
  <si>
    <t>2024/12/9 S35にフラックスが付着。MFGセンターへ返却予定
　S35のボタン押下時に1-3ピン間、2-4ピン間の導通が無い
2024/12/11 部品入手しMFGセンターへ返却、部品交換依頼
2024/12/20 MFGセンターより受取、調整卓へ
2024/12/23 動作正常を確認
20250123　完了へ移動</t>
  </si>
  <si>
    <t>S35</t>
  </si>
  <si>
    <t>3QF6HP03154TP</t>
  </si>
  <si>
    <r>
      <rPr>
        <rFont val="Arial"/>
        <color theme="1"/>
        <sz val="10.0"/>
      </rPr>
      <t xml:space="preserve">R24721
</t>
    </r>
    <r>
      <rPr>
        <rFont val="Arial"/>
        <color rgb="FFFF0000"/>
        <sz val="10.0"/>
      </rPr>
      <t>作番完了</t>
    </r>
  </si>
  <si>
    <t>2024/12/9 S35にフラックスが付着。MFGセンターへ返却予定
　S35のボタン押下時に1-3ピン間、2-4ピン間の導通が無い
2024/12/11 部品入手しMFGセンターへ返却、部品交換依頼
2024/12/20 MFGセンターより受取、調整卓へ
20250123　完了へ移動</t>
  </si>
  <si>
    <t>１UH_MAIN</t>
  </si>
  <si>
    <t>CN13の実装向き逆</t>
  </si>
  <si>
    <t>2024/12/13 CN13部品出庫依頼
2025/3/10 修正されていなかった？ MFGセンターへ返却
2025/05/22 MFGセンターから受取、組配完了3課へ納品済
20250610　完了へ移動</t>
  </si>
  <si>
    <t>3QG3FX1814S15</t>
  </si>
  <si>
    <t>RL10,RL19リレー不良
後付け前確認番号：25</t>
  </si>
  <si>
    <t>2024/12/17 該当リレー交換、動作確認してOK⇒組配Gへ返却
20250324　完了へ移動</t>
  </si>
  <si>
    <t>RL10,
RL19</t>
  </si>
  <si>
    <t>R24705(R24976)</t>
  </si>
  <si>
    <t>RL1リレー不良
後付け前確認番号：32</t>
  </si>
  <si>
    <t>2024/12/17 該当リレー交換、動作確認してOK⇒組配Gへ返却
2025/3/11 R24976 FA-505へ引当て
20250324　完了へ移動</t>
  </si>
  <si>
    <t>RL5,RL12リレー不良
後付け前確認番号：39</t>
  </si>
  <si>
    <t>2024/12/17 該当リレー交換、動作確認してOK⇒組配Gへ返却
2025/1/20 R24976 FA-505へ引当て
20250324　完了へ移動</t>
  </si>
  <si>
    <t>RL5,
RL12</t>
  </si>
  <si>
    <t>RL2,RL3リレー不良
後付け前確認番号：37</t>
  </si>
  <si>
    <t>RL2,RL3</t>
  </si>
  <si>
    <t>RL3,RL13、RL10,RL20リレーが切り替わらない
RL12リレー不良
後付け前確認番号：35</t>
  </si>
  <si>
    <t>2024/12/17 該当リレー交換、動作確認してOK⇒組配Gへ返却
2025/1/20 R24976 FA-505に引当て
20250324　完了へ移動</t>
  </si>
  <si>
    <t>RL3.RL10
RL12,RL13,RL20</t>
  </si>
  <si>
    <t>RL1,RL10,RL12,RL13,RL15リレー不良
後付け前確認番号：23</t>
  </si>
  <si>
    <t>2024/12/17 該当リレー交換、動作確認してOK⇒組配Gへ返却
2025/2/13 R24976 FA-505に引当て
20250324　完了へ移動</t>
  </si>
  <si>
    <t>RL1,RL10
RL12,RL13,RL15</t>
  </si>
  <si>
    <t>1UH_R3GSDI</t>
  </si>
  <si>
    <t>LAN通信せず</t>
  </si>
  <si>
    <t>2024/12/13 CN1-8~15ピンにフラックス？付着。不具合現象のLAN通信の信号も該当する。
MFGセンターへ返却
2025/1/10 MFGセンターより受取、組配へ
20250324　完了へ移動</t>
  </si>
  <si>
    <t>DC12V IN-2にACアダプタを挿してもGUI上でNONEとなる。
電源は入る。CN15の2ピンの半田が上っており、底部に半田が接触している。</t>
  </si>
  <si>
    <t>1317 MFR-40RUと同じ事例(基板同一)
24/12/04 センターへ修正依頼(12/9希望)、CN14も危険な為、CN14,CN15修正依頼
24/12/16 動作確認OK、調整検査完了 25年1月出荷に引き当て
20250324　完了へ移動</t>
  </si>
  <si>
    <t>E03558</t>
  </si>
  <si>
    <t>R24850</t>
  </si>
  <si>
    <t>MBP-C-HDO</t>
  </si>
  <si>
    <t>HDO</t>
  </si>
  <si>
    <t>MBP-1100VS-P6S1として組込み後、出力特性にてCN3のみ画出ず。
モニタ NO SYNC表示。</t>
  </si>
  <si>
    <t>2024/12/4 CN5-C17、C18が短絡している。(IC3の差動入力) 部品手配表発行
2025/1/15 CN5交換依頼
2025/2/7　MFGセンターより受取。調整卓へ
2025/4/4   MBP-210VSに組込み調整実施→動作確認OK
2025/4/4現在、2025/5/7出荷の住友電気工業向けに引当て
20250526　完了へ移動</t>
  </si>
  <si>
    <t>E04965</t>
  </si>
  <si>
    <t>CN5</t>
  </si>
  <si>
    <t>3QG0SEAM82005</t>
  </si>
  <si>
    <t>20250519引当予定</t>
  </si>
  <si>
    <t>SW17のボタン動作不良。押下すると元に戻らない時がある</t>
  </si>
  <si>
    <t>2024/12/3 部品出庫依頼
2024/12/6 SW17交換し、3課へ</t>
  </si>
  <si>
    <t>E04165</t>
  </si>
  <si>
    <t>SW17</t>
  </si>
  <si>
    <t>3QF6CFPB4W9W1</t>
  </si>
  <si>
    <t>R24597</t>
  </si>
  <si>
    <t>2024/12/3 リレー交換し、八木さんへ
20250123　完了へ移動</t>
  </si>
  <si>
    <t>IN1デジタル出ない。リレー不良</t>
  </si>
  <si>
    <t>R24084(ロット完)</t>
  </si>
  <si>
    <t>起動せず。IC107(+1.8V)出力無し。電源-GND間は短絡していない</t>
  </si>
  <si>
    <t>2024/11/27 部品交換(リワーク)対応の予定
2024/11/28 部品出庫依頼
20241212　部品入手待ち。IC107不良解析の為センターへ。
20250203　リワークせず戻り。他のリワーク会社へ出す予定。20250303 タク技研リワーク上がり　1.8V正常出力 組配へ引き渡し
2025/03/17 R24298へ　入庫未
20250326　完了へ移動  s/no.140</t>
  </si>
  <si>
    <t>2024/11/27 部品交換(リワーク)対応の予定
2024/11/28 部品出庫依頼
20241212　部品入手待ち。IC107不良解析の為センターへ。
20250203　改善し、2課で組配。
2025/03/17 R24298へ　入庫未
20250326　完了へ移動</t>
  </si>
  <si>
    <t>R24084
作番完了⇒
R24298？</t>
  </si>
  <si>
    <t xml:space="preserve">
⇒
Ｃ</t>
  </si>
  <si>
    <t>2024/11/27 部品交換(リワーク)対応の予定
2024/11/28 部品出庫依頼
20241212　部品入手待ち。IC107不良解析の為センターへ。
20250203　改善し、2課で組配。
2025/03/17 入庫未
20250326　完了へ移動</t>
  </si>
  <si>
    <t>2024/11/27 部品交換(リワーク)対応の予定
2024/11/28 部品出庫依頼
20241212　部品入手待ち。IC107不良解析の為センターへ。
20250203　改善し、2課で組配。
2025/03/17 入庫未
20250326　完了へ移動  S/NO.100へ引き当て</t>
  </si>
  <si>
    <t>AUX8のEyeパターン出力レベルが小さい</t>
  </si>
  <si>
    <t>2024/11/26 L36,C779,C767破損、一部基板も損傷
2024/11/27 MFGセンターへ修理依頼
2024/12/20 MFGセンターより受取、調整卓へ
20250123　完了へ移動</t>
  </si>
  <si>
    <t>L36
C767,C779</t>
  </si>
  <si>
    <t>3QE2KL73E3N3
3QCX7B0G475</t>
  </si>
  <si>
    <t>RL9,RL11リレー不良
後付け前確認の通し番号47</t>
  </si>
  <si>
    <t>2024/11/26 受付漏れ 
2024/07/18 RL9,RL11交換
2024/11/06調整完、入庫済みにつき終了</t>
  </si>
  <si>
    <t>RL9,
RL11</t>
  </si>
  <si>
    <t>RL9,RL10,RL13,RL17リレー不良
後付け前確認の通し番号46</t>
  </si>
  <si>
    <t>2024/11/26 受付漏れ 
2024/07/18 RL9,RL10,RL13,RL17交換
2024/11/06調整完、入庫済みにつき終了</t>
  </si>
  <si>
    <t>RL9,RL10,
RL13,RL17</t>
  </si>
  <si>
    <t>RL17リレー不良
後付け前確認の通し番号49</t>
  </si>
  <si>
    <r>
      <rPr>
        <rFont val="Arial"/>
        <color theme="1"/>
        <sz val="10.0"/>
      </rPr>
      <t>2024/11/26 受付漏れ</t>
    </r>
    <r>
      <rPr>
        <rFont val="Arial"/>
        <color theme="1"/>
        <sz val="10.0"/>
      </rPr>
      <t xml:space="preserve"> 
2024/07/18 RL17交換
2024/11/26 FA-505へ振替して終了</t>
    </r>
  </si>
  <si>
    <t>2024/11/26 C135交換し、3課へ→改善した</t>
  </si>
  <si>
    <t>R24092</t>
  </si>
  <si>
    <t>1UH＿MAIN</t>
  </si>
  <si>
    <t>LMK03328,DSPの書込みが出来ない</t>
  </si>
  <si>
    <t>2024/11/25 受付漏れ。現品は大阪へ調査・修理依頼中
20241127　大阪にて原因切り分け未完了。大阪で調査中
20250402　IC131半田ブリッジ修正で書き込みOK。
2025/4/4 受取後、動作確認し組配へ
20250526　完了へ移動</t>
  </si>
  <si>
    <t>IC131(半田)</t>
  </si>
  <si>
    <t>20241127　大阪にて原因切り分け未完了。</t>
  </si>
  <si>
    <t>IN12のSDI入力が表示されない。
RL12の導通なし。</t>
  </si>
  <si>
    <t>2024/11/22 RL12の導通無し。リレー不良
2024/11/25 RL12交換し、2課へ</t>
  </si>
  <si>
    <t>R24913</t>
  </si>
  <si>
    <t>MBP-11IPMTX</t>
  </si>
  <si>
    <t>MOIP MTX CD</t>
  </si>
  <si>
    <t>CN31外的ストレスによりパッドが剥離　(5/10台NG)</t>
  </si>
  <si>
    <t>2024/3/20 MFGセンターに返却
2025/04/01 入庫済み
20250403　完了へ移動</t>
  </si>
  <si>
    <t>E05060</t>
  </si>
  <si>
    <t>CN31</t>
  </si>
  <si>
    <t>3QG0ZX62B5PA</t>
  </si>
  <si>
    <t>FRONTのボタン検査でSW6を押下すると他のボタンも点灯する</t>
  </si>
  <si>
    <t>2024/11/21 FRONT基板に半田ブリッジ有り。MFGセンターへ
2024/12/4 MFGセンターより受取、2課へ</t>
  </si>
  <si>
    <t>R24640</t>
  </si>
  <si>
    <t>吉田、滝沢</t>
  </si>
  <si>
    <t>組立作業中にCN2を破損した。(2枚目)</t>
  </si>
  <si>
    <r>
      <rPr>
        <rFont val="Arial"/>
        <color theme="1"/>
        <sz val="10.0"/>
      </rPr>
      <t>2024/11/21部品手配表発行
2024/11/27 DISCONのため出庫不可。代替品の部品コードは有るが手配履歴無し
　いずれかの製品評価が終わるまで手配は様子見(MFR,HVS関連)</t>
    </r>
    <r>
      <rPr>
        <rFont val="Arial"/>
        <b/>
        <color theme="1"/>
        <sz val="10.0"/>
      </rPr>
      <t xml:space="preserve">
</t>
    </r>
    <r>
      <rPr>
        <rFont val="Arial"/>
        <b/>
        <color rgb="FFFF0000"/>
        <sz val="10.0"/>
      </rPr>
      <t xml:space="preserve">2025/3/12 MFGセンターへ交換依頼
</t>
    </r>
    <r>
      <rPr>
        <rFont val="Arial"/>
        <color theme="1"/>
        <sz val="10.0"/>
      </rPr>
      <t>2025/5/16 DISCON品に余剰があったため出庫依頼し交換依頼中
　交換完了し、組配へ
2025/5/22 組配完了
20250710　完了へ移動</t>
    </r>
  </si>
  <si>
    <t>E04322</t>
  </si>
  <si>
    <t>3QG0973028</t>
  </si>
  <si>
    <t>組立作業中にCN2を破損した。</t>
  </si>
  <si>
    <r>
      <rPr>
        <rFont val="Arial"/>
        <color theme="1"/>
        <sz val="10.0"/>
      </rPr>
      <t>2024/11/21部品手配表発行
2024/11/27 DISCONのため出庫不可。代替品の部品コードは有るが手配履歴無し
　いずれかの製品評価が終わるまで手配は様子見(MFR,HVS関連)</t>
    </r>
    <r>
      <rPr>
        <rFont val="Arial"/>
        <b/>
        <color theme="1"/>
        <sz val="10.0"/>
      </rPr>
      <t xml:space="preserve">
</t>
    </r>
    <r>
      <rPr>
        <rFont val="Arial"/>
        <color theme="1"/>
        <sz val="10.0"/>
      </rPr>
      <t xml:space="preserve">代替品　3QG364690811　1469081-1
</t>
    </r>
    <r>
      <rPr>
        <rFont val="Arial"/>
        <b/>
        <color rgb="FFFF0000"/>
        <sz val="10.0"/>
      </rPr>
      <t xml:space="preserve">2025/3/12 MFGセンターへ交換依頼
</t>
    </r>
    <r>
      <rPr>
        <rFont val="Arial"/>
        <color theme="1"/>
        <sz val="10.0"/>
      </rPr>
      <t>2025/5/16 DISCON品に余剰があったため出庫依頼し交換依頼中
　交換完了し、組配へ
2025/5/22 組配完了
20250710　完了へ移動</t>
    </r>
  </si>
  <si>
    <t>R24344</t>
  </si>
  <si>
    <t>組立作業中にCN10を破損した。
SDI/SDO基板の位置出し冶具使用する前に発生した</t>
  </si>
  <si>
    <t>2024/11/21 部品出庫依頼
2024/12/23 部品交換完了し、組配へ</t>
  </si>
  <si>
    <t>E03557</t>
  </si>
  <si>
    <t>3QG0973027</t>
  </si>
  <si>
    <t>S14に縦線ノイズ発生</t>
  </si>
  <si>
    <t>2024/11/21 MFGセンターへ取外し依頼
2024/12/10修理完了
2025/7/4　検査完了
20250710　完了へ移動</t>
  </si>
  <si>
    <t>S14</t>
  </si>
  <si>
    <t>SDタイミングジッタが偶に0.18UI以上になる</t>
  </si>
  <si>
    <t>2024/11/20 ループフィルタ定数C378(47μF/6.3V)交換、松井さんへ
　作業台の振動が影響していた。</t>
  </si>
  <si>
    <t>出力映像が同期しない。垂直方向に流れる</t>
  </si>
  <si>
    <r>
      <rPr>
        <rFont val="Arial"/>
        <color theme="1"/>
      </rPr>
      <t xml:space="preserve">大阪にて確認中。
20250305　IC40 ロック検出がされない。部品交換で改善の見通し。佐倉へ返却。部品手配準備。
2025/3/6 部品出庫依頼
</t>
    </r>
    <r>
      <rPr>
        <rFont val="Arial"/>
        <color rgb="FFFF0000"/>
      </rPr>
      <t xml:space="preserve">20250325　部品未着、再確認。→ 部品入手しリワーク依頼中
</t>
    </r>
    <r>
      <rPr>
        <rFont val="Arial"/>
        <color theme="1"/>
      </rPr>
      <t xml:space="preserve">2025/5/16 リワーク実施後、改善せず
</t>
    </r>
    <r>
      <rPr>
        <rFont val="Arial"/>
        <color rgb="FFFF0000"/>
      </rPr>
      <t>20250519　開発で確認、指摘頂いた部品交換してNGの為、廃棄の方針</t>
    </r>
    <r>
      <rPr>
        <rFont val="Arial"/>
        <color theme="1"/>
      </rPr>
      <t xml:space="preserve">
20250922　54期末廃棄稟議通ったので完了へ移動。</t>
    </r>
  </si>
  <si>
    <t>IC40
X7</t>
  </si>
  <si>
    <t>3QA6Z5L1983QE
3QZ6C404H0270</t>
  </si>
  <si>
    <t>SW37点灯せず。未半田個所有り</t>
  </si>
  <si>
    <t>2024/11/20 MFGセンターへ
2024/12/4　MFGセンターより受取。門脇さんへ</t>
  </si>
  <si>
    <t>SW37</t>
  </si>
  <si>
    <t>microSDからの書込み中に停止する</t>
  </si>
  <si>
    <t>起動不良。
IC73 +3.3V出力が+1.2Vになっている</t>
  </si>
  <si>
    <t>2025/11/21 IC73出庫依頼・リワーク                                                                                2025/2/26 通電・起動確認→正常起動（電源10回入切） 組配へ引き渡し
2025/03/17 残2
20250630　完調整済み未入庫。
20250701　完了へ移動</t>
  </si>
  <si>
    <t>IC73</t>
  </si>
  <si>
    <t>3QJ0MPN12AD20(2HP2172402)</t>
  </si>
  <si>
    <t>25/7/1 R24185 不足基板
MU CPU *1</t>
  </si>
  <si>
    <t>R24745</t>
  </si>
  <si>
    <t>組立作業中にCN16を破損</t>
  </si>
  <si>
    <r>
      <rPr>
        <rFont val="Arial"/>
        <color theme="1"/>
        <sz val="10.0"/>
      </rPr>
      <t xml:space="preserve">2024/11/15 MFGセンターへ交換依頼
2024/11/29 MFGセンターより受取、2課へ
</t>
    </r>
    <r>
      <rPr>
        <rFont val="Arial"/>
        <color rgb="FFFF0000"/>
        <sz val="10.0"/>
      </rPr>
      <t xml:space="preserve">20250217　出荷済である事を確認。
</t>
    </r>
    <r>
      <rPr>
        <rFont val="Arial"/>
        <color theme="1"/>
        <sz val="10.0"/>
      </rPr>
      <t>20250314　完了へ移動</t>
    </r>
  </si>
  <si>
    <t>組立作業中にCN2を破損</t>
  </si>
  <si>
    <r>
      <rPr>
        <rFont val="Arial"/>
        <color theme="1"/>
        <sz val="10.0"/>
      </rPr>
      <t xml:space="preserve">2024/11/15 MFGセンターへ交換依頼
2024/11/29 MFGセンターより受取、2課へ
</t>
    </r>
    <r>
      <rPr>
        <rFont val="Arial"/>
        <color rgb="FFFF0000"/>
        <sz val="10.0"/>
      </rPr>
      <t xml:space="preserve">20250217　出荷済である事を確認。
</t>
    </r>
    <r>
      <rPr>
        <rFont val="Arial"/>
        <color theme="1"/>
        <sz val="10.0"/>
      </rPr>
      <t>20250314　完了へ移動</t>
    </r>
  </si>
  <si>
    <t>2024/11/15
(2024/9/3）</t>
  </si>
  <si>
    <t>R24460</t>
  </si>
  <si>
    <t>3G-SDI入力、B.B入力時にタイミングジッタ1.0を超える時がある。
ジッタ値にはバラつきがある。</t>
  </si>
  <si>
    <t>2025/1/16  入庫完了。
　ジッタ測定時の作業台がファンの振動により共振？するとタイミングジッタに影響する。
20250314　完了へ移動</t>
  </si>
  <si>
    <t>R24849</t>
  </si>
  <si>
    <t>MBP-1100VSに組込後、受信特性チェックエラー。
IO1(CN2)-OUT5のみ1mケーブル接続NG。(100mはOK)</t>
  </si>
  <si>
    <t>2024/12/11  FV開発での調査では問題無し。製造で使用している治具ケーブルの芯線が折れ曲がっているのを発見。ケーブルが原因の可能性有りの為、再度製品に引当てし問題なければOKと指示有り。
⇒2024/12/20 MBP-1100VS-P6S4へ組込み再調整し問題ない事を確認
20250115　完了へ移動。</t>
  </si>
  <si>
    <t>MBP-1100VSに組込後、受信特性チェックエラー。
IO2(CN3)-OUT6のみ1mケーブル接続NG。(100mはOK)</t>
  </si>
  <si>
    <t>2024/11/15 FV開発部(近藤さん)へ調査依頼のため、引渡。
2024/12/11  FV開発での調査では問題無し。製造で使用している治具ケーブルの芯線が折れ曲がっているのを発見。ケーブルが原因の可能性有りの為、再度製品に引当てし問題なければOKと指示有り。
⇒2024/12/20 MBP-1100VS-P6S4へ組込み再調整し問題ない事を確認
20250115　完了へ移動。</t>
  </si>
  <si>
    <t>LTC2977書込み後、出力電圧の低い個所がある。①2.5V⇒1.1V、②1.8V⇒0.9V</t>
  </si>
  <si>
    <t>2025/3/3 IC47部品出庫依頼 (部品入庫予定：4/10)
2025/5/23 リワーク依頼(6/20希望)
2025/6/10  DC/DC出力確認し調整へ→動作確認しF番引当て予定
20250718　完了へ移動</t>
  </si>
  <si>
    <t>－
⇒19080235へ
引当て</t>
  </si>
  <si>
    <t>FPS開発部へ貸出した機材で不良が発生
動作時にDDRエラーが発生。MAIN基板の交換で正常動作</t>
  </si>
  <si>
    <t>2024/11/14 後日、FPS開発部へ調査依頼の予定
2025/3/14   +1.2V_F2がGNDへショート C1591変色している
25/4/17 センターへC1591交換依頼
25/5/3  C1591交換→ショート改善　組配へ
25/5/29 調整にあり
2025/7/7　検査完了（入庫待ち）
20250710　完了へ移動</t>
  </si>
  <si>
    <t>C1591</t>
  </si>
  <si>
    <t>OU2＿BUS22</t>
  </si>
  <si>
    <t>SW180押下しても反応しない</t>
  </si>
  <si>
    <t>2024/11/13 SW Base1-2ピンに接点不良
 SW180交換し、2課へ</t>
  </si>
  <si>
    <t>SW180</t>
  </si>
  <si>
    <t>3QF6KASKM</t>
  </si>
  <si>
    <t>OLEDに印刷欠け有り</t>
  </si>
  <si>
    <t>2024/11/13 2課へ交換依頼
2025/0317 おそらく入庫済み
20250326　完了へ移動</t>
  </si>
  <si>
    <t>S24に縦線ノイズ</t>
  </si>
  <si>
    <t>2024/11/13 MFGセンターへ取外し依頼
2024/12/10修理完了（検査済です。)
2025/6/27　入庫完了。
20250630　完了へ移動</t>
  </si>
  <si>
    <t>R24174</t>
  </si>
  <si>
    <t>USF-1053DDA</t>
  </si>
  <si>
    <t>DDA_F_CARD</t>
  </si>
  <si>
    <t>シリアルナンバーの登録が出来ない。他の動作はすべてOK</t>
  </si>
  <si>
    <t>2024/11/12 MCU？
2025/3/28 IC701交換実施し調整へ
2025/3/31 シリアルナンバー登録可となり正常動作確認
20250808　完了へ移動</t>
  </si>
  <si>
    <t>E04066-3</t>
  </si>
  <si>
    <t>IC701</t>
  </si>
  <si>
    <t>3QAAPM9476-05</t>
  </si>
  <si>
    <t>R24165</t>
  </si>
  <si>
    <t>MFR-9SDO12GA</t>
  </si>
  <si>
    <t>OUT9 3G CB入力ショートケーブルでも横引きノイズ、CRCエラー、
 SD正常にに受信できない(波形モニターが認識できない。
 FA-9600でも受信できず)
 12G/HDはOK</t>
  </si>
  <si>
    <t>現象は基板についてくる。リクロッカー不良
2024/11/21:リワーク希望12/9でセンター便へ
2024/12/06リワーク品受け取り
2025/01/16 動作確認してOK
20250324　完了へ移動</t>
  </si>
  <si>
    <t>E04785</t>
  </si>
  <si>
    <t>IC38</t>
  </si>
  <si>
    <t>3QA6Z6M23145G</t>
  </si>
  <si>
    <t>SDI_IN</t>
  </si>
  <si>
    <t>IN12のSDI入力が表示されない。
 コンポジット正常、リレー正常</t>
  </si>
  <si>
    <t>2025/5/9 IC41の出力が異常？(入力信号の有無で変化しない) 　部品出庫依頼。
2025/5/15 リワーク依頼
2025/5/30 リワーク完了し、改善した。調整へ
20250703　完了へ移動</t>
  </si>
  <si>
    <t>IC41</t>
  </si>
  <si>
    <t>3QA6Z6G3440
( GS3440-INE3 )</t>
  </si>
  <si>
    <t>R24193</t>
  </si>
  <si>
    <t>IN1~8のアナログ入力にノイズ発生</t>
  </si>
  <si>
    <r>
      <rPr>
        <rFont val="Arial"/>
        <color theme="1"/>
        <sz val="10.0"/>
      </rPr>
      <t xml:space="preserve">2025/1/6 イニシャル中は+3.3V、完了すると+1.9Vになる。
　　　TW2867の起動を止めると電圧降下しない
2025/1/30 R2113,R2121の定数違い？現行パーツリストより200kΩ→0Ω変更で復帰
</t>
    </r>
    <r>
      <rPr>
        <rFont val="Arial"/>
        <color rgb="FFFF0000"/>
        <sz val="10.0"/>
      </rPr>
      <t xml:space="preserve">20250214　次の出荷(4月)に引当予定。
</t>
    </r>
    <r>
      <rPr>
        <rFont val="Arial"/>
        <color theme="1"/>
        <sz val="10.0"/>
      </rPr>
      <t>20250314　完了へ移動</t>
    </r>
  </si>
  <si>
    <t>R2113
R2121</t>
  </si>
  <si>
    <t xml:space="preserve">3QDX0CQG204
　　　↓
3QDX0CQA0R0
</t>
  </si>
  <si>
    <t>202504出荷予定</t>
  </si>
  <si>
    <t>IN4のSDI入力表示されない</t>
  </si>
  <si>
    <t>2024/12/18 RL4の動作不良
2024/12/19 RL4交換
20250731　完了へ移動</t>
  </si>
  <si>
    <t>起動不良。途中で停止？</t>
  </si>
  <si>
    <r>
      <rPr>
        <rFont val="Arial"/>
        <color theme="1"/>
        <sz val="10.0"/>
      </rPr>
      <t xml:space="preserve">2025/5/9 イニシャル画面表示したまま停止。WebよりVer表示する。
20250513　開発にて調査。
2025/5/16(中尾)
　基板を入力すると出力の映像が乱れる。
　MAIN_F1をマスターにしても映像乱れが発生しているので、FPGA間通信
　(CustomPHY)は関係ないということになる。
　この場合SDI基板が出力に影響を出せるのはLMH1983のみとなる筈。
　LMHがUNLOCK状態だと永遠に再ロックするシーケンスが繰り返されていると推測。
　この後の作業(開発作業)
　　①SDI基板上のLMH周辺を見てみて変なポイントが無いかを確認する。
　　⇒LMHのHinに信号がいなかった。
　　　IC69の出力でいない。正常基板は波形いるので、CN9－IC69間が怪しい　
　IC69の入力にHp/nはいるか？⇒半田面だったので触れない。
　CN9の2.3ピンには信号は来ていました。IC69が怪しくなるので、
　IC69への電源(3端子コンデンサL126：半田面)は大丈夫か？等が気になる。
5/22夕方に製造へ渡しました。
2025/5/30 基板半田面を確認したところ、IC69が外れていた(パターン損傷)
</t>
    </r>
    <r>
      <rPr>
        <rFont val="Arial"/>
        <color rgb="FFFF0000"/>
        <sz val="10.0"/>
      </rPr>
      <t xml:space="preserve">20250611　改造対応で良いかQMと相談予定。
</t>
    </r>
    <r>
      <rPr>
        <rFont val="Arial"/>
        <color theme="1"/>
        <sz val="10.0"/>
      </rPr>
      <t>2025/6/12 IC69取付完了し動作確認、調整へ
20250703　完了へ移動</t>
    </r>
  </si>
  <si>
    <t>3QA490LV012A
( DS90LV012ATMF/NOPB )</t>
  </si>
  <si>
    <t>R24746</t>
  </si>
  <si>
    <t>CN4のBNCホット側が凹んでいる。
 発生したのは冶具作成前</t>
  </si>
  <si>
    <t>2024/11/11 MFGセンターへ交換依頼
2024/11/29 MFGセンターより受取、2課へ
2025/5/22 組配完了
2025/6/25　　NO.19531498か1499のどちらかに引当てされていた。入庫完了。
20250626　完了へ移動</t>
  </si>
  <si>
    <t>R24593</t>
  </si>
  <si>
    <t>GUI上でMGTAVTT(IC72)出力NGと出る。
 IC72出力側のコンデンサに半田屑が落ちていてGNDとショートしている。</t>
  </si>
  <si>
    <t>2024/11/7 品質保証本部、QMに状況確認いただく。
 MFGセンターへ返却
2024/11/15 MFGセンターより戻り(半田除去)。2課へ
2024/11/20 通電してエラーが出ないことを確認
2024/11/26 3G検査は問題なく通過
20250123　完了へ移動</t>
  </si>
  <si>
    <t xml:space="preserve">R24193
</t>
  </si>
  <si>
    <t>2024/11/5 IC26(+3.3V_TW12)の出力が1.9V？
2025/1/6 イニシャル中は+3.3V、完了すると+1.9Vになる。
　　TW2867の起動を止めると電圧降下しない
2025/1/27 リワーク戻り　⇒ 改善せず
2025/1/30 R2113,R2121の定数違い？現行パーツリストより200kΩ→0Ω変更で復帰
20250214　組配待。
20250526　組配待。
20250718　完了へ移動</t>
  </si>
  <si>
    <t>IC27交換
IC26リワーク</t>
  </si>
  <si>
    <t>R24254</t>
  </si>
  <si>
    <t>RS開発部の作業卓でセットアップ中にPower表示がエラーとなった。
 PS1のみ接続時にLEDが赤色</t>
  </si>
  <si>
    <t>2024/11/5 PS1/PS2の各DET/ALM信号は正常に出力している。組み直したら正常動作になった。コネクタの接触不良か？コネクタ洗浄して2課へ。現品は基板交換して引渡の予定
2025/3/10　R24813の基板と交換して2024/11/6にNO.13780643として処理済です｡
20250401　完了へ移動</t>
  </si>
  <si>
    <t>出荷のS/Nライセンスの都合上、R24417に引き当て出荷済</t>
  </si>
  <si>
    <t xml:space="preserve">
20250808　完了へ移動</t>
  </si>
  <si>
    <t>2024.09/24</t>
  </si>
  <si>
    <t>R24073</t>
  </si>
  <si>
    <t>2025.04/23 IC7リワーク部品手配
2025.07/25 リワーク戻り。
2025.08/04 正常起動を確認・未完調整
2025.08/28 USF-10IPSDI12-FS-Nとして調整（S/N:19170505）
2025.10/02 USF-10IPSDI12-FS-NCとして出荷（S/N:19170505）
20251015　完了へ移動</t>
  </si>
  <si>
    <t>2025.10/02</t>
  </si>
  <si>
    <t>2025.04/23 IC7リワーク部品手配
2025.07/25 リワーク戻り。
2025.08/04 正常起動を確認・未完調整
2025.08/28 USF-10IPSDI12-FS-Nとして調整（S/N:19170504）
2025.10/02 USF-10IPSDI12-FS-Nとして出荷（S/N:19170504）
20251015　完了へ移動</t>
  </si>
  <si>
    <t>R24065</t>
  </si>
  <si>
    <t>HVS-2120ROU</t>
  </si>
  <si>
    <t>CN4noOLEDが点灯しない</t>
  </si>
  <si>
    <t>2024/10/30 C64,C65欠品、C65のパットが半田ショート
 半田修正し、2課へ</t>
  </si>
  <si>
    <t>MFR-16SDOA</t>
  </si>
  <si>
    <t>８SDO</t>
  </si>
  <si>
    <t>3G出力エラー。1.5Gは正常</t>
  </si>
  <si>
    <t>2024/11/1 原因はMTX基板と判明したため、2課へ返却</t>
  </si>
  <si>
    <t>ー⇒19080165</t>
  </si>
  <si>
    <t>VerUPに失敗する</t>
  </si>
  <si>
    <t>2025/3/17 J_TAGできないMAX10か？ +1.8V_F1が0.9V出力 IC53 8PINより0.9V
2025/3/18 IC53 出庫依頼中
25/3/21 部品入手 センターへ交換依頼(4/1納期)
25/4/15 交換品受領　確認の為、組込み依頼中
2025/6/11 　MAIN　VERUPできない
25/6/12 R597(0.85V)出力無し→交換 　R229,R1も交換（特性悪い？）改善せず。
25/6/13 エラーメッセージ（最初のデバイスへのTDIがVCCへショート若しくはOPEN
             TCKとTMS接続の問題) との事→IC3(MAX10）手配
25/7/5 部品入手
25/7/8 リワーク依頼(8/22納期)
25/7/24 リワーク上がり→改善 組配へ引渡し（7/25）
2020/8/1　組配完了　調整グループで受け取りました。（検査待ち）
2025/8/7　検査完了　入庫完了
20250808　完了へ移動</t>
  </si>
  <si>
    <t>IC53
IC3</t>
  </si>
  <si>
    <t>3QA5PCA9306</t>
  </si>
  <si>
    <t>R24581</t>
  </si>
  <si>
    <t>ADA-205B</t>
  </si>
  <si>
    <t>AUDIO</t>
  </si>
  <si>
    <t>XA2出力確認時に1KHz+0dB入力し、出力が-16dBになる。通常は-13dB程度。
 VRで調整しても-8dB±0.5dBにならず-9dBとなる</t>
  </si>
  <si>
    <t>2025/1/9 半田面のパターンカット処置もれ。MFGセンターへ返却
2025/1/24　MFGセンターより受取。調整卓へ
2025/3/11    動作確認してOK
20250324　完了へ移動</t>
  </si>
  <si>
    <t>E04278</t>
  </si>
  <si>
    <t>S11004</t>
  </si>
  <si>
    <t>R24600</t>
  </si>
  <si>
    <t>SRC42,SRC45フルMTXチェックでエラーが出る。
 エラーの出ていない入力基板、出力基板共に入れ替えても現象変わらず。MTXユニット入替で改善</t>
  </si>
  <si>
    <r>
      <rPr>
        <rFont val="Arial"/>
        <color theme="1"/>
        <sz val="10.0"/>
      </rPr>
      <t xml:space="preserve">項番910,1005と同様の現象
 QM/開発へ連絡済み。開発見解：実装不良の疑い
 QMよりリワークするかどうかの判断待ち。
 R24600実装時は3~4回程熱を加えたとのこと。同ロットで1枚実装後に基板たてに立てかけた結果、IC2が浮いた不良有
 (項番1221)
24/11/26 X線検査の見積もり待ち(キクナ電子)
24/12/18 X線の結果、良品との差異が見受けられず。IC2出庫依頼
24/12/23 IC2リワーク依頼(希望納期25/1/20)
25/1/17 リワーク品受け取り。機材ない為2月以降に動作確認予定。
25/2/6 動作確認してOK。他不良についてQM確認中⇒交換を進めるよう指示有
</t>
    </r>
    <r>
      <rPr>
        <rFont val="Arial"/>
        <color rgb="FFFF0000"/>
        <sz val="10.0"/>
      </rPr>
      <t>250610 MFR-6100 S/No.18590053 MTX1として使用</t>
    </r>
    <r>
      <rPr>
        <rFont val="Arial"/>
        <color theme="1"/>
        <sz val="10.0"/>
      </rPr>
      <t xml:space="preserve">
20250718　完了へ移動</t>
    </r>
  </si>
  <si>
    <t>QM管理検査中</t>
  </si>
  <si>
    <t>起動しない。
 IC118(+3.8V)、IC49(+3V)、IC50(+1.8V)、IC51(+1.8V)出力異常</t>
  </si>
  <si>
    <t>2024/10/29 開発へ調査依頼し、電源異常の報告
2025/2/21 出庫依頼 (IC118)
2025/3/4 IC118 リワーク依頼 (希望納期:3/28)
2025/3/21 リワーク作業依頼品、受取
2025/3/24 通電し各電源の出力を確認。組配へ。 ⇒ 実装不良か？
20250930　完了へ移動</t>
  </si>
  <si>
    <t>IC118</t>
  </si>
  <si>
    <t>3QJ0MUN12AD03</t>
  </si>
  <si>
    <t>R24459</t>
  </si>
  <si>
    <t>FA-96ANA-AUD</t>
  </si>
  <si>
    <t>AUD</t>
  </si>
  <si>
    <t>スロットB組込し、認識されない。
 起動していない？LED点灯せず</t>
  </si>
  <si>
    <r>
      <rPr>
        <rFont val="Arial"/>
        <color theme="1"/>
      </rPr>
      <t>2024/10/29 IC5,IC8,IC10に半田くず。+15VがGNDへ短絡
 MFGセンターへ修正依頼
2024/11/15 MFGセンターより受取
2024/11/18 正常に通電せず 
2025/3/10 IC24 5V出力せず。部品出庫依頼中</t>
    </r>
    <r>
      <rPr>
        <rFont val="Arial"/>
        <color rgb="FFFF0000"/>
      </rPr>
      <t xml:space="preserve">
2025/3/12 IC24リワーク依頼（4/14納期）
</t>
    </r>
    <r>
      <rPr>
        <rFont val="Arial"/>
        <color theme="1"/>
      </rPr>
      <t>25/3/28　通電確認→電源ショートは改善したが、電源出力せず
25/4/2 R206取り外し +5.3V出力IC側問題ない事を確認。
25/4/3 R227取り外し 正常起動　IC28周辺か?
25/4/22 IC28,Q4手配
25/4/24 Q3,Q4交換→改善せず　IC28リワーク予定
25/4/25 IC28リワーク依頼(5/26希望)
25/5/16 IC28リワーク後、通電→改善せず　2回リワークの為、廃棄
25/5/19 R250　取り外すと起動　+15V系・IC30NGか？
2025/9/22　廃棄処理
20250922　54期末廃棄稟議通ったので完了へ移動。</t>
    </r>
  </si>
  <si>
    <t>E04760-1</t>
  </si>
  <si>
    <t>IC24
IC28</t>
  </si>
  <si>
    <t>2024/10/28 C135交換し、3課へ。改善した
20250115　完了へ移動。</t>
  </si>
  <si>
    <t>AES7/8入力のエンベデッド出力なし</t>
  </si>
  <si>
    <t>2025/1/28 リレー接点確認OK
2025/2/25 リレーからIC249付近、パターン導通確認OK  通電確認→症状再現せず
2025/2/26  ｺｰﾙﾄﾞｽﾀｰﾄ実施→正常動作　ヒートラン後、調整ラインへ
20250324　完了へ移動</t>
  </si>
  <si>
    <t>Genlock動作不良
 ロックステータス表示もしない</t>
  </si>
  <si>
    <t>2024/12/16 IC82(SyncSep EL4511) 出力無し。
FPGA出力SYNC_RESETのレベルが0.5V程度のため、EL4511が起動しない
20250206　既に入庫済。(基板入れ替え？）</t>
  </si>
  <si>
    <t>入庫済み</t>
  </si>
  <si>
    <t>R24595</t>
  </si>
  <si>
    <t>31CPUとMAINが通信しない。
 一定時間経過するとチェンジオーバーする。
 31CPUがアクティブ時：MAINのCPU情報が読み取れない。
 MAINがアクティブ時：31CPUの情報が読み取れない。</t>
  </si>
  <si>
    <r>
      <rPr>
        <rFont val="Arial"/>
        <color theme="1"/>
      </rPr>
      <t xml:space="preserve">884の不良と同じ現象と思われる
 現象はCPU基板につい来る
 開発部への調査依頼か？
RN27交換⇒現象変わらず、RA25抵抗値正常
2025/2/28 IC35出庫依頼
2025/3/3 4/3希望でIC35リワーク依頼
20250317　交換したが改善せず。IC8 CPU(AM5728)の疑いで再調査中。
20253/24 4/28希望でIC8リワーク依頼
</t>
    </r>
    <r>
      <rPr>
        <rFont val="Arial"/>
        <color rgb="FFFF0000"/>
      </rPr>
      <t>20250407　リワーク後、動作NG.BGA2か所リワークした為、廃棄の方針。</t>
    </r>
    <r>
      <rPr>
        <rFont val="Arial"/>
        <color theme="1"/>
      </rPr>
      <t xml:space="preserve">
20250922　54期末廃棄稟議通ったので完了へ移動。</t>
    </r>
  </si>
  <si>
    <t>E04436</t>
  </si>
  <si>
    <t>IC8
IC35</t>
  </si>
  <si>
    <t>3QA8CAM5728
3QA7Z6VLX130T</t>
  </si>
  <si>
    <t>R24408</t>
  </si>
  <si>
    <t>MBP-3CXA</t>
  </si>
  <si>
    <t>XAVC</t>
  </si>
  <si>
    <t>MBP-1000VS-12G-S9組込時に、3G,12G出力の映像が乱れる</t>
  </si>
  <si>
    <t>2024/10/24 S/N.17820193は開発部の基板を流用し入庫済
20250403　完了へ移動</t>
  </si>
  <si>
    <t>R24465</t>
  </si>
  <si>
    <t>S29に縦線ノイズ発生</t>
  </si>
  <si>
    <t>2024/10/24 MFGセンターへ取外し依頼
 2024/11/8 MFGセンター戻り、3課へ
2024/12/17修理完了して入庫済です。
20250324　完了へ移動</t>
  </si>
  <si>
    <t>S29</t>
  </si>
  <si>
    <t>-→13780710へ</t>
  </si>
  <si>
    <t>DCジャックのCN15がアダプター接続時にGNDにショートする。
 CN15-2ピンの半田上がりすぎ</t>
  </si>
  <si>
    <t>2024/10/22 板金に取り付けると発生する。
 石川さん経由でMFGセンターへ？
 2024/11/8 MFGセンター戻り
2025/3/10修理完了して入庫済です｡
20250324　完了へ移動</t>
  </si>
  <si>
    <t>No.26のBUSボタンオレンジ点灯せず。R73が無い、SW16(手付け)実装時に外したか？</t>
  </si>
  <si>
    <t>2024/10/21 R73実装し、3課へ</t>
  </si>
  <si>
    <t>R87</t>
  </si>
  <si>
    <t>No.15のBUSボタンオレンジ点灯せず。R87が無い、SW25(手付け)実装時に外したか？</t>
  </si>
  <si>
    <t>2024/10/21 R87実装し、3課へ</t>
  </si>
  <si>
    <t>R24781</t>
  </si>
  <si>
    <t>1ch~6ch出力せず</t>
  </si>
  <si>
    <t>2024/10/21 IC1-3pinがGNDへ短絡している
 リワーク費用9k\のため、廃棄検討
20250401　完了へ移動。</t>
  </si>
  <si>
    <t>R24292</t>
  </si>
  <si>
    <t>HVS-1200</t>
  </si>
  <si>
    <t>M/E1Confせず、M/E2は正常。
 CPU、MAIN交換しても改善せず</t>
  </si>
  <si>
    <t>2024/10/21 コネクタの未半田個所あり。センターへ修正依頼
 CN9,CN11,CN12,CN13
 2024/11/6 MFGセンターより戻り、2課へ
2024/12/11 動作確認してOK、サービスメンテ機へ
20250324　完了へ移動</t>
  </si>
  <si>
    <t>IN12のSDI入力が表示されない</t>
  </si>
  <si>
    <t>2024/10/21 RL12の導通不良。
 2024/10/21 RL12交換し、八木さんへ</t>
  </si>
  <si>
    <t>OUT7出力せず</t>
  </si>
  <si>
    <r>
      <rPr>
        <rFont val="Arial"/>
        <color theme="1"/>
        <sz val="10.0"/>
      </rPr>
      <t xml:space="preserve">2024/12/24 CN1⇔C33間、IC3⇔C33間、C29.C31⇔CN5導通有り IC3出庫依頼
2024/12/25 希望納期25/01/31でIC3リワーク依頼
</t>
    </r>
    <r>
      <rPr>
        <rFont val="Arial"/>
        <color theme="1"/>
        <sz val="10.0"/>
      </rPr>
      <t>2025/1/17 リワーク品受け取り、動作確認してOK</t>
    </r>
  </si>
  <si>
    <t>3QA6Z6M31285G</t>
  </si>
  <si>
    <t>S23に縦線ノイズ</t>
  </si>
  <si>
    <t>2024/10/11 MFGセンターへ取外し依頼
 2024/10/21 MFGセンター戻り、3課 門脇さんへ
20250324　完了へ移動</t>
  </si>
  <si>
    <t>S23</t>
  </si>
  <si>
    <t>S39に縦線ノイズ</t>
  </si>
  <si>
    <t>S39</t>
  </si>
  <si>
    <t>2024/10/8 MFGセンターへ取外し依頼
 2024/10/21 MFGセンター戻り、3課 門脇さんへ
20250324　完了へ移動</t>
  </si>
  <si>
    <t>S21,24に縦線ノイズ</t>
  </si>
  <si>
    <t>2024/10/8 MFGセンターへ取外し依頼
2024/10/21 MFGセンター戻り、3課 門脇さんへ</t>
  </si>
  <si>
    <t>S21,24</t>
  </si>
  <si>
    <t>IN17のSDIが表示されない。
 RL17にSDI側の導通無し？</t>
  </si>
  <si>
    <t>2024/10/7 RL17交換、3課へ
20250123　完了へ移動</t>
  </si>
  <si>
    <r>
      <rPr>
        <rFont val="Arial"/>
        <color theme="1"/>
        <sz val="10.0"/>
      </rPr>
      <t xml:space="preserve">R23935
 ロット完了
</t>
    </r>
    <r>
      <rPr>
        <rFont val="Arial"/>
        <color rgb="FFFF0000"/>
        <sz val="10.0"/>
      </rPr>
      <t>→作番不定</t>
    </r>
  </si>
  <si>
    <t>HVS-2240OU</t>
  </si>
  <si>
    <t>ディスプレイ表示が白になる。
 BIOSを更新しても改善しない。
 V1.90Ｗ → V1.92H</t>
  </si>
  <si>
    <r>
      <rPr>
        <rFont val="Arial"/>
        <color theme="1"/>
        <sz val="10.0"/>
      </rPr>
      <t xml:space="preserve">購入品、保証期間超過
20250306　この機材は作番不定の為、期末の廃棄時は、稟議に含めず廃棄する事。
</t>
    </r>
    <r>
      <rPr>
        <rFont val="Arial"/>
        <color rgb="FFFF0000"/>
        <sz val="10.0"/>
      </rPr>
      <t>20250311　SBCは部品扱いなので、項目から削除。</t>
    </r>
  </si>
  <si>
    <t>△
作番不定</t>
  </si>
  <si>
    <t>R24194</t>
  </si>
  <si>
    <t>MV-1200</t>
  </si>
  <si>
    <t>IN１のコンポジット入力が表示されない。</t>
  </si>
  <si>
    <t>2024/10/2 L9が破損している。部品出庫依頼。
 (MFGセンタ → 2課)製造過程で破損？
20250123　完了へ移動</t>
  </si>
  <si>
    <t>E04994</t>
  </si>
  <si>
    <t>L9</t>
  </si>
  <si>
    <t>3QELBMF16T10K</t>
  </si>
  <si>
    <t>R24408
仕掛残2</t>
  </si>
  <si>
    <t>MBP-1000VS-12G-S9組込時に、3G出力(OUT4,8,12)の映像が乱れる</t>
  </si>
  <si>
    <r>
      <rPr>
        <rFont val="Roboto"/>
        <color rgb="FF434343"/>
      </rPr>
      <t xml:space="preserve">2024/9/27 FV開発部の指示待ち(未引継ぎ)
2025/6/23 まずはVCXO交換して改善しなかったらFPGA交換とFVよりアドバイスあったが、費用等含め修理するか廃棄するかは製造に任せるとのこと
</t>
    </r>
    <r>
      <rPr>
        <rFont val="Roboto"/>
        <b/>
        <color rgb="FFEA4335"/>
      </rPr>
      <t>2025/10/24 佐倉サービスへ引き渡し(稟議購入予定)
2025/12/17 EzV用であれば使用可と連絡有り(FV粕加屋さんより)→稟議(No.39829)分として入庫し、サービス根本さんに引渡し</t>
    </r>
    <r>
      <rPr>
        <rFont val="Roboto"/>
        <color rgb="FF434343"/>
      </rPr>
      <t xml:space="preserve">
20251224　完了へ移動</t>
    </r>
  </si>
  <si>
    <t>MBP-1000VS-12G-S9組込時に、3G出力(OUT1)の映像が乱れる</t>
  </si>
  <si>
    <r>
      <rPr>
        <rFont val="Roboto"/>
        <color rgb="FF434343"/>
      </rPr>
      <t xml:space="preserve">2024/9/27 FV開発部の指示待ち(未引継ぎ)
2025/6/23 まずはVCXO交換して改善しなかったらFPGA交換とFVよりアドバイスあったが、費用等含め修理するか廃棄するかは製造に任せるとのこと
</t>
    </r>
    <r>
      <rPr>
        <rFont val="Roboto"/>
        <b/>
        <color rgb="FFEA4335"/>
      </rPr>
      <t>2025/10/24 佐倉サービスへ引き渡し(稟議購入予定)
2025/12/17 EzV用であれば使用可と連絡有り(FV粕加屋さんより)→稟議(No.39829)分として入庫し、サービス根本さんに引渡し</t>
    </r>
    <r>
      <rPr>
        <rFont val="Roboto"/>
        <color rgb="FF434343"/>
      </rPr>
      <t xml:space="preserve">
20251224　完了へ移動</t>
    </r>
  </si>
  <si>
    <t>R21557</t>
  </si>
  <si>
    <t>MFR-8SDIGB</t>
  </si>
  <si>
    <t>8SDIGB_CARD</t>
  </si>
  <si>
    <t>12G対応のCH(1D,2D)ｹｰﾌﾞﾙ長、信号関係なく映像通過しない。12G→2SI,2SI→SQD,Bypass全てNG。
 開発貸出時に不良判定履歴有り。</t>
  </si>
  <si>
    <r>
      <rPr>
        <rFont val="Arial"/>
        <color theme="1"/>
        <sz val="10.0"/>
      </rPr>
      <t>2024/9/24 RS開発部へ返却(調査依頼)予定。
2024/11/26 現在不良棚に存在。未返却
2025/1/6 C589破損、交換
2025/4/22 動作確認の為、再組配依頼</t>
    </r>
    <r>
      <rPr>
        <rFont val="Arial"/>
        <color rgb="FFFF0000"/>
        <sz val="10.0"/>
      </rPr>
      <t xml:space="preserve">
</t>
    </r>
    <r>
      <rPr>
        <rFont val="Arial"/>
        <color theme="1"/>
        <sz val="10.0"/>
      </rPr>
      <t>2025/4/30 5/30希望でIC37,IC38交換依頼</t>
    </r>
    <r>
      <rPr>
        <rFont val="Arial"/>
        <color rgb="FFFF0000"/>
        <sz val="10.0"/>
      </rPr>
      <t xml:space="preserve">
</t>
    </r>
    <r>
      <rPr>
        <rFont val="Arial"/>
        <color theme="1"/>
        <sz val="10.0"/>
      </rPr>
      <t>2025/5/26 交換品受け取り、動作確認は6末予定</t>
    </r>
    <r>
      <rPr>
        <rFont val="Arial"/>
        <color rgb="FFFF0000"/>
        <sz val="10.0"/>
      </rPr>
      <t xml:space="preserve">
2025/6/9 動作確認してOK 出荷予定未定(MFR-8SDIGB or 8SDIFSどちらか早い方)
</t>
    </r>
    <r>
      <rPr>
        <rFont val="Arial"/>
        <color theme="1"/>
        <sz val="10.0"/>
      </rPr>
      <t>2025/8/5 MFR-8SDIFSに引き当て
20250903　完了へ移動</t>
    </r>
  </si>
  <si>
    <t>E04422</t>
  </si>
  <si>
    <t>C589
IC37,IC38</t>
  </si>
  <si>
    <t>3QA6Z6G12141</t>
  </si>
  <si>
    <t>R24576</t>
  </si>
  <si>
    <t>SDI＿INPUT</t>
  </si>
  <si>
    <t>組立中の基板挿抜にてCN15のコネクタ損傷。(BNCのホット側が凹んだ</t>
  </si>
  <si>
    <t>2024/9/24 BNC手配中
 2024/10/3 MFGセンターへ交換依頼
 2024/10/21 MFGセンターより戻り、2課へ
20250213　完了へ移動</t>
  </si>
  <si>
    <r>
      <rPr>
        <rFont val="Arial"/>
        <color theme="1"/>
        <sz val="10.0"/>
      </rPr>
      <t xml:space="preserve">R24402
</t>
    </r>
    <r>
      <rPr>
        <rFont val="Arial"/>
        <color rgb="FFFF0000"/>
        <sz val="10.0"/>
      </rPr>
      <t>作番完了</t>
    </r>
  </si>
  <si>
    <t>GPI１~GPI３の動作異常。IC101を叩くとLEDが点滅する。</t>
  </si>
  <si>
    <t>2024/9/20 IC101リワーク？
2024/12/3 希望12/5でセンター便へ
2024/12/6 動作確認してOK 12/9出荷に引当て
20250123　完了へ移動</t>
  </si>
  <si>
    <t>E04101</t>
  </si>
  <si>
    <t>MBP-33WS組込時に12G-SDI出力せず。HD-SDIは正常。</t>
  </si>
  <si>
    <t>2024/9/20 C30がパットごと外れている。12G-SDIパターン損傷の為、廃棄希望
20250401　完了へ移動。</t>
  </si>
  <si>
    <t>2024/9/20 開発アドバイス、IC2交換？
 2024/10/28 12G-SDI出力を使用しない製品に組込とする
 FV開発部に相談済
20250115　完了へ移動。</t>
  </si>
  <si>
    <t>受信特性検査NG
 1mケーブルで発生、100mは正常受信する。(IO2:CN3）</t>
  </si>
  <si>
    <t>2024/9/19 FV開発部へ報告済
2024/12/11  FV開発での調査では問題無し。製造で使用している治具ケーブルの芯線が折れ曲がっているのを発見。ケーブルが原因の可能性有りの為、再度製品に引当てし問題なければOKと指示有り。
⇒2025/3/17 MBP-210VSへ組込み再調整し問題ない事を確認
20250522　完了へ移動</t>
  </si>
  <si>
    <t>MFR-8SDODL
 (MFR-8SDOGB）</t>
  </si>
  <si>
    <t>SLOT4実装時OUT3 3Gフォーマットで画がパシャつく
 SLOT2実装時OUT8常にエラーが発生。
 3Gの信号の種類、ケーブル長関係なく発生
 本体シリアル：19190117</t>
  </si>
  <si>
    <r>
      <rPr>
        <rFont val="Arial"/>
        <color theme="1"/>
        <sz val="10.0"/>
      </rPr>
      <t xml:space="preserve">24/11/13 サービスメンテ機に引き当て予定
2411/26 本体19190134では現象発生せず。単体チェック完了させて保留へ
</t>
    </r>
    <r>
      <rPr>
        <rFont val="Arial"/>
        <strike/>
        <color theme="1"/>
        <sz val="10.0"/>
      </rPr>
      <t xml:space="preserve">(24/12/24出荷サービスメンテ機の構成修正され次第引き当て予定)
</t>
    </r>
    <r>
      <rPr>
        <rFont val="Arial"/>
        <color theme="1"/>
        <sz val="10.0"/>
      </rPr>
      <t>⇒組んだ状態で生産型名入庫(サービス沖田さんに確認済み)
20250324　完了へ移動</t>
    </r>
  </si>
  <si>
    <t>OUT2~OUT5 3Gフォーマットで画がパシャつく
 OUT1,OUT6~8は正常
 HD-SDIはOK、3Gの信号の種類、ケーブル長関係なく発生
 GUI上で該当CHのDELAYの数値が一瞬消える</t>
  </si>
  <si>
    <t>SLOT4で現象発生、
 SLOT2では現象発生せず</t>
  </si>
  <si>
    <t>R24635</t>
  </si>
  <si>
    <t>HD-SDIのタイミングジッタが0.5UI以上</t>
  </si>
  <si>
    <t>2024/9/17 C147交換、3課へ
 2024/9/24 HD-SDIのジッタ値は低下。12G-SDI検査待ち→改善した</t>
  </si>
  <si>
    <t>R24704</t>
  </si>
  <si>
    <t>HVS-AUX32A</t>
  </si>
  <si>
    <t>+3.3VがGNDに短絡している</t>
  </si>
  <si>
    <t>2024/9/13 C5が実装されおらず、パットが半田ショート状態。MFGセンターへ修理依頼
 2024/10/11 受取し、3課へ</t>
  </si>
  <si>
    <t>E04002D</t>
  </si>
  <si>
    <t>C5</t>
  </si>
  <si>
    <t>3QCX8B1C104</t>
  </si>
  <si>
    <t>組立中の基板挿抜にてCN10のコネクタ損傷。(BNCのホット側が凹んだ</t>
  </si>
  <si>
    <t>2024/9/12 BNC手配
 2024/10/3 MFGセンターへ交換依頼
 2024/10/21 MFGセンターより戻り、2課へ
20250213　完了へ移動</t>
  </si>
  <si>
    <t>組立中の基板挿抜にてCN3のコネクタ損傷。(BNCのホット側が凹んだ</t>
  </si>
  <si>
    <t>1HU R3GSDI</t>
  </si>
  <si>
    <t>外部Ref時、映像がロックしない。
 Ref Lockは点灯する。</t>
  </si>
  <si>
    <t>2024/10/11 大阪へ調査依頼
 2024/10/18 コネクタにフラックス付着？洗浄で復帰
 2024/10/23 大阪よる返却、2課へ
20250123　完了へ移動</t>
  </si>
  <si>
    <t>R24301
作番完了</t>
  </si>
  <si>
    <t>OSインストール後、アカウント設定画面でﾌﾞﾙｰｽｸﾘｰﾝになる。メモリ、SSDの挿抜を試みたが改善せず</t>
  </si>
  <si>
    <t>購入品、保証期間超過
20250307　SBCは部品扱いの為、項目削除。
20250327　完了へ移動</t>
  </si>
  <si>
    <t>R24299
作番完了</t>
  </si>
  <si>
    <t>SW1 緑点灯しない</t>
  </si>
  <si>
    <t>2024/10/15 LED破損、交換し3課へ</t>
  </si>
  <si>
    <t>SW30 緑、SW31 赤、緑、SW33 赤、緑が点灯しない</t>
  </si>
  <si>
    <t>2024/10/11 LED91破損(SW33)、LED79点灯不良(SW31)
 SW30はCN1の接触不良？挿抜で復帰した。3課へ
 2024/10/11 SW30 緑点灯せず</t>
  </si>
  <si>
    <t>LED79,LED91,LED95</t>
  </si>
  <si>
    <t>3QB3SML511U
 3QB3SML512M</t>
  </si>
  <si>
    <r>
      <rPr>
        <rFont val="Arial"/>
        <color theme="1"/>
        <sz val="10.0"/>
      </rPr>
      <t xml:space="preserve">R24541
</t>
    </r>
    <r>
      <rPr>
        <rFont val="Arial"/>
        <color theme="1"/>
        <sz val="10.0"/>
      </rPr>
      <t>作番完了</t>
    </r>
  </si>
  <si>
    <t>IN1のAnalog入力信号が出力されない。RL1の励磁電圧が無い</t>
  </si>
  <si>
    <t>2024/9/2 D2,R21が破損している。
  部品出庫依頼
2024/12/9 D2,R21実装し動作確認完了。2課へ</t>
  </si>
  <si>
    <t>D2
 R21</t>
  </si>
  <si>
    <t>3QB2RB530CM30
 3QDX0CQB4R7</t>
  </si>
  <si>
    <t>R24648</t>
  </si>
  <si>
    <t>HVS-2000ME</t>
  </si>
  <si>
    <t>M/E</t>
  </si>
  <si>
    <t>16780086
→16780088</t>
  </si>
  <si>
    <t>DSK1 DVE ONで映像出力無し</t>
  </si>
  <si>
    <r>
      <rPr>
        <rFont val="Arial"/>
        <color theme="1"/>
      </rPr>
      <t>25/2/17 IC26入手リワーク実施待ち
20250220　03/14希望でリワーク出し。</t>
    </r>
    <r>
      <rPr>
        <rFont val="Arial"/>
        <color rgb="FFFF0000"/>
      </rPr>
      <t xml:space="preserve">
2025/3/18 リワーク上がり、症状改善せず。DDR3交換か？
</t>
    </r>
    <r>
      <rPr>
        <rFont val="Arial"/>
        <color theme="1"/>
      </rPr>
      <t>2025/3/18 大場さんより切り分けアドバイスにより、IC28とIC29交換検討(欠品中)
25/3/24 IC28,29 出庫依頼
25/4/2 IC28,29リワーク依頼
25/4/21 リワーク上がり→改善せず 2回目のリワークの為、廃棄へ
25/5/26  シリアルナンバー変更
257/30　現品は3課で保管している
20250922　54期末廃棄稟議通ったので完了へ移動。</t>
    </r>
  </si>
  <si>
    <t>OPT M/E</t>
  </si>
  <si>
    <t>IC26
IC28,IC29</t>
  </si>
  <si>
    <t>3QA7Z7V4852
3QA7D41K128</t>
  </si>
  <si>
    <t>×
×</t>
  </si>
  <si>
    <t>不良進捗表発行履歴無し、後付け前確認の不良？
20250327　完了へ移動</t>
  </si>
  <si>
    <t>半田DIP後、RL5,RL12リレー不良</t>
  </si>
  <si>
    <r>
      <rPr>
        <rFont val="Arial"/>
        <strike/>
        <color theme="1"/>
        <sz val="10.0"/>
      </rPr>
      <t>2024/12/12 ㊲ リレー交換</t>
    </r>
    <r>
      <rPr>
        <rFont val="Arial"/>
        <color theme="1"/>
        <sz val="10.0"/>
      </rPr>
      <t xml:space="preserve">
後付け前確認の不良？ 8/29に発行した履歴無し
⇒25/3/7現在のセンターから納入された基板残0につき、実装後の不良ではない？
　</t>
    </r>
    <r>
      <rPr>
        <rFont val="Arial"/>
        <strike/>
        <color theme="1"/>
        <sz val="10.0"/>
      </rPr>
      <t>センターより基板全数納品され次第完了へ</t>
    </r>
    <r>
      <rPr>
        <rFont val="Arial"/>
        <color theme="1"/>
        <sz val="10.0"/>
      </rPr>
      <t xml:space="preserve">
</t>
    </r>
    <r>
      <rPr>
        <rFont val="Arial"/>
        <color rgb="FFFF0000"/>
        <sz val="10.0"/>
      </rPr>
      <t>250616 BNC後付け前の履歴の為、完了へ移動</t>
    </r>
  </si>
  <si>
    <t xml:space="preserve">RL5,RL12 </t>
  </si>
  <si>
    <t>不良進捗表発行履歴無し、後付け前確認の不良？</t>
  </si>
  <si>
    <t>半田DIP後、RL17交換</t>
  </si>
  <si>
    <t>2024/8/23 ⑳ リレー交換後2課へ</t>
  </si>
  <si>
    <t>半田DIP後、RL3交換</t>
  </si>
  <si>
    <t>2024/8/23 ⑲ リレー交換後2課へ</t>
  </si>
  <si>
    <t>半田DIP後、RL2, RL19交換</t>
  </si>
  <si>
    <t>2024/8/26 ⑱ リレー交換後2課へ
20250123　完了へ移動</t>
  </si>
  <si>
    <t>RL1,RL4,RL5,RL8,RL9リレー不良
 半田DIP後、RL7交換</t>
  </si>
  <si>
    <t>2024/8/23 ⑰ リレー交換後2課へ</t>
  </si>
  <si>
    <t>RL1,RL4,RL7,RL9リレー不良
 半田DIP後、RL2､RL8,RL11交換</t>
  </si>
  <si>
    <t>2024/8/23 ⑯ リレー交換後2課へ
20250123　完了へ移動</t>
  </si>
  <si>
    <t>RL1,RL2,RL4~RL8,RL11,RL14リレー不良。半田DIP後、RL10交換</t>
  </si>
  <si>
    <t>2024/8/26 ⑮ リレー交換後2課へ
20250123　完了へ移動</t>
  </si>
  <si>
    <t>RL2,RL5,RL6,RL8,RL9,RL15,RL19リレー不良
 半田DIP後RL5交換</t>
  </si>
  <si>
    <t>2024/8/26 ⑭ リレー交換後2課へ
20250123　完了へ移動</t>
  </si>
  <si>
    <t>RL1~RL3,RL5,RL10,RL13リレー不良
　半田DIP後、RL4,RL9交換</t>
  </si>
  <si>
    <t>2024/8/23 ⑬ リレー交換後2課へ</t>
  </si>
  <si>
    <t>RL1,RL4,RL6~RL10リレー不良
 半田DIP後、RL2,RL19交換</t>
  </si>
  <si>
    <t>2024/8/26 ⑫リレー交換後2課へ</t>
  </si>
  <si>
    <t>RL2~RL4,RL9,RL10,RL20リレー不良
 半田DIP後RL12交換</t>
  </si>
  <si>
    <t>2024/8/26 ⑪ リレー交換後2課へ
20250123　完了へ移動</t>
  </si>
  <si>
    <t>RL1,RL2,RL7,RL9,RL10,RL18,RL20リレー不良。半田DIP後、RL19交換</t>
  </si>
  <si>
    <t>2024/8/26 ⑩ リレー交換後2課へ</t>
  </si>
  <si>
    <t>RL2~RL4,RL6,RL8~RL10リレー不良</t>
  </si>
  <si>
    <r>
      <rPr>
        <rFont val="Arial"/>
        <color theme="1"/>
        <sz val="10.0"/>
      </rPr>
      <t xml:space="preserve">不良進捗表発行履歴無し、後付け前確認の不良？ 8/29に発行した履歴無し
⇒25/3/7現在のセンターから納入された基板残0につき、実装後の不良ではない？
　</t>
    </r>
    <r>
      <rPr>
        <rFont val="Arial"/>
        <strike/>
        <color theme="1"/>
        <sz val="10.0"/>
      </rPr>
      <t>センターより基板全数納品され次第完了へ</t>
    </r>
    <r>
      <rPr>
        <rFont val="Arial"/>
        <color theme="1"/>
        <sz val="10.0"/>
      </rPr>
      <t xml:space="preserve">
</t>
    </r>
    <r>
      <rPr>
        <rFont val="Arial"/>
        <color rgb="FFFF0000"/>
        <sz val="10.0"/>
      </rPr>
      <t>250616 BNC後付け前の履歴の為、完了へ移動</t>
    </r>
  </si>
  <si>
    <t>RL1,RL3~RL7,RL9,RL15,RL17リレー不良
半田DIP後、RL11交換</t>
  </si>
  <si>
    <t>2024/8/23 ⑧ リレー交換後2課へ</t>
  </si>
  <si>
    <t>RL1,RL2,RL6~RL9リレー不良
 半田DIP後、RL10交換</t>
  </si>
  <si>
    <t>2024/8/26 ⑦リレー交換後2課へ
20250123　完了へ移動</t>
  </si>
  <si>
    <t>RL1~RL3,RL7,RL9,RL10リレー不良</t>
  </si>
  <si>
    <r>
      <rPr>
        <rFont val="Arial"/>
        <color theme="1"/>
        <sz val="10.0"/>
      </rPr>
      <t xml:space="preserve">不良進捗表発行履歴無し、後付け前確認の不良？ 8/29に発行した履歴無し
⇒25/3/7現在のセンターから納入された基板残0につき、実装後の不良ではない？
　</t>
    </r>
    <r>
      <rPr>
        <rFont val="Arial"/>
        <strike/>
        <color theme="1"/>
        <sz val="10.0"/>
      </rPr>
      <t>センターより基板全数納品され次第完了へ</t>
    </r>
    <r>
      <rPr>
        <rFont val="Arial"/>
        <color theme="1"/>
        <sz val="10.0"/>
      </rPr>
      <t xml:space="preserve">
</t>
    </r>
    <r>
      <rPr>
        <rFont val="Arial"/>
        <color rgb="FFFF0000"/>
        <sz val="10.0"/>
      </rPr>
      <t>250616 BNC後付け前の履歴の為、完了へi移動</t>
    </r>
  </si>
  <si>
    <t>RL1,RL3,RL4,RL9,RL10,RL16リレー不良、半田DIP後、RL2,RL13交換</t>
  </si>
  <si>
    <t>2024/8/26 ⑤リレー交換後2課へ</t>
  </si>
  <si>
    <t>RL1~RL8,RL10リレー不良。半田DIP後、RL12,RL20交換</t>
  </si>
  <si>
    <t>2024/8/26 ④リレー交換後2課へ
20250123　完了へ移動</t>
  </si>
  <si>
    <t>RL1,RL3,RL4,RL6,RL7,RL10,RL18リレー不良。半田DIP後、RL8,RL9交換</t>
  </si>
  <si>
    <t>2024/8/26 ③リレー交換後2課へ
20250123　完了へ移動</t>
  </si>
  <si>
    <t>RL1,RL2,RL7,RL8,RL13,RL17~RL20リレー不良
 半田DIP後、RL4,RL5,RL10,RL15交換</t>
  </si>
  <si>
    <t>2024/8/26 ② リレー交換後2課へ
20250123　完了へ移動</t>
  </si>
  <si>
    <t>LAN通信しない</t>
  </si>
  <si>
    <t>2024/10/11 大阪へ調査依頼
2024/10/18 コネクタにフラックス付着？洗浄で復帰
2024/10/23 大阪よる返却、2課へ
2024/11/15 CN4のEyeレベルが低い(510mV)。
　L10が破損している。テスタによる導通無し。
2024/11/18 L10交換 導通復帰。項番1377に組込
20250123　完了へ移動</t>
  </si>
  <si>
    <r>
      <rPr>
        <rFont val="Arial"/>
        <color theme="1"/>
        <sz val="10.0"/>
      </rPr>
      <t xml:space="preserve">2024/10/11 大阪へ調査依頼
20241127　大阪にて原因切り分け未完了。大阪で調査中
20250305　X1にだコンを確認、要交換。佐倉へ返却。部品手配準備。
</t>
    </r>
    <r>
      <rPr>
        <rFont val="Arial"/>
        <color rgb="FFFF0000"/>
        <sz val="10.0"/>
      </rPr>
      <t xml:space="preserve">20250325　部品未着、再確認。 ⇒ 部品入手4/4頃予定
</t>
    </r>
    <r>
      <rPr>
        <rFont val="Arial"/>
        <color theme="1"/>
        <sz val="10.0"/>
      </rPr>
      <t>2025/4/15 部品入手。
2025/5/14 X1交換完了、改善し組配へ
20250526　完了へ移動</t>
    </r>
  </si>
  <si>
    <t>PVB-421-1</t>
  </si>
  <si>
    <t>3QZ6TSX322500</t>
  </si>
  <si>
    <t xml:space="preserve">　　〇</t>
  </si>
  <si>
    <t>2024/8/28 C135交換し、3課へ→改善した
20250115　完了へ移動。</t>
  </si>
  <si>
    <t>MBP-C308
 (MBP-1100VS)</t>
  </si>
  <si>
    <t>受信特性検査NG
 1mケーブルで発生、100mは正常受信する</t>
  </si>
  <si>
    <t>2024/8/22 現象より製造で対応不可の為、開発部へ調査依頼
2024/12/11  FV開発での調査では問題無し。製造で使用している治具ケーブルの芯線が折れ曲がっているのを発見。ケーブルが原因の可能性有りの為、再度製品に引当てし問題なければOKと指示有り。
⇒MBP-210VSに組込み調整実施し問題ないことを確認
20250115　完了へ移動。</t>
  </si>
  <si>
    <t>SDI出力無し(CPU,FPGAデータは正常)</t>
  </si>
  <si>
    <t>2024/8/28 LMK03328書換しても改善せず
2024/10/11 大阪へ調査依頼
2024/10/18 大阪より、IC101の入力がGNDへ短絡している
2025/1/7未実装のXC6230A001ER-Gのパットが半田ブリッジ
2025/1/10 LMK03328書換し動作正常、引き当ての作番調査中(ダブり？)
20250123　完了へ移動</t>
  </si>
  <si>
    <t>IN3のｺﾝﾎﾟｼﾞｯﾄ入力が出力されない</t>
  </si>
  <si>
    <t>2024/8/9 RL3をたたくと出力する
 2024/9/11 RL3交換、3課へ
20250115　完了へ移動。</t>
  </si>
  <si>
    <t>R24002</t>
  </si>
  <si>
    <t>18030648
18030599
18030644
18030645</t>
  </si>
  <si>
    <t>M/E2 Key1~4でDVEONでKeyが無くなる。その他のLiveDveは正常</t>
  </si>
  <si>
    <r>
      <rPr>
        <rFont val="Arial"/>
        <color theme="1"/>
        <sz val="10.0"/>
      </rPr>
      <t xml:space="preserve">2024/6/12 基板の半田面は異常なし
 20241029 リワーク箇所を開発に確認して確定し、部品出庫伝票待ち。
 20241030 部品入手しリワーク出し完了。11/15予定。
20241119　動作確認NG.廃棄予定。
</t>
    </r>
    <r>
      <rPr>
        <rFont val="Arial"/>
        <color rgb="FFFF0000"/>
        <sz val="10.0"/>
      </rPr>
      <t>20250307　廃棄する4台のシリアルを追記。廃棄確定。</t>
    </r>
    <r>
      <rPr>
        <rFont val="Arial"/>
        <color theme="1"/>
        <sz val="10.0"/>
      </rPr>
      <t xml:space="preserve">
20250401　完了へ移動。</t>
    </r>
  </si>
  <si>
    <t>R23124</t>
  </si>
  <si>
    <t>HVS-110</t>
  </si>
  <si>
    <t>起動せず。CPLDの書込み正常。SH2の接続が出来ない</t>
  </si>
  <si>
    <t>20250306　アルテラベリファイOK,SH2交換→改善せず  ※R23124 他の基板板金無し生産不可→廃棄の方針。
20250401　完了へ移動。</t>
  </si>
  <si>
    <t>R23794</t>
  </si>
  <si>
    <t>M/E TOP</t>
  </si>
  <si>
    <t>書込み後、数回電源ON/OFFで起動しなくなった。(7~8回)</t>
  </si>
  <si>
    <r>
      <rPr>
        <rFont val="Arial"/>
        <color theme="1"/>
        <sz val="10.0"/>
      </rPr>
      <t xml:space="preserve">2023/9/15 IC108,IC113焼損
</t>
    </r>
    <r>
      <rPr>
        <rFont val="Arial"/>
        <color rgb="FFFF0000"/>
        <sz val="10.0"/>
      </rPr>
      <t>20250306　修理不可。ME_BASE(不良)と共に廃棄予定。</t>
    </r>
    <r>
      <rPr>
        <rFont val="Arial"/>
        <color theme="1"/>
        <sz val="10.0"/>
      </rPr>
      <t xml:space="preserve">
20250401　完了へ移動。</t>
    </r>
  </si>
  <si>
    <t>E0453</t>
  </si>
  <si>
    <t>IC108(+1.2V)
 IC113(+1.0V)</t>
  </si>
  <si>
    <t>3QA62BD3509</t>
  </si>
  <si>
    <t>R24213</t>
  </si>
  <si>
    <t>S3に縦線ノイズ発生</t>
  </si>
  <si>
    <t>2024/8/1 部品取外し依頼
 2024/8/26 MFGセンターより受取し、3課へ
20250123　完了へ移動</t>
  </si>
  <si>
    <t>S27</t>
  </si>
  <si>
    <t>*差替え 17342446</t>
  </si>
  <si>
    <t>FRONTが点灯しなし、F_IF基板MAX10の書込み出来ない。</t>
  </si>
  <si>
    <t>2024/7/31 記入漏れ？
2025/1/16 IC1交換し復帰を確認</t>
  </si>
  <si>
    <t>R24501</t>
  </si>
  <si>
    <t>RL1,RL3,RL7,RL8,RL14/RL4,RL5,RL9リレー不良</t>
  </si>
  <si>
    <t>2024/7/9 ㊴ リレー交換実施、2課へ
20250115　完了へ移動。</t>
  </si>
  <si>
    <t>RL1~RL3,,RL6~RL8リレー不良</t>
  </si>
  <si>
    <t>20250115　完了へ移動。</t>
  </si>
  <si>
    <t>RL1~RL10リレー不良</t>
  </si>
  <si>
    <t>PAGE A/B/C/D表示しない</t>
  </si>
  <si>
    <t>2025/2/12 IC3交換、調整へ
2025/3/27検査完了
20250522　完了へ移動</t>
  </si>
  <si>
    <t xml:space="preserve">3QA5LVC245BT
</t>
  </si>
  <si>
    <t>表示が出ない</t>
  </si>
  <si>
    <t>2025/2/12 IC13 1PIN(+3.3V)～GNDショート   C1でハンダショートか？
2025/2/13 MFGセンターへ返却
20253/27　検査完了
20250522　完了へ移動</t>
  </si>
  <si>
    <t>E04030-1</t>
  </si>
  <si>
    <t>C1</t>
  </si>
  <si>
    <t xml:space="preserve">3QCX7B1C104
</t>
  </si>
  <si>
    <t>DC12 IN①がNONE表示になる
 固定ナットを緩めると正常になる</t>
  </si>
  <si>
    <t>2024/10/3 2ピンの半田不良(上がりすぎ)、コネクタ内部で短絡している。半田修正し3課へ
20250123　完了へ移動</t>
  </si>
  <si>
    <t>S27に縦線ノイズ発生</t>
  </si>
  <si>
    <t>2024/7/24 部品取外し依頼
 2024/8/26 MFGセンターより受取し、3課へ
20250123　完了へ移動</t>
  </si>
  <si>
    <t>HD-SDIのタイミングジッタが0.4UI
 12G-SDIにて偶にタイミングジッタ大</t>
  </si>
  <si>
    <r>
      <rPr>
        <rFont val="Arial"/>
        <color theme="1"/>
        <sz val="10.0"/>
      </rPr>
      <t xml:space="preserve">2024/7/24 C147交換、3課へ
  時々ジッタ値が大きくなるが、規定内のため組込へ引当
2024/7/24 C147交換、3課へ→改善せず
2024/9/3 C146交換、3課へ→改善せず
2024/9/5 C147交換、3課へ → 改善せず
2024/12/26 センターにてC146･147交換後、3課へ→改善せず
2025/6/23 PLL回路修理とFVよりアドバイスあったが、費用等含め修理するか廃棄するかは製造に任せるとのこと
2025/6/25 X1交換予定。部品出庫依頼
2025/7/15 X1交換し調整へ
</t>
    </r>
    <r>
      <rPr>
        <rFont val="Arial"/>
        <color rgb="FFFF0000"/>
        <sz val="10.0"/>
      </rPr>
      <t>2025/7/25 動作確認してOK、仕掛へ返却</t>
    </r>
    <r>
      <rPr>
        <rFont val="Arial"/>
        <color theme="1"/>
        <sz val="10.0"/>
      </rPr>
      <t xml:space="preserve">
20250825　完了へ移動</t>
    </r>
  </si>
  <si>
    <t>C147
X1</t>
  </si>
  <si>
    <t>3QCX１AMTCT225
3QZ6VC73827M</t>
  </si>
  <si>
    <t>8SDO_CARD</t>
  </si>
  <si>
    <t>CN3(OUT3)のコネクタ破損？
 ホット側に凹み</t>
  </si>
  <si>
    <r>
      <rPr>
        <rFont val="Arial"/>
        <color theme="1"/>
        <sz val="10.0"/>
      </rPr>
      <t xml:space="preserve">2024/11/15 項番1175とダブり
</t>
    </r>
    <r>
      <rPr>
        <rFont val="Arial"/>
        <color rgb="FFFF0000"/>
        <sz val="10.0"/>
      </rPr>
      <t xml:space="preserve">20250214　項番削除。
</t>
    </r>
    <r>
      <rPr>
        <rFont val="Arial"/>
        <color theme="1"/>
        <sz val="10.0"/>
      </rPr>
      <t>20250228　完了へ移動</t>
    </r>
  </si>
  <si>
    <t>項番削除</t>
  </si>
  <si>
    <t>CN3のBNCホット側が凹んでいる</t>
  </si>
  <si>
    <t>2024/11/18 MFGセンターへ部品交換依頼
2024/11/29 MFGセンターより受取
2025/4/17　MFR-16SDOA　NO.19440445に組込みして検査は完了。(入庫待ち）
2025/6/25　元々はMFR-16SDOAのNO.19440312へ組込みされていた。
　　　　　（何故変更されたかは不明）入庫完了。
20250626　完了へ移動</t>
  </si>
  <si>
    <t>D1,D7,D8のLED赤色輝度不足
  計6か所</t>
  </si>
  <si>
    <t>2024/9/17 ラックイヤ(マホガニ色)不足の為、入庫時は要注意
2025/3/10LED交換は完了しています。
2025/6/3　検査完了・入庫済です。
20250610　完了へ移動</t>
  </si>
  <si>
    <t>D1,D7,D8</t>
  </si>
  <si>
    <t>3QB3L519EGW</t>
  </si>
  <si>
    <t>入庫待</t>
  </si>
  <si>
    <t>SSEP5-6出力しない
 基板破損個所有り(C,7)付近</t>
  </si>
  <si>
    <t>2024/7/17 基板カッターか？
 TP69(+3.3V_SDI_IO5,+3.3V_SDI_IO6)がGNDへ短絡
20240802　【小川コメント】基板に破損個所があるので廃棄で良いと思います。
20250401　完了へ移動。</t>
  </si>
  <si>
    <r>
      <rPr>
        <rFont val="Arial"/>
        <strike/>
        <color theme="1"/>
        <sz val="10.0"/>
      </rPr>
      <t xml:space="preserve">R24312(23651)
</t>
    </r>
    <r>
      <rPr>
        <rFont val="Arial"/>
        <color rgb="FFFF0000"/>
        <sz val="10.0"/>
      </rPr>
      <t>⇒R24976(23651)</t>
    </r>
  </si>
  <si>
    <t>(D)</t>
  </si>
  <si>
    <t>FA-505(FA-1010)</t>
  </si>
  <si>
    <t>Genlock回路が外部同期しない。(信号認識しない)N/P/３全て</t>
  </si>
  <si>
    <t>2025/1/24  IC38-8ピン未半田？再半田し確認予定
2025/1/28 動作確認してOK、組配へ返却
2025/2/13 R24976 FA-505へ引当て
20250324　完了へ移動</t>
  </si>
  <si>
    <t>R21484</t>
  </si>
  <si>
    <t>MFR-8SDOGB</t>
  </si>
  <si>
    <t>８SDOGB</t>
  </si>
  <si>
    <t>3G QuadLink→SQD変換 GB1,GB2 100m受信でエラーが常時発生</t>
  </si>
  <si>
    <t>70mに変更となった為、クローズ
20250115　完了へ移動。</t>
  </si>
  <si>
    <r>
      <rPr>
        <rFont val="Arial"/>
        <strike/>
        <color theme="1"/>
        <sz val="10.0"/>
      </rPr>
      <t xml:space="preserve">R24253
</t>
    </r>
    <r>
      <rPr>
        <rFont val="Arial"/>
        <strike val="0"/>
        <color rgb="FFFF0000"/>
        <sz val="10.0"/>
      </rPr>
      <t>⇒R24162</t>
    </r>
  </si>
  <si>
    <t>REAR PANEL</t>
  </si>
  <si>
    <t>C61が焼損</t>
  </si>
  <si>
    <t>2024/6/28 C61取外し、基板が損傷(パターン/基台)している事を確認。廃棄申請の方向とします。
20240802　【小川コメント】廃棄で良いと思います。
20250401　完了へ移動。</t>
  </si>
  <si>
    <t>リフロー/BNC実装後のリレー不具合調査基板</t>
  </si>
  <si>
    <t>2024/6/27 リレー交換完了、2課へ
20250115　完了へ移動。</t>
  </si>
  <si>
    <t>リフロー後：3ヶ
 半田DIP後：0ヶ</t>
  </si>
  <si>
    <t>リフロー後：5ヶ
 半田DIP後：2ヶ</t>
  </si>
  <si>
    <t>3QF9ARS10Y03
 3QF9ARS30Y03</t>
  </si>
  <si>
    <t>2024/6/27 ㉖ リレー交換完了、2課へ
20250115　完了へ移動。</t>
  </si>
  <si>
    <t>リフロー後：6ヶ
 半田DIP後：0ヶ</t>
  </si>
  <si>
    <t>リフロー後：5ヶ
 半田DIP後：0ヶ</t>
  </si>
  <si>
    <t>リフロー後：8ヶ
 半田DIP後：0ヶ</t>
  </si>
  <si>
    <t>リフロー後：7ヶ
 半田DIP後：0ヶ</t>
  </si>
  <si>
    <t>CN5,CN6の破損
 基板の組込時に破損した</t>
  </si>
  <si>
    <t>2024/6/27 部品出庫依頼(MOQ780個)
2025/1/10 MFGセンターへ部品交換依頼し受取
2025/6/4 入庫完了しています。（シリアル不明）
20250610　完了へ移動</t>
  </si>
  <si>
    <t>E04852</t>
  </si>
  <si>
    <t>CN5,CN6</t>
  </si>
  <si>
    <t>3QE203211</t>
  </si>
  <si>
    <t>R24373</t>
  </si>
  <si>
    <t>busボタンの点灯異常個所有り
 RU_CPU基板の交換で復帰</t>
  </si>
  <si>
    <t>20240726　[コメント(秦)]左記コメントの補足説明を頂きたいです（理解できませんでした）基板間信号のダンピング抵抗等に実装不良がないか、制御信号をオシロで確認して頂きたいです。
2025/2/5 CN5-B4ピンに半田不良。MFGセンターへ
2025/2/25  MFGセンターより受取 動作確認OK 調整ラインへ。3/10出荷予定
20250324　完了へ移動</t>
  </si>
  <si>
    <t xml:space="preserve">3QG3FX4C60S4
</t>
  </si>
  <si>
    <t>調整待
3/10出荷予定</t>
  </si>
  <si>
    <t>ME_TOP/ME_BASE</t>
  </si>
  <si>
    <t>10台</t>
  </si>
  <si>
    <t>CyntechDCDCコンバータを不良未発生ロットへリワーク</t>
  </si>
  <si>
    <t>2024/4/？ 開発指示でCyntechDCDCコンバータを不良未発生ロットへリワーク出し。
 2024/5/31 4セット戻り3セット確認OK。TOPは海外デモ機へ引当、BASEは未確認。
 20241112 残り6セット佐倉へ戻り、確認中。
 20241113 筐体ない為LED点灯で確認して10セットOK。
20250115　完了へ移動。</t>
  </si>
  <si>
    <t>2024/6/20 BNC実装後のリレー不良をリワーク出し RL3,13
20250115　完了へ移動。</t>
  </si>
  <si>
    <t>リフロー後：4ヶ
 半田DIP後：1ヶ</t>
  </si>
  <si>
    <t>2024/6/20 BNC実装後のリレー不良をリワーク出し RL4
20250115　完了へ移動。</t>
  </si>
  <si>
    <t>2024/6/20 BNC実装後のリレー不良をリワーク出し RL2,16
20250115　完了へ移動。</t>
  </si>
  <si>
    <t>2024/6/20 BNC実装後のリレー不良をリワーク出し RL3,4,5,9,10
20250115　完了へ移動。</t>
  </si>
  <si>
    <t>リフロー後：4ヶ
 半田DIP後：3ヶ</t>
  </si>
  <si>
    <t>2024/6/20 BNC実装後のリレー不良をリワーク出し RL6
20250115　完了へ移動。</t>
  </si>
  <si>
    <t>リフロー後：5ヶ
 半田DIP後：1ヶ</t>
  </si>
  <si>
    <t>R24193
仕掛残4</t>
  </si>
  <si>
    <t>３G-SDIアライメントジッタNG</t>
  </si>
  <si>
    <r>
      <rPr>
        <rFont val="Roboto"/>
        <color rgb="FF434343"/>
      </rPr>
      <t xml:space="preserve">2024/6/19 LV5490でも同じ
20241107 開発へ調査依頼中。現品は開発にあり。識別：NG
2025/09/16　開発見解でFPGAの可能性しか考えられない。交換予定。
</t>
    </r>
    <r>
      <rPr>
        <rFont val="Roboto"/>
        <b/>
        <color rgb="FFFF0000"/>
      </rPr>
      <t>2025/10/17 温まった状態で電源再起動で発生する。部品出庫依頼中。
2025/11/27 IC83交換し、現象再現せず。調整へ</t>
    </r>
    <r>
      <rPr>
        <rFont val="Roboto"/>
        <color rgb="FF434343"/>
      </rPr>
      <t xml:space="preserve">
20251211　完了へ移動</t>
    </r>
  </si>
  <si>
    <t>IC83</t>
  </si>
  <si>
    <t>3QA7Z2AGX1254</t>
  </si>
  <si>
    <t>NTSC B.B入力時にﾛｯｸしない
 PALは問題無し。コンデンサ交換しても改善せず。</t>
  </si>
  <si>
    <r>
      <rPr>
        <rFont val="Arial"/>
        <color theme="1"/>
        <sz val="10.0"/>
      </rPr>
      <t xml:space="preserve">2024/6/19 PLL回路のIC出力が不安定、交換のため出庫依頼
</t>
    </r>
    <r>
      <rPr>
        <rFont val="Arial"/>
        <color rgb="FFFF0000"/>
        <sz val="10.0"/>
      </rPr>
      <t xml:space="preserve">20250311　R23876の員数過不足無い為、過去に解決済みの項目。項目削除。
</t>
    </r>
    <r>
      <rPr>
        <rFont val="Arial"/>
        <color theme="1"/>
        <sz val="10.0"/>
      </rPr>
      <t>20250314　完了へ移動</t>
    </r>
  </si>
  <si>
    <t>20241206　進捗確認、T作番引当可否確認中。</t>
  </si>
  <si>
    <t>R24609
仕掛残2</t>
  </si>
  <si>
    <t>起動不良が1回発生した。その後再現せず。</t>
  </si>
  <si>
    <r>
      <rPr>
        <rFont val="Arial"/>
        <color theme="1"/>
      </rPr>
      <t xml:space="preserve">2024/6/7 大阪R&amp;Dへ問合せ中
 2024/6/11 </t>
    </r>
    <r>
      <rPr>
        <rFont val="Arial"/>
        <b/>
        <color theme="1"/>
      </rPr>
      <t>大阪R&amp;Dへ調査依頼の為、貸出中</t>
    </r>
    <r>
      <rPr>
        <rFont val="Arial"/>
        <color theme="1"/>
      </rPr>
      <t xml:space="preserve">
20250221　数千回に1回程度の率で発生を確認。エラー発生時にCPU用電源ICから一部電圧が出力されないことを確認。基板単体不良となる原因は未確認。同時に試作機でON/OFF試験実施を実施し同現象が1度発生。他の同様の回路構成の基板で今まで同現象は確認出来ていない。
20250821　管理上54期末で廃棄にする。
20250922　54期末廃棄稟議通ったので完了へ移動。</t>
    </r>
  </si>
  <si>
    <t>54期末廃棄予定へ追加</t>
  </si>
  <si>
    <t>大阪R&amp;Dで調査中。</t>
  </si>
  <si>
    <t>時刻(RTC)の周波数が規定より遅い</t>
  </si>
  <si>
    <t>2024/6/7 RTC交換予定。基板取外し
 2024/6/10 交換し、2課へ
20250710　完了へ移動</t>
  </si>
  <si>
    <t xml:space="preserve">　　　〇</t>
  </si>
  <si>
    <t>確認中</t>
  </si>
  <si>
    <t>R24288
 R24390</t>
  </si>
  <si>
    <t>OU_CPU</t>
  </si>
  <si>
    <t>SDカードよりDL出来ない。
 電源出力は正常か？</t>
  </si>
  <si>
    <t>2024/6/10 OU_CPU基板入替、R24288は入庫完了。
 2024/10/4 R123破損のため交換し、2課へ
20250115　完了へ移動。</t>
  </si>
  <si>
    <t>E04417</t>
  </si>
  <si>
    <t>R123</t>
  </si>
  <si>
    <t>3QDX0HQE1001</t>
  </si>
  <si>
    <t>電源ON/OFFで起動せず。
 IC92,93の出力が短絡した</t>
  </si>
  <si>
    <t>2024/5/31 小川さん使用中  シンテックDC/DC。
20250307　余剰基板と交換の方針。
2025/03/17  残1 交換未
20250630　余剰基板と入れ替え、修理としては完了。
20250701　完了へ移動</t>
  </si>
  <si>
    <t>25/7/1 R24181 不足基板
           ME_BASE*1 
           MTX*1</t>
  </si>
  <si>
    <t>R24163</t>
  </si>
  <si>
    <t>右半分のBus釦を押下すると消灯する。正常は点灯状態</t>
  </si>
  <si>
    <r>
      <rPr>
        <rFont val="Arial"/>
        <color theme="1"/>
        <sz val="10.0"/>
      </rPr>
      <t xml:space="preserve">2024/9/17 ラックイヤ(マホガニ色)不足の為、入庫時は要注意
2025/2/6　バッファ IC3列がNG 、シリーズ先頭のIC3手配
2025/2/12 パターン断線 R26後からIC3列バッファの各3ピン 復帰確認
2025/3/10センターへSW1_CARDセンターへ返却（修正依頼）
</t>
    </r>
    <r>
      <rPr>
        <rFont val="Arial"/>
        <color rgb="FFFF0000"/>
        <sz val="10.0"/>
      </rPr>
      <t xml:space="preserve">20250421　明日返却予定
</t>
    </r>
    <r>
      <rPr>
        <rFont val="Arial"/>
        <color theme="1"/>
        <sz val="10.0"/>
      </rPr>
      <t>2025/4/22　センター返却済（修理完了）検査完了。マホガニー色なので出荷先限定。
2025/5/23　チャコールグレーへ変更して入庫完了。
20250526　完了へ移動</t>
    </r>
  </si>
  <si>
    <t>E03539-1</t>
  </si>
  <si>
    <t>マホガニー色の為出荷先限定</t>
  </si>
  <si>
    <t>起動不良。前面表示”LTG-60HS”のまま</t>
  </si>
  <si>
    <t>2024/5/21 電源再起動で復帰した
2024/5/28 電源起動を繰返しても再現せず
2025/1/16 再現せず、調整卓へ
20250416　完了へ移動</t>
  </si>
  <si>
    <t>入力映像が出力されない。
 ByPassは問題なし。Rear基板交換しても変化なし</t>
  </si>
  <si>
    <r>
      <rPr>
        <rFont val="Arial"/>
        <color rgb="FF000000"/>
      </rPr>
      <t>20250221　入力を認識していて、全出力がNGであればPLL関係のNGの可能性が考
えられます。個別出力の場合、FPGA、基板間接続コネクタ、コンデンサ割れ、等考えられます。(大阪R&amp;D中田)</t>
    </r>
    <r>
      <rPr>
        <rFont val="Arial"/>
        <color rgb="FFFF0000"/>
      </rPr>
      <t xml:space="preserve">
</t>
    </r>
    <r>
      <rPr>
        <rFont val="Arial"/>
        <color rgb="FF000000"/>
      </rPr>
      <t>2025/2/25　入力映像(1080/59.94i)を検知するが、出力フォーマットが別の設定になる場合がある？
正常に動作する場合
　電源のON/OFFで状態が変わる
　内部温度が温まると具合が悪くなる傾向
正常に映像が表示されない場合
　出力フォーマットが設定異なる、この時は黒映像となる。(設定:1080/59.94i、出力:525/59.94i)
　全面パネルの操作が不可となる
　入力信号を抜くとERRORインジケータが点灯する ⇒ 入力検知は正常動作？</t>
    </r>
    <r>
      <rPr>
        <rFont val="Arial"/>
        <color rgb="FFFF0000"/>
      </rPr>
      <t xml:space="preserve">
20250314　大阪R&amp;Dから確認事項頂き調査したが、不良個所見当たらず。期末に廃棄予定。
20250922　54期末廃棄稟議通ったので完了へ移動。</t>
    </r>
  </si>
  <si>
    <t>R24720</t>
  </si>
  <si>
    <t>MFR-16RUD</t>
  </si>
  <si>
    <t>BUSボタン⑪が反応しない</t>
  </si>
  <si>
    <t>2024/4/9 SW7の接点は正常
 2024/4/26 D17の導通なし、交換し3課へ
2024/6/13修理完了して入庫済です。
20250324　完了へ移動</t>
  </si>
  <si>
    <t>E03861-1</t>
  </si>
  <si>
    <t>D17</t>
  </si>
  <si>
    <t>3QB21SS400T</t>
  </si>
  <si>
    <t>R24422</t>
  </si>
  <si>
    <t>IN12(OPTION)出力せず</t>
  </si>
  <si>
    <t>2024/6/10 部品出庫依頼
20240726　[コメント(秦)]
MAIN基板の交換で直ったという理解でよければ
クロスポイントデバイスの不良、もしくは、実装不良
の可能性が高いと判断します。費用対効果の観点から
廃棄は致し方ないと判断します。"
2025/2/13 CN1-5e、CN1-5f 間が短絡。CN1取外し後、開放。部品出庫依頼
2025/2/17  MFGセンターへCN1取付作業依頼
2025/2/18  MFGセンターより受取、C29,C31取付し組配へ
2025/2/21 動作OK
20250324　完了へ移動</t>
  </si>
  <si>
    <t>3QG0454530</t>
  </si>
  <si>
    <t>R24424</t>
  </si>
  <si>
    <t>MFR-8SDO12G</t>
  </si>
  <si>
    <t>OUT10 の出力にノイズ。IC10？</t>
  </si>
  <si>
    <r>
      <rPr>
        <rFont val="Arial"/>
        <color theme="1"/>
        <sz val="10.0"/>
      </rPr>
      <t>20240726　[コメント(秦)]MFR-8SDO12Gを交換したらなおる現象という理解でよいですか？ノイズが発生するビットレート、信号種は何でしょうか？ケーブル長に依存してますか？
20250414 メンテ機で確認、再現せず。</t>
    </r>
    <r>
      <rPr>
        <rFont val="Arial"/>
        <color rgb="FFFF0000"/>
        <sz val="10.0"/>
      </rPr>
      <t xml:space="preserve">
</t>
    </r>
    <r>
      <rPr>
        <rFont val="Arial"/>
        <color theme="1"/>
        <sz val="10.0"/>
      </rPr>
      <t>20250418 R番に組み込み全チェックし、異常無し。次回出荷：</t>
    </r>
    <r>
      <rPr>
        <rFont val="Arial"/>
        <strike/>
        <color theme="1"/>
        <sz val="10.0"/>
      </rPr>
      <t>25年7月末予定</t>
    </r>
    <r>
      <rPr>
        <rFont val="Arial"/>
        <strike/>
        <color rgb="FFFF0000"/>
        <sz val="10.0"/>
      </rPr>
      <t xml:space="preserve">
</t>
    </r>
    <r>
      <rPr>
        <rFont val="Arial"/>
        <color rgb="FFFF0000"/>
        <sz val="10.0"/>
      </rPr>
      <t>20250527 次回出荷25年10月中旬に納期変更</t>
    </r>
    <r>
      <rPr>
        <rFont val="Arial"/>
        <color theme="1"/>
        <sz val="10.0"/>
      </rPr>
      <t xml:space="preserve">
20250903　完了へ移動</t>
    </r>
  </si>
  <si>
    <t>202510中出荷予定</t>
  </si>
  <si>
    <t>2024/4/8 C135交換し、3課へ→改善した
20250115　完了へ移動。</t>
  </si>
  <si>
    <t>R24501(24976)</t>
  </si>
  <si>
    <t>㊲
15781626</t>
  </si>
  <si>
    <t>RL7,RL14リレー不良
 IN4(1010ではIN7) SD-SDI 200mで受信不良。
 HD 100mはOK。
※データはFA-505</t>
  </si>
  <si>
    <t>2024/5/8 RL7,RL14交換
 2024/06/13 RL7 交換後、SD-SDI 200mで受信できず。HD 100mはOK。→IC10イコライザー交換予定。
20240802　【小川コメント】IN7の映像を他のFSにアサインした場合も同様の現象が発生しますか？発生するようであれば、IC10の交換を進めてください。
2024/12/24 全FSで同様の現象の為、IC10出庫依頼
2024/12/25 希望納期25/01/31でIC10リワーク依頼
20250212　リワーク遅延。納期再確認中。→R&amp;D戻り済。⇒動作確認してOK。
03/04出荷予定。FA-505で使用
20250324　完了へ移動</t>
  </si>
  <si>
    <t>RL7
RL10
IC10</t>
  </si>
  <si>
    <t>3QF9ARS30Y03
3QF9ARS10Y03
3QA6ZL0384SQN</t>
  </si>
  <si>
    <t>○
○
-</t>
  </si>
  <si>
    <t>2024/5/8
2024/5/8
-</t>
  </si>
  <si>
    <t>R24374</t>
  </si>
  <si>
    <t>MFR-8RUA</t>
  </si>
  <si>
    <t>SRC2(LCD2)に縦線ノイズ</t>
  </si>
  <si>
    <t>2024/4/3 部品取外し依頼
 2023/5/7 MFGセンターより受取、3課へ
2024/10/30修理完了して入庫済です。
20250324　完了へ移動</t>
  </si>
  <si>
    <t>E04649</t>
  </si>
  <si>
    <t>LCD2</t>
  </si>
  <si>
    <t>DC12 IN①がNONE表示になる</t>
  </si>
  <si>
    <t>半田が上がりすぎている
20240726　[コメント(秦)]実装不良の対策でなおらなかったですか？DCジャックの挿入を検出している信号をオシロで見れば部品(実装)不良の判断はできると思います。
2024/4/15修理完了して入庫済です。
20250324　完了へ移動</t>
  </si>
  <si>
    <t>E04647</t>
  </si>
  <si>
    <t>FV開発部でAbstツールにてGenlockがUnlock</t>
  </si>
  <si>
    <t>2024/4/2 C135交換し、3課へ→改善した
20250115　完了へ移動。</t>
  </si>
  <si>
    <t>R23761</t>
  </si>
  <si>
    <t>MV-42HS</t>
  </si>
  <si>
    <t>SDI-MTX信号を入力するとHD-SDI出力が乱れる。HDMI出力は正常</t>
  </si>
  <si>
    <r>
      <rPr>
        <rFont val="Arial"/>
        <color theme="1"/>
        <sz val="10.0"/>
      </rPr>
      <t xml:space="preserve">2024/4/16 RS開発部へ貸出(評価用)
</t>
    </r>
    <r>
      <rPr>
        <rFont val="Arial"/>
        <color rgb="FFFF0000"/>
        <sz val="10.0"/>
      </rPr>
      <t>20250319　製品課からの依頼で、製品ディスコンにする為、個のロットは廃棄処理としたいとの依頼で、3月末で廃棄予定。現品は修理棚にあり。</t>
    </r>
    <r>
      <rPr>
        <rFont val="Arial"/>
        <color theme="1"/>
        <sz val="10.0"/>
      </rPr>
      <t xml:space="preserve">
20250401　完了へ移動。</t>
    </r>
  </si>
  <si>
    <t>R24670</t>
  </si>
  <si>
    <t>MBP-2CMDAと正常に接続できない。LibtestツールでVer表示しない</t>
  </si>
  <si>
    <t>2024/3/29 オプションMBP-2CMSXを接続しない構成で採用する。
2024/5/7   MBP-2244WSに引当て→正常に作動すること確認し出荷済み
20250115　完了へ移動。</t>
  </si>
  <si>
    <t>起動しない(ノイズ映像になる)
 FPGA周囲のLEDが全て赤点灯する</t>
  </si>
  <si>
    <t>2025/5/9 分割画面表示が成立していない。暫くして映像の更新が停止した。WebよりVer表示する。メモリチェックはOKと表示する。
20250513　開発にて調査。
　　⇒F3⇒F2の伝送路を覗いてみたところ、F2の受信端でKコードはいるのだが
       崩れている状態を確認。上流のF3のtxのKコードは正常｡(25/5/29)
   　⇒IC97(LVDSバッファー)の不良or実装不良と判断、交換作業を製造へ依頼(6/6)
2025/6/13 部品出庫依頼中
2025/07/04 IC93リワーク完了、IC95の出力+2.5V確認。FPGA起動確認し調整へ引渡
20250718　完了へ移動</t>
  </si>
  <si>
    <t>IC93</t>
  </si>
  <si>
    <t>3QAZ5TCDC1212
( CDCLVD1212RHAT )</t>
  </si>
  <si>
    <t>R24419</t>
  </si>
  <si>
    <t>GUIのIPｱﾄﾞﾚｽが192.168.0.114になってしまう?※通常は192.168.1.12</t>
  </si>
  <si>
    <t>2025/3/11　ConnectMEが変更になったことにより、発生した現象でした。バージョンアップ等により対処済です。
20250324　完了へ移動</t>
  </si>
  <si>
    <t>起動不良
 データ書込みで復帰するが、再発</t>
  </si>
  <si>
    <t>2024/3/22 起動不良がCPU/FPGAか調査する
 2024/4/1 IC36のTRIMピンがGNDに短絡
 2024/5/31 現品は不良棚に有り。
 2025/3/6 HVS-6000INPUT基板余剰分と交換方針
2025/03/17 残1　交換未
20250630　余剰基板と入れ替え、修理としては完了。
20250701　完了へ移動</t>
  </si>
  <si>
    <t>25/7/1  R24181 不足基板
ME_BASE * 1
MTX *1</t>
  </si>
  <si>
    <t>組込すると映像出力しなくなる。
 LANは接続する。
 メモリテストNG
 NG(/M_F2-0/M_F2-1/M_F2-2/M_F2-3/M_F2-4/M_F2-5/M_F2-6/M_F2-7)</t>
  </si>
  <si>
    <t>2025/5/9 映像出力しない。イニシャル画面も表示しない。メモリテストはOK。
　　Webより基板認識可能。Ver表示する。
20250513　開発にて調査。
2025/6/13 部品出庫依頼中
2025/9/9 部品出庫依頼書 再提出済
2025/9/18 リワーク依頼
2025/10/03 リワーク完了
2025/10/07 不良現象改善し、調整へ (動作確認完了)
20251106　完了へ移動</t>
  </si>
  <si>
    <t>17242550
⇒17242422
へ変更</t>
  </si>
  <si>
    <r>
      <rPr>
        <rFont val="Arial"/>
        <color theme="1"/>
        <sz val="10.0"/>
      </rPr>
      <t>20250131　μsdカードへクロック来ていない(IC3から)  IC3出庫依頼。
20250304　部品入手、リワーク手配中。
2025/0306 IC3リワーク依頼
25/3/28 通電確認→正常起動確認　組配へ
2025/4/16　NO.17242550が廃棄処理されていた為、</t>
    </r>
    <r>
      <rPr>
        <rFont val="Arial"/>
        <color rgb="FFFF0000"/>
        <sz val="10.0"/>
      </rPr>
      <t>NO17242422に変更</t>
    </r>
    <r>
      <rPr>
        <rFont val="Arial"/>
        <color theme="1"/>
        <sz val="10.0"/>
      </rPr>
      <t>し入庫済
20250423　完了へ移動</t>
    </r>
  </si>
  <si>
    <t>IN1の入力信号が出力されない
 メモリチェックNG(/M_F2-0/M_F2-1/M_F2-2/M_F2-3/M_F2-4/M_F2-5/M_F2-6/M_F2-7)</t>
  </si>
  <si>
    <t>2024/3/27 Window01へアサインしたSDI入力が分割画面に表示されない。COMP入力は正常。Full画面表示は正常。Mainの入力をWindowへアサインすると表示する。
2025/5/9 IN1をHDMI出力にアサインすると表示する。　
20250513　開発にて調査。
　　40x40のXPTからFPGA1のRX1のパス(SDI_F1_OUT1p/n)を確認。
　　C990､C991をSD-SDIで見ると分かり易いかも
　　⇒信号きてなかった。つまり40x40のXPT(IC65)からの出力が出てきてない。
　　　X線で半田不良なければ、IC65の交換が必要と思われる。
   ⇒5/22夕方に製造へ渡しました。(25/5/22)
2025/6/18 X線検査の予定
2025/7/1 X線検査の結果、半田ブリッジ確認、部品出庫依頼。
2025/8/28 リワーク依頼中 (9/12 希望)
2025/9/8 IN1の入力信号を確認、メモリーチェックも正常。調整へ
20250925　完了へ移動</t>
  </si>
  <si>
    <t>IC65</t>
  </si>
  <si>
    <t xml:space="preserve">3QA65M2112512
</t>
  </si>
  <si>
    <t>FPGAが起動しない</t>
  </si>
  <si>
    <t>2025/5/9 CPLDの書込みが出来ない？
2025/5/13　開発にて調査。
　　F1_MSEL[4]の極性が反転してた！！
　　R542の打痕を発見
2025/6/11 製造へ修正を依頼。完了後､確認したところ正常動作を確認。調整へ。
2025/6/16 IN16のRL16動作不良。リセット状態で導通なし。部品交換。
2025/7/2 出荷検査完了
20250703　完了へ移動</t>
  </si>
  <si>
    <t>R542
RL16</t>
  </si>
  <si>
    <t>3QDX0CQE102
3QF9ARS30Y03</t>
  </si>
  <si>
    <t>R24361</t>
  </si>
  <si>
    <t>F_CPU</t>
  </si>
  <si>
    <t>FANアラーム発報する</t>
  </si>
  <si>
    <t>2024/3/12 L7破損している
 2024/9/12 L7取付、MFGセンターより受取。2課へ
20250123　完了へ移動</t>
  </si>
  <si>
    <t>E04263</t>
  </si>
  <si>
    <t>L7</t>
  </si>
  <si>
    <t>3QE5BPBLM221</t>
  </si>
  <si>
    <t>協力会社実装品
 ミーズズリングのため、廃棄</t>
  </si>
  <si>
    <t>2024/3/12 PCBにミーズズリング有り ⇒製品課へ報告。 廃棄
20250401　完了へ移動。</t>
  </si>
  <si>
    <t>TP4,TP6出力せず</t>
  </si>
  <si>
    <t>項番377と重複　項番377は廃棄済み（24/10/4)</t>
  </si>
  <si>
    <t>〇 項番377</t>
  </si>
  <si>
    <t>MicroSDからプログラム(CPU,CPLD,MAIN)書込み出来ない。</t>
  </si>
  <si>
    <r>
      <rPr>
        <rFont val="Arial"/>
        <color theme="1"/>
        <sz val="10.0"/>
      </rPr>
      <t xml:space="preserve">2024/3/8 再書き込みしたが改善せず。書き込みが途中で停止している？
20250221　IVS-720HSの生産分不良解析をこの後進めると聞いております。解析内容で似た症状であればある程度原因特定できるかもしれません。(大阪R&amp;D中田)
</t>
    </r>
    <r>
      <rPr>
        <rFont val="Arial"/>
        <color rgb="FFFF0000"/>
        <sz val="10.0"/>
      </rPr>
      <t xml:space="preserve">20250404　大阪より指摘ありIVS-720HSと同じIC131が半田不良あり処置完了。データ書込み予定。
</t>
    </r>
    <r>
      <rPr>
        <rFont val="Arial"/>
        <color theme="1"/>
        <sz val="10.0"/>
      </rPr>
      <t>2025/4/18 MicroSDよりデータ書込み完了。組配へ
20250610　完了へ移動</t>
    </r>
  </si>
  <si>
    <t xml:space="preserve">IC131
IC132
</t>
  </si>
  <si>
    <t>GPI1反応せず。
 IC24(フォトカプラ)？</t>
  </si>
  <si>
    <r>
      <rPr>
        <rFont val="Arial"/>
        <color theme="1"/>
      </rPr>
      <t xml:space="preserve">2024/3/8 出荷品は基板交換で対応済
20250221　記載して頂いている不良内容が想定されます。(大阪R&amp;D中田)
部品手配準備中。
</t>
    </r>
    <r>
      <rPr>
        <rFont val="Arial"/>
        <color rgb="FFFF0000"/>
      </rPr>
      <t>20250314　部品入手済み。この基板はREAR基板で、勘合するFRONT側の基板の不良が多い事から後回し。</t>
    </r>
    <r>
      <rPr>
        <rFont val="Arial"/>
        <color theme="1"/>
      </rPr>
      <t xml:space="preserve">
20250821　管理上54期末で廃棄にする。
20250922　54期末廃棄稟議通ったので完了へ移動。</t>
    </r>
  </si>
  <si>
    <t>R24777</t>
  </si>
  <si>
    <t>MFR-64RUW</t>
  </si>
  <si>
    <t>CPU_SW</t>
  </si>
  <si>
    <t>FUNCTION 3 LED点灯せず</t>
  </si>
  <si>
    <r>
      <rPr>
        <rFont val="Arial"/>
        <color theme="1"/>
        <sz val="10.0"/>
      </rPr>
      <t xml:space="preserve">2024/3/6 S69に未半田か？
</t>
    </r>
    <r>
      <rPr>
        <rFont val="Arial"/>
        <color rgb="FFFF0000"/>
        <sz val="10.0"/>
      </rPr>
      <t xml:space="preserve">20250214　項番997と同じ内容なので削除。
</t>
    </r>
    <r>
      <rPr>
        <rFont val="Arial"/>
        <color theme="1"/>
        <sz val="10.0"/>
      </rPr>
      <t>20250228　完了へ移動</t>
    </r>
  </si>
  <si>
    <t>項目削除</t>
  </si>
  <si>
    <r>
      <rPr>
        <rFont val="Arial"/>
        <color theme="1"/>
        <sz val="10.0"/>
      </rPr>
      <t xml:space="preserve">2024/3/6 S69に未半田か？
20240726　[コメント(秦)]S69の未半田を対策してもなおらなかったという事ですか？特定のLEDだけが点灯しないという事であれば、回路図を見ながらオシロ使って、制御信号がどこで途絶えているか見つけられると思います。
</t>
    </r>
    <r>
      <rPr>
        <rFont val="Arial"/>
        <color rgb="FFFF0000"/>
        <sz val="10.0"/>
      </rPr>
      <t xml:space="preserve">20250219　修理完了して入庫済。
</t>
    </r>
    <r>
      <rPr>
        <rFont val="Arial"/>
        <color theme="1"/>
        <sz val="10.0"/>
      </rPr>
      <t>20250312　完了へ移動</t>
    </r>
  </si>
  <si>
    <t>入庫済。</t>
  </si>
  <si>
    <t>出力2(MFR-3100EX)SD-SDI SDI-MTX受信NG、ｼｮｰﾄｹｰﾌﾞﾙNG、PLLはOK、EQでNGとなる</t>
  </si>
  <si>
    <t>20240726　[コメント(秦)]MFR-SDOを交換すれば現象発生しないという事であれば、リクロッカデバイスの交換作業が必要という判断になります。
2024/12/4 MFR-8SDOEX RK0002 17050014から基板を借用して出荷したので
修理後は上記に返却要
2024/12/4 IC3( 3QA6Z6M31285G) 部品出庫依頼
2024/12/25 希望25/01/31でIC3交換依頼
2025/0107 リワーク品受け取り、動作確認してOK
MFR-8SDOEX RK0002 17050014に返却
20250213　完了へ移動</t>
  </si>
  <si>
    <t>MFR-8SDOEX（RK0002 S/No17050014)へ返却済</t>
  </si>
  <si>
    <t>R24579</t>
  </si>
  <si>
    <t>MFR-16OUT
(MFR-16SDOA)</t>
  </si>
  <si>
    <t>D1が点滅する(通常は点灯)
 電源ステータスNG</t>
  </si>
  <si>
    <r>
      <rPr>
        <rFont val="Arial"/>
        <color theme="1"/>
        <sz val="10.0"/>
      </rPr>
      <t xml:space="preserve">20240726　[コメント(秦)]部品(該当する電源IC)の交換で解決しなかったのですか？
20250219　IC5またはQ1が怪しい。IC5はリワーク必要な為、まずはQ1を交換。部品手配中(小川)。                                                                                                                  2025/2/25 Q1交換→復帰確認 組配引き渡し。板金変更必要、5月以降引当予定。
2025/3/11　一度復帰しましたが、再発しました。→Q1再実装、改善せず
2025/3/12 4.0V出力不安定 IC5リワーク予定
</t>
    </r>
    <r>
      <rPr>
        <rFont val="Arial"/>
        <color rgb="FFFF0000"/>
        <sz val="10.0"/>
      </rPr>
      <t xml:space="preserve">2025/3/13 IC5リワーク（4/14納期）
</t>
    </r>
    <r>
      <rPr>
        <rFont val="Arial"/>
        <color theme="1"/>
        <sz val="10.0"/>
      </rPr>
      <t>25/3/28 通電したが改善せず
25/3/31 12V出力(IC4)が無い Q17とIC4出庫依頼
25/4/3 Q17交換→改善せず　IC4交換依頼(センター)
24/4/17 IC4交換　通電確認OK しばらく通電確認を行う予定
2025/6/11　検査完了
2025/6/12　入庫完了
20250613　完了へ移動</t>
    </r>
  </si>
  <si>
    <t>Q1
IC5 
IC4</t>
  </si>
  <si>
    <t>3QB1SH8K15TB1
3QA6Z9B9528A
3QA62EHHHD006</t>
  </si>
  <si>
    <t>再発
×
〇</t>
  </si>
  <si>
    <t>次回出荷引当予定？</t>
  </si>
  <si>
    <t>2課で組立後に電源起動しなかった ⑫</t>
  </si>
  <si>
    <t>20240619 リワーク出し
 2024/9/10 IC107出力NG
20241128 再リワーク出し準備。
20241212 部品入手待ち
20241226 IC107解析待ち。
20250203 タク技研にてリワーク予定。 20250303 リワーク上がり 1.8V正常出力 組配へ引き渡し
2025/03/17 入庫未
20250326 完了へ移動</t>
  </si>
  <si>
    <t>20241128 再リワーク出し準備。
20241212 部品入手待ち。</t>
  </si>
  <si>
    <t>2024/2/27 発生2枚目。SW開発部へ相談中
2024/12/05 Verupで対策、24/3月に本体18010173に組み込みして出荷済み
20241225　完了へ移動。</t>
  </si>
  <si>
    <t>SW_CARD</t>
  </si>
  <si>
    <t>2024/2/19 部品取外し依頼
 2024/5/7 MFGセンターより受取、3課へ
20241225　完了へ移動。</t>
  </si>
  <si>
    <t>S15に縦線ノイズ発生</t>
  </si>
  <si>
    <t>2024/2/19 部品取外し依頼
 2024/5/7 MFGセンターより受取、3課へ
20250122　完了へ移動</t>
  </si>
  <si>
    <t>S15</t>
  </si>
  <si>
    <t>S7に縦線ノイズ発生</t>
  </si>
  <si>
    <t>S7</t>
  </si>
  <si>
    <t>S28に縦線ノイズ発生</t>
  </si>
  <si>
    <t>R24052</t>
  </si>
  <si>
    <t>SDI出力全チャンネルでSDIエラーとなる。メモリテストNG</t>
  </si>
  <si>
    <r>
      <rPr>
        <rFont val="Arial"/>
        <color theme="1"/>
        <sz val="10.0"/>
      </rPr>
      <t xml:space="preserve">仕掛週報B　残11/20
20240802　【小川コメント】Sync ModeをLineにした場合は正常に出力されるのであればDDRメモリのリワークで直る可能性あり。
リワーク費用との費用対効果で廃棄も検討。
20250117　Sync ModeをLineにした場合は、Vector・WFMの波形が正常に出力しました。メモリテストはMemory1のStep3～8がNGで、Memory1のStep1・2・9がOK。Memory2はStep1～9全てOKの状態です。
DDRメモリ（IC72～77）のどれがリワーク候補か開発へ問合せ中。
20250124　開発にて確認中。
</t>
    </r>
    <r>
      <rPr>
        <rFont val="Arial"/>
        <color rgb="FFFF0000"/>
        <sz val="10.0"/>
      </rPr>
      <t>20250304　開発にて不良切り分け不可の連絡あり、リワークに原価の半分かかる為、廃棄の方針。</t>
    </r>
    <r>
      <rPr>
        <rFont val="Arial"/>
        <color theme="1"/>
        <sz val="10.0"/>
      </rPr>
      <t xml:space="preserve">
20250401　完了へ移動。</t>
    </r>
  </si>
  <si>
    <t>R24462</t>
  </si>
  <si>
    <t>SW1をONにするとOUT1~3の電位がおかしい</t>
  </si>
  <si>
    <t>2024/6/4 部品出庫依頼
 2024/6/12 IC1リワーク依頼
 仕掛週報B 残1/200
20250120　IC１のリワークは実施したが変化無し。ペデスタルのレベル設定機能は無いので、バラつく可能性はある。
数mVのバラつきなので調整へ戻し、再度NGとなった場合は廃棄を予定。
20250312　完了へ移動</t>
  </si>
  <si>
    <t>R24084 
作番完了⇒ 
R24298</t>
  </si>
  <si>
    <t>フェーダーレバー調整不良 2ケ
 電圧調整取れない</t>
  </si>
  <si>
    <t>2024/1/24 石川さんへ。他シリアルと交換
 2024/4/18 3月入庫の為、R24298より基板借用
 仕掛週報B 残21/50
 20240621 所在不明 OU_MAIN基板のみか？
20250107　OU_MAINの不良基板が見当たらず、仕掛残数は足りている。この項番はクローズする。
20250122　完了へ移動</t>
  </si>
  <si>
    <t>MAIN基板起動せず
 +1.8V出力無し？ ⑧</t>
  </si>
  <si>
    <t>仕掛週報B 残16/50
 20240619 リワーク出し
 2024/9/10 IC107出力NG
20241128　再リワーク出し準備。
20241212　部品入手待ち
20241226　IC107解析待ち。
20250203　タク技研にてリワーク中。                                                                             20250303 リワーク上がり　1.8V正常出力 組配へ引き渡し
2025/03/17 入庫未
20250326　完了へ移動</t>
  </si>
  <si>
    <r>
      <rPr>
        <rFont val="游ゴシック, monospace"/>
        <color theme="1"/>
        <sz val="11.0"/>
      </rPr>
      <t xml:space="preserve">20241128　再リワーク出し準備。
</t>
    </r>
    <r>
      <rPr>
        <rFont val="游ゴシック, monospace"/>
        <color theme="1"/>
        <sz val="11.0"/>
      </rPr>
      <t>20241212　部品入手待ち。</t>
    </r>
  </si>
  <si>
    <t>MAIN基板起動せず
 +1.8V出力無し？ ⑦</t>
  </si>
  <si>
    <t>仕掛週報B 残16/50
 20240619 リワーク出し
 2024/9/10 IC107出力NG
20241128　再リワーク出し準備。
20241212　部品入手待ち
20241226　IC107解析待ち。
20250203　タク技研にてリワーク中。                                                                                   20250303 リワーク上がり　1.8V正常出力 組配へ引き渡し
2025/03/17 入庫未
20250326　完了へ移動</t>
  </si>
  <si>
    <r>
      <rPr>
        <rFont val="游ゴシック, monospace"/>
        <color theme="1"/>
        <sz val="11.0"/>
      </rPr>
      <t xml:space="preserve">20241128　再リワーク出し準備。
</t>
    </r>
    <r>
      <rPr>
        <rFont val="游ゴシック, monospace"/>
        <color theme="1"/>
        <sz val="11.0"/>
      </rPr>
      <t>20241212　部品入手待ち。</t>
    </r>
  </si>
  <si>
    <r>
      <rPr>
        <rFont val="Arial"/>
        <strike/>
        <color theme="1"/>
      </rPr>
      <t>電源入り切りでCPUとMAINが受信エラーとなる場合がある</t>
    </r>
    <r>
      <rPr>
        <rFont val="Arial"/>
        <color theme="1"/>
      </rPr>
      <t>。
 電源入切で31CPUとMAINが相互に受信ゴケする場合が有る。
 F/Wバージョンダウンしても電源入切で発生する。
 CPU入替⇒現象変わらず。
 MAIN入替、CPUは発生時の物を使用⇒10回電源入切で発生せず。MAIN基板に問題有</t>
    </r>
  </si>
  <si>
    <r>
      <rPr>
        <rFont val="Arial"/>
        <color theme="1"/>
      </rPr>
      <t>仕掛週報C 残3/30
 RS開発部 伊藤(隆)さんが確認、後で調査の為に引き取りに来るから一向に進まず
20250108　板金付MAIN基板の状態で受け取れるか開発へ確認中。
20250110　伊藤さん休暇中の為、14日に回答予定。
20250114　現象再現させた時に改めて開発へ相談する予定。
20250210　現象再現せず、複数のCPU基板で確認、急冷材での確認予定。
20250303　上記でも再現せず。同一R番の筐体へ組込んで再確認予定。</t>
    </r>
    <r>
      <rPr>
        <rFont val="Arial"/>
        <color rgb="FFFF0000"/>
      </rPr>
      <t xml:space="preserve">
20250314　31CPUS/No19210132で再現、133では再現せず。132号機は別の3100EXでは正常に動作した基板。本体の上に別の3100EXを乗せ、CPU基板の切り分け確認をしていたら再現しなくなった。プレスフィットのピン洗浄の上、31CPUを入れ、出荷構成で100回のON/OFF試験で再現しなければクローズして出荷する方針
</t>
    </r>
    <r>
      <rPr>
        <rFont val="Arial"/>
        <color theme="1"/>
      </rPr>
      <t>20250402 プレスフィット洗浄の上、100回ON/OFFで再現せず。CPU無し構成で出荷へ
20250409　入庫済。完了へ移動。</t>
    </r>
  </si>
  <si>
    <t>2025/3/3 再組配スケジュールは3月中に確定予定)</t>
  </si>
  <si>
    <t>R24150</t>
  </si>
  <si>
    <t>電源投入後5分程で外部ｹﾞﾝﾛｯｸが一定間隔で外れる。</t>
  </si>
  <si>
    <t>2024/1/12 C393,C394を再半田したが改善せず。交換して改善した。
 仕掛週報B 残68/100
20240802　【小川コメント】不良内容とC393、C394はあまり関係無さそうですが、改善したのであれば入庫可能？
20250131　2課へ戻しているか確認中。
2025/2/18　組配完了。但し塗装色変更の予定有り。
20250401　完了へ移動</t>
  </si>
  <si>
    <t>C393,C394</t>
  </si>
  <si>
    <t>3QCXTCB1A226</t>
  </si>
  <si>
    <t>R24201</t>
  </si>
  <si>
    <t>C588、C809が半田ブリッジしていた。問題個所にはマスキングテープで矢印が書き込まれていた。</t>
  </si>
  <si>
    <r>
      <rPr>
        <rFont val="Arial"/>
        <color theme="1"/>
        <sz val="10.0"/>
      </rPr>
      <t xml:space="preserve">2021/1/10 石川さんがブリッジ個所の処置を実施
 2024/1/11 FPS開発部より報告有り、リストに追記
 仕掛週報B 残5/30
 2024/2/29 部品交換依頼
20240802　【小川コメント】動作異常はなかった。処置後に出荷済み？
</t>
    </r>
    <r>
      <rPr>
        <rFont val="Arial"/>
        <color theme="1"/>
        <sz val="10.0"/>
      </rPr>
      <t xml:space="preserve">20241218　HK会議＃26841の案件。調整引継ぎ前の為、開発で調整した機材。＃26841クローズしているので、この項目もクローズ。
</t>
    </r>
    <r>
      <rPr>
        <rFont val="Arial"/>
        <color theme="1"/>
        <sz val="10.0"/>
      </rPr>
      <t>20241225　完了へ移動。</t>
    </r>
  </si>
  <si>
    <t>起動せず。FA-9600ロゴ表示で停止</t>
  </si>
  <si>
    <r>
      <rPr>
        <rFont val="Arial"/>
        <color theme="1"/>
        <sz val="10.0"/>
      </rPr>
      <t>2024/1/9 FPGA周辺のLED点灯状態が異常
  仕掛週報C 残10/200
20250131　LED点灯状態は正常品と同じ。「FA9600」の表示はでる。GUI繋がるがIP、MAC、VER表示せず。
20250210　開発へ問合せ中。
20250213　項番1498に開発からのコメント有り。
20250218　項番1498の結果から方針検討。
25/4/2 IC3 リワーク依頼
25/4/21 リワーク上がり通電　改善せず</t>
    </r>
    <r>
      <rPr>
        <rFont val="Arial"/>
        <color rgb="FFFF0000"/>
        <sz val="10.0"/>
      </rPr>
      <t xml:space="preserve">20250507　廃棄方針と判断。
</t>
    </r>
    <r>
      <rPr>
        <rFont val="Arial"/>
        <color theme="1"/>
        <sz val="10.0"/>
      </rPr>
      <t>2025/8/8　NO.17242458？として廃棄済（いつのまにか入庫処理されていた）
20250922　完了へ移動</t>
    </r>
  </si>
  <si>
    <t>E04490-3</t>
  </si>
  <si>
    <t>54期末廃棄予定
→廃棄済みになっている。
54期上期廃棄4台に含まれていた模様。</t>
  </si>
  <si>
    <t>R24085
(作番完了)</t>
  </si>
  <si>
    <t>作番完了</t>
  </si>
  <si>
    <t>ﾛｰﾀﾘｰｴﾝｺｰﾀﾞの動作不良
 ｶｳﾝﾄｱｯﾌﾟ/ﾀﾞｳﾝしない</t>
  </si>
  <si>
    <t>2023/12/27 SW開発部へ調査依頼のため4式引渡
 2023/12/27 SW開発部よりR-ENCの波形が不良
 2024/4/18 ENC交換。フェーダー無し？
2024/11/15 フェーダー取付し動作確認完了。入庫は後日予定
 仕掛週報C 残4/50
20241213　完了へ移動</t>
  </si>
  <si>
    <t>R24173</t>
  </si>
  <si>
    <t>ヒートシンク付け直し時にIC56破損</t>
  </si>
  <si>
    <t>2023/12/21 部品出庫依頼
 仕掛週報B 残2/70
20221126　再度部品出庫依頼(納期12/3)
20241212　部品入手済み。HVS-190他と纏めてリワーク出し予定。
20250109　本日、部品入手。他製品と共にリワーク出し、1/31戻り予定。
20250205　リワーク遅れ中。                                                                                                                                             2025/2/21 リワーク着　通電・簡単な画出しOK→組配へ引き渡し
2025/0317 入庫未
20250326　完了へ移動</t>
  </si>
  <si>
    <t>E04389</t>
  </si>
  <si>
    <t>IC56</t>
  </si>
  <si>
    <t xml:space="preserve">
R24150</t>
  </si>
  <si>
    <t>N/P共に20秒毎にGENLOCKが外れる</t>
  </si>
  <si>
    <r>
      <rPr>
        <rFont val="Arial"/>
        <color theme="1"/>
        <sz val="10.0"/>
      </rPr>
      <t xml:space="preserve">2023/12/20 登録漏れ、対策は試みてるが未完
 2024/9/17 R23877入庫完了
2024/12/3 R23774にてIC87のリワーク依頼
2024/12/13 リワーク完了、受取済
2025/1/31 IC87リワーク後、現象再現せず。しばらくヒートラン予定。
</t>
    </r>
    <r>
      <rPr>
        <rFont val="Arial"/>
        <color rgb="FFFF0000"/>
        <sz val="10.0"/>
      </rPr>
      <t>20250219　前回コメントは間違い、リワーク後も改善せず、廃棄予定。</t>
    </r>
    <r>
      <rPr>
        <rFont val="Arial"/>
        <color theme="1"/>
        <sz val="10.0"/>
      </rPr>
      <t xml:space="preserve">
20250401　完了へ移動。</t>
    </r>
  </si>
  <si>
    <t>2024/12/3 R23774にてIC87のリワーク依頼</t>
  </si>
  <si>
    <t>R24191</t>
  </si>
  <si>
    <t>IN6~10を認識せず。OUT5~8出力無し。IN/OUTのFPGAはVer表示される。</t>
  </si>
  <si>
    <r>
      <rPr>
        <rFont val="Arial"/>
        <color theme="1"/>
        <sz val="10.0"/>
      </rPr>
      <t xml:space="preserve">2023/12/4 IC76(+1.2V)が浮いている？
 20241016 IC73が浮いているの間違い。部品手配、交換依頼済み。
 2024/11/1 リワーク品受け取り
 仕掛週報C 1/40
20241122　12/20出荷分へ引当、調整検査予定。
</t>
    </r>
    <r>
      <rPr>
        <rFont val="Arial"/>
        <color theme="1"/>
        <sz val="10.0"/>
      </rPr>
      <t>2024/12/11 動作チェックしてOK、サービスメンテ機に引当て
(HVS-1200S/No.18010188に組み込み)</t>
    </r>
  </si>
  <si>
    <t>出荷済
20250213</t>
  </si>
  <si>
    <t>N/P共にSD-SDI出力ｼﾞｯﾀがNG</t>
  </si>
  <si>
    <r>
      <rPr>
        <rFont val="Arial"/>
        <color theme="1"/>
        <sz val="10.0"/>
      </rPr>
      <t xml:space="preserve">2023/11/7 C978,C979,C993,C994交換後、SD出力がおかしくなった
  仕掛週報C 残11/50
20241206　進捗確認、T作番引当可否確認中。
20241213　T作番進捗確認依頼。
20250304　T作番で2021/11/18に部品手配、現状不明。調査するか？
</t>
    </r>
    <r>
      <rPr>
        <rFont val="Arial"/>
        <color rgb="FFFF0000"/>
        <sz val="10.0"/>
      </rPr>
      <t xml:space="preserve">20250311　R23876の員数過不足無い為、過去に解決済みの項目。項目削除。
</t>
    </r>
    <r>
      <rPr>
        <rFont val="Arial"/>
        <color theme="1"/>
        <sz val="10.0"/>
      </rPr>
      <t>20250327　完了へ移動</t>
    </r>
  </si>
  <si>
    <t>20241206　進捗確認、T作番引当可否確認中。
2025</t>
  </si>
  <si>
    <t>R24406</t>
  </si>
  <si>
    <t>LinkUp Speedが2×8のスロットで認識しない。2×4は正常</t>
  </si>
  <si>
    <t>仕掛週報B 残2/30
20241129  IC1交換とアドバイス有り(FV 粕加屋さん)
ただIC1は現在入手困難？＋部品と交換作業費合わせると高額及び必ず復帰するとは言えない為、要検討
20241202　部品代、納期を確認中。
20241217   購買へ部品出庫依頼済み。
20241225   購買･センター共に部品欠品の為、2025/1/17納期で部品手配依頼済み
20250213   2025/4/11部品納品予定だが、他製品のR番実装優先の為、部品出庫できるか不明
2025/4/2 リワーク依頼
2025/4/18 リワーク受取
2025/4/21 Xilinxの書込みから実施したが、書込み中にブルースクリーンになってしまう。FV開発に問い合わせ予定
2025/4/25 FV嶽野さん・粕加屋さんに問い合わせたところ、張替えに失敗してる可能性がありこれ以上の対処が不可能な為、諦めてサービスメンテ機等の他の基板を当てにしたほうが良いとのこと(廃棄の方針)
20250922　54期末廃棄稟議通ったので完了へ移動。</t>
  </si>
  <si>
    <t>20241128　予定確認中。
20241129  IC1交換とアドバイス有り(FV 粕加屋さん)
ただIC1は現在入手困難？＋部品と交換作業費合わせると高額及び必ず復帰するとは言えない為、要検討
20241202　部品代、納期を確認中。</t>
  </si>
  <si>
    <t>R24176</t>
  </si>
  <si>
    <t>USF-1013DEMUX</t>
  </si>
  <si>
    <t>IC806が破損している</t>
  </si>
  <si>
    <t>2023/11/30 2件目
 2024/7/30 IC806出庫依頼
 仕掛週報B 残1/50
20240802　【小川コメント】IC806を交換して改善するか確認
20241212　同症状の項番502でIC806をリワークしたが改善せず廃棄になった為、進捗無し。部品出庫再依頼。
2025/1/10 部品交換準備中(手配書発行)
2025/1/15 IC806交換依頼
2025/2/7 部品交換し、受取。電源(+5V)出力を確認。
20250324　完了へ移動</t>
  </si>
  <si>
    <t>E04871</t>
  </si>
  <si>
    <t>IC806</t>
  </si>
  <si>
    <t>3QJ0AP006A0X</t>
  </si>
  <si>
    <t>20241205　部品出庫されているか確認中。</t>
  </si>
  <si>
    <t>R24170
作番完了</t>
  </si>
  <si>
    <t>IUH_MAIN</t>
  </si>
  <si>
    <t>LMK03328の書込みが出来ない</t>
  </si>
  <si>
    <t>2023/11/27 LMK用のMicroSDで起動しHyperTerminalに接続出来ない。
 2024/10/11 大阪へ調査依頼
 仕掛週報B 残15/100
20241127　大阪にて原因切り分け未完了。大阪で調査中
20250305　LMK03328の書込み完了。佐倉へ返却。
2025/3/6  MACアドレス書込み、組配へ
20250526　調整待
20250702　2課に不良の筐体が残っている。R番が完了している事からこのシリアルの基板は入庫済みなので完了とする。
20250703　完了へ移動</t>
  </si>
  <si>
    <t>2課組配待ち</t>
  </si>
  <si>
    <t>R24265</t>
  </si>
  <si>
    <t>SDI出力無し、LED1,LED3点灯しない</t>
  </si>
  <si>
    <t>2023/12/22 IC10の出力無し。部品出庫依頼
  仕掛週報C 残7/300
20240726　[コメント(秦)]基板内のDC電源に異常がない事は確認できていますか？
20250131　基板行方不明で調査中。→20240930に廃棄済</t>
  </si>
  <si>
    <t>IC10</t>
  </si>
  <si>
    <t>3QA6Z9L4365CD</t>
  </si>
  <si>
    <t>R24170</t>
  </si>
  <si>
    <t>MicroSD書込み出来ない
 2回目のデータ書込みがされない</t>
  </si>
  <si>
    <t>2024/10/11 大阪へ調査依頼
20241127　大阪にて原因切り分け未完了。大阪で調査中
20250402　IC131半田ブリッジ修正で書き込みOK。
2025/4/4 受取後、動作確認し組配へ
20250526　完了へ移動</t>
  </si>
  <si>
    <t>R22075</t>
  </si>
  <si>
    <t>MBP-3144IF</t>
  </si>
  <si>
    <t>Xilinx書込み出来ず。ﾌﾞﾙｰｽｸﾘｰﾝになる</t>
  </si>
  <si>
    <t>仕掛週報C 残5/10
2024/09/30 廃棄済み
20241213　完了へ移動</t>
  </si>
  <si>
    <t>R24375</t>
  </si>
  <si>
    <t>IO4のみ受信特性NG(1ｍでNG、100mは正常)</t>
  </si>
  <si>
    <t>仕掛週報C 残2/100
20241129  IC6交換とアドバイス有り(FV 粕加屋さん)
20241202　リワーク依頼書類作成中。
20241217   購買へ部品出庫依頼済み。
20241225   購買･センター共に部品欠品の為、2025/1/17納期で部品手配依頼済み
2025/1/23　IC6部品交換依頼
20250213   リワークから戻っておらず、動作確認予定は未定
20250226   IC6リワーク品受け取り、再調整しOK
20250324　完了へ移動</t>
  </si>
  <si>
    <t>IC6</t>
  </si>
  <si>
    <t>20241128　予定確認中。
20241129  IC6交換とアドバイス有り(FV 粕加屋さん)
20241202　リワーク依頼書類作成中。</t>
  </si>
  <si>
    <t>R23958</t>
  </si>
  <si>
    <t>CPLDアップデート出来ない
 +2.5VラインがGNDにショート</t>
  </si>
  <si>
    <t>2023/10/31 DC/DC出力はOPEN、後段でショート状態
  仕掛週報C 残2/20
20241225　ショート確認、周辺確認後に判断する。
20250131　20240931に廃棄済</t>
  </si>
  <si>
    <r>
      <rPr>
        <rFont val="Arial"/>
        <color theme="1"/>
        <sz val="10.0"/>
      </rPr>
      <t>R23775(</t>
    </r>
    <r>
      <rPr>
        <rFont val="Arial"/>
        <color rgb="FFFF0000"/>
        <sz val="10.0"/>
      </rPr>
      <t>24976</t>
    </r>
    <r>
      <rPr>
        <rFont val="Arial"/>
        <color theme="1"/>
        <sz val="10.0"/>
      </rPr>
      <t>)</t>
    </r>
  </si>
  <si>
    <r>
      <rPr>
        <rFont val="Arial"/>
        <color theme="1"/>
        <sz val="10.0"/>
      </rPr>
      <t>FA-1010
(</t>
    </r>
    <r>
      <rPr>
        <rFont val="Arial"/>
        <color rgb="FFFF0000"/>
        <sz val="10.0"/>
      </rPr>
      <t>FA-505MF</t>
    </r>
    <r>
      <rPr>
        <rFont val="Arial"/>
        <color theme="1"/>
        <sz val="10.0"/>
      </rPr>
      <t>)</t>
    </r>
  </si>
  <si>
    <t>MIAN</t>
  </si>
  <si>
    <t>CPUが起動しない</t>
  </si>
  <si>
    <t>仕掛週報C 残9/100
20241122　項番739の結果次第でリワーク出し判断する。
2024/12/06 項番739成功に伴い、部品出庫依頼
2024/12/09 12/25希望でリワーク依頼
2024/12/25 IC17リワーク品受け取り、動作確認してOK。
2025/2/28 R24976 FA-505MFへ組み込み
20250324　完了へ移動</t>
  </si>
  <si>
    <t>E3906</t>
  </si>
  <si>
    <t>IC117</t>
  </si>
  <si>
    <t>20241122 項番739の結果次第でリワーク出し判断する。</t>
  </si>
  <si>
    <r>
      <rPr>
        <rFont val="Arial"/>
        <color theme="1"/>
        <sz val="10.0"/>
      </rPr>
      <t>R23775(</t>
    </r>
    <r>
      <rPr>
        <rFont val="Arial"/>
        <color rgb="FFFF0000"/>
        <sz val="10.0"/>
      </rPr>
      <t>24976</t>
    </r>
    <r>
      <rPr>
        <rFont val="Arial"/>
        <color theme="1"/>
        <sz val="10.0"/>
      </rPr>
      <t>)</t>
    </r>
  </si>
  <si>
    <r>
      <rPr>
        <rFont val="Arial"/>
        <color theme="1"/>
        <sz val="10.0"/>
      </rPr>
      <t xml:space="preserve">FA-1010
</t>
    </r>
    <r>
      <rPr>
        <rFont val="Arial"/>
        <color rgb="FFFF0000"/>
        <sz val="10.0"/>
      </rPr>
      <t>(FA-505MF)</t>
    </r>
  </si>
  <si>
    <t>CPUが起動しない
電圧確認：正常
CPLD書き換え：変化せず。</t>
  </si>
  <si>
    <t>仕掛週報C 残23/100
FrashROMの印字はPM9713-01
2024/11/15 IC117出庫依頼 11/21:希望12/6でセンター便へ
2024/12/06 IC117リワーク品受け取り、動作確認してOK
2024/12/23 R24976 FA-505MFに組み込み
20250324　完了へ移動</t>
  </si>
  <si>
    <t>2024/11/15 IC117出庫依頼 11/21:希望12/6でセンター便へ</t>
  </si>
  <si>
    <t>R21567</t>
  </si>
  <si>
    <t>SDI12G CARD</t>
  </si>
  <si>
    <t>スロットAに組込して認識しない
 出力信号無し</t>
  </si>
  <si>
    <t>仕掛週報C 残46/100
20240802　【小川コメント】オプション実装時にCN8の76ピンの電圧が正常動作品とこの基板で異なりますか？
20241122　開発指摘を確認する。
2024/09/30 廃棄済み</t>
  </si>
  <si>
    <t>20241122　開発指摘を確認する。</t>
  </si>
  <si>
    <t>RL1,RL4リレー不良
 IN5の映像を正常に表示できない</t>
  </si>
  <si>
    <t>2023/9/28 IN5をFS2にアサインすると映像不良
 IN2をFS5にアサインすると正常？
 仕掛週報C 残9/100
20240802　【小川コメント】入力アサインを色々試して原因の切り分けが必要。
20241122　現象再確認予定。基板に添付されたメモと不具合の内容が違う。
メモ：RL1,RL4リレー不良。IN5 入力映像を正常に受信できない。FS5だと映像が入力→破綻した画を繰り返す。FS2では下部に常時線、映像にゴミが乗るのを繰り返す。
20241125　全FSににIN1をアサインして映像確認。IN2～IN10を同様に確認。結果、IN5の映像だけ全FSでノイズ、映像の破綻が発生する事を確認。
2024/11/25 部品出庫依頼､リワーク手配(IC7)、調整Gで不良リレー交換
2024/12/2 IC7リワーク依頼。12/16希望でセンター便へ
2024/12/13 リワーク品受け取り、現象変わらず。信号有無確認後にIC16をリワーク予定。
2024/12/17 XPT(IC16)の入力までは信号波形有り
2024/12/19 IC16出庫依頼
2024/12/23 IC16リワーク依頼(希望納期25/1/20)
2025/01/17 リワーク品受け取り、RL1,RL4は動作確認してOK
2025/2/10 リ他のレー故障、不良番号1504で管理。この項番は終了とする。
20250213　完了へ移動</t>
  </si>
  <si>
    <t>IC16
IC007
RL1,RL4</t>
  </si>
  <si>
    <t>3QA65M2111512
3QA6ZL0384SQN
3QF9ARS30Y03</t>
  </si>
  <si>
    <t>-
○</t>
  </si>
  <si>
    <t xml:space="preserve">
〇
×
-</t>
  </si>
  <si>
    <t>項番1504へ引き継ぎ</t>
  </si>
  <si>
    <t>20241122 現象再確認予定。基板に添付されたメモと不具合の内容が違う。
20241125　全FSににIN1をアサインして映像確認。IN2～IN10を同様に確認。結果、IN5の映像だけ全FSでノイズ、映像の破綻が発生する事を確認。
2024/11/25 部品出庫依頼､リワーク手配(IC7)</t>
  </si>
  <si>
    <r>
      <rPr>
        <rFont val="Arial"/>
        <color theme="1"/>
      </rPr>
      <t xml:space="preserve">R23775
</t>
    </r>
    <r>
      <rPr>
        <rFont val="Arial"/>
        <strike/>
        <color theme="1"/>
      </rPr>
      <t>⇒RK0002に変更</t>
    </r>
  </si>
  <si>
    <t>IN9,IN10の映像が緑になる。
 フォーマットは正常認識される</t>
  </si>
  <si>
    <r>
      <rPr>
        <rFont val="Arial"/>
        <color theme="1"/>
      </rPr>
      <t>仕掛週報C 残9/100
20240802　【小川コメント】IN9、IN10が使用しているDDRメモリのリワーク？
20241122　DDRのIC番号を開発へ確認希望。
20250109　開発から交換ICのロケーション連絡あり、部品手配準備。
20250115　IC107-IC109の交換依頼を2/6希望納期で提出。
20250212　リワーク遅延。納期再確認中。→02/14予定と回答有り。
20250214　リワーク品受け取り、現象変わらず。FPGAリワークを検討中。
20250218　FPGA部品手配中。
2025/2/21　3/21希望でIC86リワーク依頼</t>
    </r>
    <r>
      <rPr>
        <rFont val="Arial"/>
        <color rgb="FFFF0000"/>
      </rPr>
      <t xml:space="preserve">
20250317　リワーク後確認したがNG。今期末に廃棄予定。
</t>
    </r>
    <r>
      <rPr>
        <rFont val="Arial"/>
        <strike/>
        <color theme="1"/>
      </rPr>
      <t>クリーンルーム灰色の棚(QM側、壁側の棚)にて保管中</t>
    </r>
    <r>
      <rPr>
        <rFont val="Arial"/>
        <color theme="1"/>
      </rPr>
      <t xml:space="preserve">
</t>
    </r>
    <r>
      <rPr>
        <rFont val="Arial"/>
        <color rgb="FFFF0000"/>
      </rPr>
      <t xml:space="preserve">20250521 貸出返却を受領した扱いになっていなかった為訂正。R番ではなく在庫から廃棄に変更。組配済み筐体を生産管理部へ引き渡し
</t>
    </r>
    <r>
      <rPr>
        <rFont val="Arial"/>
        <color theme="1"/>
      </rPr>
      <t>20250522 生産管理部より廃棄NGの為、R23775 S/No15122386へ変更 現品不良棚最下段
20250922　54期末廃棄稟議通ったので完了へ移動。</t>
    </r>
  </si>
  <si>
    <t>IC107~109
IC86</t>
  </si>
  <si>
    <t>3QA7D47H64S25
3QA7Z2AX2604G</t>
  </si>
  <si>
    <t>20241122 DDRのIC番号を開発へ確認希望。</t>
  </si>
  <si>
    <t>リレー不良 RL11(20528M)</t>
  </si>
  <si>
    <t>2023/10/11 FSSCへ引渡(修理基板として)
 仕掛週報C 残9/100
20241213　完了へ移動</t>
  </si>
  <si>
    <t>IN18 3G-SDIの受信特性エラー
 70ｍSDI-MTRIXエラー</t>
  </si>
  <si>
    <t>2023/12/21 信号源TG700にて再確認
 仕掛週報C 残3/50
 20241107 修理完了、入庫済。</t>
  </si>
  <si>
    <t>20241112 再確認した結果、現品の行方を確認中。
 20241107 修理完了、入庫済。</t>
  </si>
  <si>
    <r>
      <rPr>
        <rFont val="Arial"/>
        <strike/>
        <color theme="1"/>
        <sz val="10.0"/>
      </rPr>
      <t xml:space="preserve">R24312(23651)
</t>
    </r>
    <r>
      <rPr>
        <rFont val="Arial"/>
        <color rgb="FFFF0000"/>
        <sz val="10.0"/>
      </rPr>
      <t>⇒R24976(23651)</t>
    </r>
  </si>
  <si>
    <t>Genlock回路が外部同期しない。
 内部同期は正常
FRONT Genlock LED B.B3値共に未点灯
GUI Reference:LOSS表示</t>
  </si>
  <si>
    <t>2023/9/14 後日、FPS開発部へ調査依頼(筐体組込)
 仕掛週報無し(R23561 仕掛週報D 残12/100)
20241126　筐体組込完了。開発へ渡して良いか問合せ。
20250124　開発へ引き渡し。
2025/1/24  IC38-4が未半田状態(FPS野口さん指摘)、再半田実施し確認予定
2025/1/28 動作確認してOK、組配へ返却
2025/2/13 R24976 FA-505へ引当て
20250324　完了へ移動</t>
  </si>
  <si>
    <t>20241126　筐体組込完了。開発へ渡して良いか問合せ。</t>
  </si>
  <si>
    <t>スロットA(SFPC4)ｴﾗｰｶｳﾝﾄ発生</t>
  </si>
  <si>
    <t xml:space="preserve">
仕掛週報D　残12/200
20240802　【小川コメント】SFPC4以外のオプションでは問題無しですか？
20241129　新しい出荷調整方法でOKとなった。
20250122　完了へ移動</t>
  </si>
  <si>
    <r>
      <rPr>
        <rFont val="游ゴシック, monospace"/>
        <color theme="1"/>
        <sz val="11.0"/>
      </rPr>
      <t xml:space="preserve">同様な不具合が2件あり、対策を試みたか確認中。
 20241107 調整方法変更に伴い、再検査予定。
</t>
    </r>
    <r>
      <rPr>
        <rFont val="游ゴシック, monospace"/>
        <color theme="1"/>
        <sz val="11.0"/>
      </rPr>
      <t>20241129　新しい出荷調整方法でOKとなった。</t>
    </r>
  </si>
  <si>
    <r>
      <rPr>
        <rFont val="游ゴシック, monospace"/>
        <color theme="1"/>
        <sz val="11.0"/>
      </rPr>
      <t xml:space="preserve">同様な不具合が2件あり、対策を試みたか確認中。
 20241107 調整方法変更に伴い、再検査予定。
</t>
    </r>
    <r>
      <rPr>
        <rFont val="游ゴシック, monospace"/>
        <color theme="1"/>
        <sz val="11.0"/>
      </rPr>
      <t>20241129　新しい出荷調整方法でOKとなった。</t>
    </r>
  </si>
  <si>
    <t>HDMI OUT 出ず。</t>
  </si>
  <si>
    <t>仕掛週報D 残12/200
2025/1/31 R944 破損？　R944交換し組配へ(石川さん)
2025/2/26  改善せず  +5.0V～GNDショート CN11取り外し依頼（センター）
2025/3/7 取り外し基板確認→ショート改善、同部品出庫依頼中
25/3/28 交換し動作確認→改善　組配へ
20250409　入庫待ち。
2025/4/10　入庫完了
20250414　完了へ移動</t>
  </si>
  <si>
    <t>R944
CN11</t>
  </si>
  <si>
    <t>3QDX0CQA0R0
3QG3TCX3285</t>
  </si>
  <si>
    <t>-⇒17242346へ</t>
  </si>
  <si>
    <t>SFPC4組込 ⇒ 出力NG
 その他のOptionはOK</t>
  </si>
  <si>
    <r>
      <rPr>
        <rFont val="Arial"/>
        <color theme="1"/>
      </rPr>
      <t>仕掛週報D 残12/200
20240802　【小川コメント】MAIN側の問題ですか？
20241122　開発指摘を確認する。
2025/1/31 CN33に半田不良？部品出庫依頼
20250218　部品出庫確認中。</t>
    </r>
    <r>
      <rPr>
        <rFont val="Arial"/>
        <color rgb="FFFF0000"/>
      </rPr>
      <t xml:space="preserve">
2025/2/19　リワーク依頼(3/7希望) →未着(3/10)
</t>
    </r>
    <r>
      <rPr>
        <rFont val="Arial"/>
        <color theme="1"/>
      </rPr>
      <t>2025/3/17   リワーク品、通電しOKそう（治具での確認)
2025/3/25　検査完了（門脇）
20250403　完了へ移動</t>
    </r>
  </si>
  <si>
    <t>CN33</t>
  </si>
  <si>
    <t>3QG0SEAF20S05</t>
  </si>
  <si>
    <t>ﾌﾛﾝﾄ操作できない</t>
  </si>
  <si>
    <r>
      <rPr>
        <rFont val="Arial"/>
        <color theme="1"/>
      </rPr>
      <t xml:space="preserve">2023/7/13 FPGA3 ﾃﾞｰﾀｴﾗｰ
  仕掛週報D 残12/200
20250131　コネクタ接触不良か(不規則)？
20250218　項番1479の結果により方針検討。
</t>
    </r>
    <r>
      <rPr>
        <rFont val="Arial"/>
        <color rgb="FFFF0000"/>
      </rPr>
      <t xml:space="preserve">20250304　金端の不良の可能性有り修正不可の為、廃棄の方針。→他のシリアルと入替る為、廃棄は中止。
</t>
    </r>
    <r>
      <rPr>
        <rFont val="Arial"/>
        <color theme="1"/>
      </rPr>
      <t>20250409　他の廃棄筐体の基板と入れ替えて完了。完了へ移動。</t>
    </r>
  </si>
  <si>
    <t>完了</t>
  </si>
  <si>
    <t>12G-SDI 受信特性エラー
 SDI MATRIX + ﾛﾝｸﾞｹｰﾌﾞﾙの条件で発生。</t>
  </si>
  <si>
    <t>2023/7/10 ｼｮｰﾄｹｰﾌﾞﾙ、CB信号では問題無し
  仕掛週報D 残12/200
20240802　【小川コメント】どの程度の頻度/長さでNGなのか？IC44を交換して改善しなければ、条件によってはデモ機/メンテ機として利用も可能。
20241122　開発指摘を確認する。
20250131　基板行方不明で調査中。
20250401　完了へ移動。</t>
  </si>
  <si>
    <t>基板行方不明</t>
  </si>
  <si>
    <t>起動せず。Frontの表示なし</t>
  </si>
  <si>
    <t>仕掛週報D 残12/200
20250131　IC152 3ピンはんだ不良？　RESET不安定。
2025/2/25 IC152再はんだ→改善せず　IC148 4PIN (F2_IO_POW_EN)にノイズ
20250304　IC148 周辺の信号にノイズがないかを確認予定。
2025/3/7 IC114部品入手
2025/3/12 リワーク依頼(4/14納期）
20250328　起動した。調整へ。
2025/4/15　調整検査完了
2025/5/1　入庫完了
20250502　完了へ移動。</t>
  </si>
  <si>
    <t>R23790</t>
  </si>
  <si>
    <t>IN ｱﾅﾛｸﾞRGB入力にビット落ちのような縦線発生する</t>
  </si>
  <si>
    <t>仕掛週報C 残8/20
 20241107 9月に廃棄済み。</t>
  </si>
  <si>
    <t>20241112 何かトライしたか、現品の行方を確認中。
 20241107 9月に廃棄済み。</t>
  </si>
  <si>
    <t>FPGAの書込みが反映されない。
 ﾀｰﾐﾅﾙ使用しての書込みｴﾗｰ表示無し</t>
  </si>
  <si>
    <t>2023/6/30 FPS森川さんへ調査依頼
 2024/11/5 該当シリアル番号は24/1/16に入庫済
 現品は開発森川さん管理
 仕掛週報C 残13/100
20241127　開発へ現品あるか問合せ中。
20241205　開発へ再確認中。
20241223　開発で再調査して行方不明な為、廃棄処理。→20240930に廃棄済
20250213　完了へ移動</t>
  </si>
  <si>
    <t>20241127　開発へ現品あるか問合せ中。
20241205　開発へ再確認中。</t>
  </si>
  <si>
    <t>OUT1aのEyeﾊﾟﾀｰﾝNG(12G-SDI)</t>
  </si>
  <si>
    <t>仕掛週報D 残12/200
項番602のリワーク結果待ち。
20250128　基板行方不明で調査中。
20250401　完了へ移動。</t>
  </si>
  <si>
    <t>R23964</t>
  </si>
  <si>
    <t>HD-SDI 100ｍ受信でCRCｴﾗｰ発生
 70mでは問題無し。3G,SDは問題無し。</t>
  </si>
  <si>
    <t>20240613 現品有。 原価よりリワーク費が高くなりそうなため、廃棄の方針で。
 仕掛週報B 残1/300
 20241111 原価確認中。
 20241112 原価\31,000- 修理が原価の半額以上になるので、廃棄の方針。
20250401　完了へ移動。</t>
  </si>
  <si>
    <t>20241111 原価確認中。
 20241112 原価\31,000- 修理が原価の半額以上になるので、廃棄の方針。</t>
  </si>
  <si>
    <t>SDI出力無し。ﾌﾟﾛｸﾞﾗﾑVerは正常表示。基板上のLED点灯がおかしい？</t>
  </si>
  <si>
    <t>2023/6/23 SDI IO(1UH_R3G)交換しても改善せず。
 2024/10/11 大阪へ調査依頼
 2024/10/18 大阪より、POLが1ヶ所出力短絡している
 仕掛週報B 残2/50
20241223　調査方法検討中。→取り外してショートチェックする。
20250107　ショート箇所を修正完了。データ書込みの為、大阪へ発送。
20250109　データ書込み完了、大阪から返却予定。
20250110　通電し画出しまではOK。
20250526　完了へ移動</t>
  </si>
  <si>
    <r>
      <rPr>
        <rFont val="游ゴシック, monospace"/>
        <color theme="1"/>
        <sz val="11.0"/>
      </rPr>
      <t xml:space="preserve">20241108 現品佐倉に戻り済み。部品交換準備。
</t>
    </r>
    <r>
      <rPr>
        <rFont val="游ゴシック, monospace"/>
        <color theme="1"/>
        <sz val="11.0"/>
      </rPr>
      <t xml:space="preserve"> 20241119 POLの入力側がショートしている為、POLの故障か判断出来ない。調査対象部品が多い。</t>
    </r>
  </si>
  <si>
    <t>仕掛週報D 残12/200
項番602のリワーク結果待ち。
2025/1/23 MFGセンターへ再半田依頼
2025/2/4 基板単体の動作確認し、組配へ
2025/3/17 改善せず
20250404　廃棄の方針
20250409　号機間違い。入庫待ち。
2025/5/1　入庫完了
20250502　完了へ移動。</t>
  </si>
  <si>
    <t>CN8~10</t>
  </si>
  <si>
    <t>3QG1B75PLRPC</t>
  </si>
  <si>
    <t>同様な不具合が6件あり、対策を試みたか確認中。</t>
  </si>
  <si>
    <t>-⇒17242345へ</t>
  </si>
  <si>
    <t>仕掛週報D 残12/200
項番602のリワーク結果待ち。
2025/1/22 R284に半田屑あり
2025/1/23 MFGセンターへ修正依頼
2025/2/4 基板単体の動作確認し、組配へ
2025/3/25　検査完了（門脇）
20250403　完了へ移動</t>
  </si>
  <si>
    <t>R284</t>
  </si>
  <si>
    <t xml:space="preserve">3QDX0CQC750
</t>
  </si>
  <si>
    <t>仕掛週報D 残12/200
20241115　部品出庫、リワーク手配表を作成完了。
20241122　部品未納で確認中。
2024/11/25 IC43リワーク依頼(12/6 希望)
2024/12/6 リワーク作業完了。改善せず。EyEパターンが2重になったまま。可能性低いが、BNCコネクタを交換予定。
20241216　差動マイナス側の抵抗75Ωを交換して改善、2課へ。
20250409　入庫済。完了へ移動。</t>
  </si>
  <si>
    <r>
      <rPr>
        <rFont val="Arial"/>
        <color theme="1"/>
        <sz val="11.0"/>
      </rPr>
      <t xml:space="preserve">同様な不具合が6件あり、対策を試みたか確認中。
</t>
    </r>
    <r>
      <rPr>
        <rFont val="Arial"/>
        <color theme="1"/>
        <sz val="11.0"/>
      </rPr>
      <t>2024/11/25 IC43リワーク依頼(12/6 希望)
2024/12/6 BNCコネクタを交換予定。</t>
    </r>
  </si>
  <si>
    <t>OUT1bのEyeﾊﾟﾀｰﾝNG(12G-SDI)
 Rise/Downの数値計測無し</t>
  </si>
  <si>
    <t>仕掛週報D 残12/200
項番602のリワーク結果待ち。
2025/1/22 R302の導通無し。電極破損？
2025/1/23 MFGセンターへ修正依頼
2025/2/4 基板単体の動作確認し、組配へ
20250409　入庫済。完了へ移動。</t>
  </si>
  <si>
    <t>R302</t>
  </si>
  <si>
    <t>(R23600)
 R24193
仕掛残4</t>
  </si>
  <si>
    <t>起動した後、ﾌﾘｰｽﾞ状態を繰返す
 アライメントジッタ値が大きい</t>
  </si>
  <si>
    <t>2023/5/17 R23600の1枚が不明(振替？)
 仕掛週報D 残1/50
 2024/6/5 玉突きしている？R24193へ
20241107 開発へ調査依頼中。
 20241108 IC83：FPGA(EP2AGX125)のヒートシンクの張付け不良の可能性有りと開発から指摘。
20241122 項番1123の筐体を調査中。
20250214　現品は、3課の不良品棚に有り。
2025/10/16 MAIN基板交換し調整へ
20251211　完了へ移動</t>
  </si>
  <si>
    <t>E03841-2</t>
  </si>
  <si>
    <t>項番1123</t>
  </si>
  <si>
    <t>20241107 開発へ調査依頼中。
 20241108 IC83：FPGA(EP2AGX125)のヒートシンクの張付け不良の可能性有りと開発から指摘。
 20241122 項番1123の筐体を調査中。</t>
  </si>
  <si>
    <t>ALTERAの書込みが出来ない。
 ﾌﾟﾛｸﾞﾗﾏｰで異なる型名で認識される</t>
  </si>
  <si>
    <t>2023/5/9 PLS開発部から連絡。 
 仕掛週報C 残13/100
20240802【小川コメント】実装している部品が正しいかを確認。
20241127　開発へ現品あるか問合せ中。
20241205　開発へ再確認中。
20241223　開発で再調査して行方不明な為、廃棄処理。
20250401　完了へ移動。</t>
  </si>
  <si>
    <t>△⇒X
行方不明</t>
  </si>
  <si>
    <t>SDI出力、ｱﾗｲﾒﾝﾄｼﾞｯﾀ規格ｵｰﾊﾞｰ</t>
  </si>
  <si>
    <t>仕掛週報C 残6/50
 20241112 原価\42,200- ディスコン製品であり、次のR番で受注分以上にある為、廃棄で良いと判断。
20250307　廃棄済で完了へ移動</t>
  </si>
  <si>
    <t>△⇒X</t>
  </si>
  <si>
    <t>廃棄済</t>
  </si>
  <si>
    <t>同上</t>
  </si>
  <si>
    <t>SDI出力無し、ｺﾝﾎﾟｼﾞｯﾄは問題無し</t>
  </si>
  <si>
    <r>
      <rPr>
        <rFont val="Arial"/>
        <color theme="1"/>
        <sz val="10.0"/>
      </rPr>
      <t xml:space="preserve">2023/4/20 IC25の差動出力(P側)に振幅無しを確認
 周辺にBNC他部品多数の為、ﾘﾜｰｸ要検討
 仕掛週報C 残6/50
 20241111 原価確認中。
 20241112 原価\42,200- ディスコン製品であり、次のR番で受注分以上にある為、廃棄で良いと判断。
20250307　廃棄済で完了へ移動
</t>
    </r>
    <r>
      <rPr>
        <rFont val="Arial"/>
        <color rgb="FFFF0000"/>
        <sz val="10.0"/>
      </rPr>
      <t>20250306　2024/10に廃棄済。</t>
    </r>
  </si>
  <si>
    <t>IC25</t>
  </si>
  <si>
    <t>3QA6ZG2988</t>
  </si>
  <si>
    <t>リワーク費用と基板原価の比較して、修理か廃棄かを判断する。
 20241111 原価確認中。
 20241112 原価\42,200- ディスコン製品であり、次のR番で受注分以上にある為、廃棄で良いと判断。</t>
  </si>
  <si>
    <t>R23774</t>
  </si>
  <si>
    <t>外部Ref時、PALのタイミングジッタ大</t>
  </si>
  <si>
    <t>2024/10/07 LMH部品入手。リワーク出し準備中。
 2024/10/8 X8交換後、現象再現せず。2課へ。(リワーク未実施)
 仕掛週報D 残3/100
2024/11/22 ループフィルタのタンタルコンデンサ交換(取り付け時の半田コテ温度不明のため)
20250401　完了へ移動</t>
  </si>
  <si>
    <t>出荷待</t>
  </si>
  <si>
    <t>20241107 PLLのタンタルコンデンサを交換予定。手付け時の熱問題が発生している事から、方針確認中。
 20241114 進捗状況のコメントより修理完了していた。</t>
  </si>
  <si>
    <t>2023/4/7 FPS開発部アドバイス VCXOの個別不良？
 20241007 LMH部品入手。リワーク出し準備中。
2024/11/22 ループフィルタのタンタルコンデンサ交換(取り付け時の半田コテ温度不明のため)
　現象再現せず⇒組配グループへ返却
 仕掛週報D 残3/100
20250401　完了へ移動</t>
  </si>
  <si>
    <t xml:space="preserve">C978
C979
C993
C994
</t>
  </si>
  <si>
    <t>20241107 PLLのタンタルコンデンサを交換予定。手付け時の熱問題が発生している事から、方針確認中。</t>
  </si>
  <si>
    <t>Genlock動作不良</t>
  </si>
  <si>
    <t>仕掛週報D 残3/100
 20241007 LMH部品入手。リワーク出し準備中。
2024/12/3 実装時の半田コテ熱過剰の疑いのため、タンタルコンデンサを交換したが改善しない。IC87リワーク依頼
2024/12/17 リワーク後、改善せず。
VCXOのVC電圧が異常動作している。ループフィルタ回路のGND間抵抗値が異常。
周辺部品を交換したら一時的に改善したが暫くしたら元の状態になった？
20241223　IC87の入力信号確認して検討付かなければ廃棄予定。
2025/2/3 IC87交換後、現象改善したため、組配へ
20250401　完了へ移動</t>
  </si>
  <si>
    <t>IC87</t>
  </si>
  <si>
    <t>20241107 PLLのタンタルコンデンサを交換予定。手付け時の熱問題が発生している事から、方針確認中。
 20241114 不良動作からLMH又はOPアンプの故障と予測、LMHのリワーク準備中。</t>
  </si>
  <si>
    <t>R23458</t>
  </si>
  <si>
    <t>MV-42AI</t>
  </si>
  <si>
    <t>COMPOSIT IN</t>
  </si>
  <si>
    <t>IN4のアナログY,Cyレベル小、出力レベルIN4 Yが入らない</t>
  </si>
  <si>
    <t>2023/2/17 R43交換。八木へ引渡て結果。
 仕掛週報C 残1/30
 20241111 出荷済である事を確認。</t>
  </si>
  <si>
    <t>20241106 作番完了している事から修理完了か確認中。
 20241111 出荷済。</t>
  </si>
  <si>
    <t>R23677</t>
  </si>
  <si>
    <t>ALTERA(CN4)の書込みが出来ない。LTC2977の書込みはOK</t>
  </si>
  <si>
    <t>2023/1/30 +1.8V( IC513) がGNDへ短絡している
 仕掛週報C 残3/200
 20241031 現品岡野所持。
 20241115　廃棄の方針。
20250401　完了へ移動。</t>
  </si>
  <si>
    <t>GNDとショートなら廃棄もありだが
 木津さんがもう少し追ってみる。
 20241115 廃棄の方針。</t>
  </si>
  <si>
    <t>DS2-4 ON/OFFに関係なくConfigしない。(USBﾌﾞﾗｽﾀｰの書込みはOK)</t>
  </si>
  <si>
    <t>仕掛週報C 残3/200
 20241031 現品不良棚に無い(現品票のみ)。
20241127　開発へ現品あるか問合せ中。
20241205　開発へ再確認中。
20241223　開発で再調査して行方不明な為、廃棄処理。
20250401　完了へ移動。</t>
  </si>
  <si>
    <t>期限を切って見つからない場合は廃棄。
 その期限を木津さんが決める。
20241127　開発へ現品あるか問合せ中。
20241205　開発へ再確認中。</t>
  </si>
  <si>
    <t>FPGAの起動が遅い、起動しない時も有</t>
  </si>
  <si>
    <t>仕掛週報C 残3/200
 20241031 現品岡野所持。
        "対応策を検討する。
20241223　来年開発へ相談。
20241223　開発で再調査して行方不明な為、廃棄処理。
20250401　完了へ移動。</t>
  </si>
  <si>
    <r>
      <rPr>
        <rFont val="游ゴシック, monospace"/>
        <color theme="1"/>
        <sz val="11.0"/>
      </rPr>
      <t xml:space="preserve">対応策を検討する。
20241119 製造では切り分け不可。
</t>
    </r>
    <r>
      <rPr>
        <rFont val="游ゴシック, monospace"/>
        <color theme="1"/>
        <sz val="11.0"/>
      </rPr>
      <t>20241223　来年開発へ相談。</t>
    </r>
  </si>
  <si>
    <t>R23627
仕掛残1</t>
  </si>
  <si>
    <t>BASE CARD</t>
  </si>
  <si>
    <t>ﾏｲｸﾛSDｶｰﾄﾞから書込み出来ない</t>
  </si>
  <si>
    <r>
      <rPr>
        <rFont val="Arial"/>
        <color theme="1"/>
      </rPr>
      <t xml:space="preserve">2課で組配作業中に2式 発生
 2023/6/15 R24440へ1式引き当て
 仕掛週報D 残1/10
20250210　プライオリティ下げる。
</t>
    </r>
    <r>
      <rPr>
        <rFont val="Arial"/>
        <color rgb="FFFF0000"/>
      </rPr>
      <t>20250404　製品課から廃棄指示あり。</t>
    </r>
    <r>
      <rPr>
        <rFont val="Arial"/>
        <color theme="1"/>
      </rPr>
      <t xml:space="preserve">
20250922　54期末廃棄稟議通ったので完了へ移動。</t>
    </r>
  </si>
  <si>
    <t>何式残っているのか不明。
 詳細を木津さんが確認しスケジュールを決める。</t>
  </si>
  <si>
    <r>
      <rPr>
        <rFont val="Arial"/>
        <color theme="1"/>
      </rPr>
      <t xml:space="preserve">2022/10/20 開発ｱﾄﾞﾊﾞｲｽ IC45交換
 仕掛週報D 残1/10
 20241028 E04814-1 P31 IC45 Sil9136-3 3QAZ9S9136を交換予定。
20241204　リワーク出し前に空中配線の小基板を取り外し。
2024/12/20 リワーク完了しMFGセンターより受取。小基板取付日程確認中。
20250210　プライオリティ下げる。
</t>
    </r>
    <r>
      <rPr>
        <rFont val="Arial"/>
        <color rgb="FFFF0000"/>
      </rPr>
      <t xml:space="preserve">20250404　製品課から廃棄指示あり。
</t>
    </r>
    <r>
      <rPr>
        <rFont val="Arial"/>
        <color theme="1"/>
      </rPr>
      <t>20250922　54期末廃棄稟議通ったので完了へ移動。</t>
    </r>
  </si>
  <si>
    <t>IC45？</t>
  </si>
  <si>
    <t>3QAZ9S9136</t>
  </si>
  <si>
    <r>
      <rPr>
        <rFont val="Arial"/>
        <color theme="1"/>
        <sz val="11.0"/>
      </rPr>
      <t xml:space="preserve">20241106 部品出庫、リワーク手配表を作成依頼。
</t>
    </r>
    <r>
      <rPr>
        <rFont val="Arial"/>
        <color theme="1"/>
        <sz val="11.0"/>
      </rPr>
      <t>20241204　リワーク出し前に空中配線の小基板を取り外し。</t>
    </r>
  </si>
  <si>
    <t>R23465</t>
  </si>
  <si>
    <t>起動しなくなった</t>
  </si>
  <si>
    <t>2022/9/27 水晶発振器調査の際に石川課長がX1を取り外して放置した為 ⇒ 部品出庫依頼 ⇒ 処置済 
 仕掛週報に無し。
 仕掛残 2/30式</t>
  </si>
  <si>
    <t>仕掛週報にないので完了にする。
 データ管理の不備！</t>
  </si>
  <si>
    <t>R23545</t>
  </si>
  <si>
    <t>MBP-208EX</t>
  </si>
  <si>
    <t>SDI_EX</t>
  </si>
  <si>
    <t>OUT5(CN13)の出力レベルが小さい
 707ｍＶ程度</t>
  </si>
  <si>
    <t>2022/8/31 部品出庫依頼
 仕掛週報D 残1/50
 20241106 MBP-208EXは、MBP-2144IF(ディスコン)と組み合わせて使用する製品。MBP-2144IFの仕掛残は故障3式のみであり、MBP-208EXは仕掛残13式ある事から修理の必要性無しと判断し、廃棄予定。
20250401　完了へ移動。</t>
  </si>
  <si>
    <t>E03945</t>
  </si>
  <si>
    <t>20241106 部品出庫、リワーク手配表を作成依頼。
 20241106 MBP-208EXは、MBP-2144IF(ディスコン)と組み合わせて使用する製品。MBP-2144IFの仕掛残は故障3式のみであり、MBP-208EXは仕掛残13式ある事から修理の必要性無しと判断し、廃棄予定。</t>
  </si>
  <si>
    <t>R23140
 作番完了</t>
  </si>
  <si>
    <t>OUT7 SDフォーマット時にパソロジカル信号で横引ノイズが発生する。
 ケーブル長は関係なし、CB信号はOK</t>
  </si>
  <si>
    <t>2022/5/31 原因調査中
 仕掛週報D 残1/30
 20241028 仕掛残は、R22771 1/50、R24744 37/50
 ⇒リクロッカーをリワークした。復帰していたので出荷済み</t>
  </si>
  <si>
    <t>原因不明。古い案件なので追及しない。</t>
  </si>
  <si>
    <t>RK0002</t>
  </si>
  <si>
    <t>USF-UDC12G-FC</t>
  </si>
  <si>
    <t>FPGA2が動作していない。
 GUIにてVer表示されない。
 Firm1/2、FPGA1はOK</t>
  </si>
  <si>
    <t>2022/5/10 開発部より返却品
 RK作番
 20241031 製品化が廃棄処理済み。</t>
  </si>
  <si>
    <t>E04572</t>
  </si>
  <si>
    <r>
      <rPr>
        <rFont val="Arial"/>
        <color theme="1"/>
      </rPr>
      <t xml:space="preserve">R23025
 作番完了
</t>
    </r>
    <r>
      <rPr>
        <rFont val="Arial"/>
        <color rgb="FFFF0000"/>
      </rPr>
      <t>→作番不定</t>
    </r>
  </si>
  <si>
    <t>RISCが起動しない</t>
  </si>
  <si>
    <r>
      <rPr>
        <rFont val="Arial"/>
        <color theme="1"/>
      </rPr>
      <t xml:space="preserve">2022/3/9 PLS開発部より、ﾃﾞﾊﾞｯｶ起動しないと報告あり。
 2022/3/11 IC1 部品出庫依頼 → HVS-6000へ流用
 2024/6/18 IC1部品出庫依頼(MOQ:126)
 仕掛週報D 残1/10
 2024/10/30 部品出庫されておらず。R番が全てクローズの為、廃棄予定。
</t>
    </r>
    <r>
      <rPr>
        <rFont val="Arial"/>
        <color rgb="FFFF0000"/>
      </rPr>
      <t>20250306　この機材は作番不定の為、期末の廃棄時は、稟議に含めず廃棄する事。</t>
    </r>
    <r>
      <rPr>
        <rFont val="Arial"/>
        <color theme="1"/>
      </rPr>
      <t xml:space="preserve">
20250401　完了へ移動。廃棄稟議とは別で廃棄。</t>
    </r>
  </si>
  <si>
    <t>E04106</t>
  </si>
  <si>
    <t>３QA8CAM335280</t>
  </si>
  <si>
    <t>△⇒X
作番不定</t>
  </si>
  <si>
    <t>R22449</t>
  </si>
  <si>
    <t>FS1,2の映像が異常</t>
  </si>
  <si>
    <t>2022/1/11 IN1,2を他のFSへｱｻｲﾝすると問題無し。
 FS1,2機能のFPGA(IC17)が原因？
 仕掛週報D 残10/200
 20241028 53期に廃棄済み</t>
  </si>
  <si>
    <t>IC17？</t>
  </si>
  <si>
    <t>14号機なら
 R23728
 作番完了</t>
  </si>
  <si>
    <t>MFR-CPUR</t>
  </si>
  <si>
    <t>18960014(旧)</t>
  </si>
  <si>
    <t>FPGA起動しない。書込みツールで書込み出来ない</t>
  </si>
  <si>
    <r>
      <rPr>
        <rFont val="Arial"/>
        <color theme="1"/>
        <sz val="10.0"/>
      </rPr>
      <t xml:space="preserve">2021/12/27 開発出荷戻り品のため、RS開発部へ調査依頼予定
 仕掛週報ではR24825 残1/6しかない。
 20241028 R24825も作番完了。R25026仕掛残1/3
 ⇒MFR-CPURで履歴を残しただけの為、週報ベースでの取り扱い禁止。(本来はMFR-CPUA)1回目の回答で費用対効果から修理せず廃棄の方針で開発回答。MFR-CPUAも残0の為、本体の廃棄に合わせて捨てるか、新規で作ってでも出荷の場合のみ再制作予定。修理予定無し。
</t>
    </r>
    <r>
      <rPr>
        <rFont val="Arial"/>
        <color rgb="FFFF0000"/>
        <sz val="10.0"/>
      </rPr>
      <t>20250311　MFR-4000/6000戻り品絡みなので、項目から削除。</t>
    </r>
  </si>
  <si>
    <t>X
作番不定</t>
  </si>
  <si>
    <r>
      <rPr>
        <rFont val="Arial"/>
        <color theme="1"/>
      </rPr>
      <t xml:space="preserve">(R23248)
(R24193)
</t>
    </r>
    <r>
      <rPr>
        <rFont val="Arial"/>
        <b/>
        <color rgb="FFFF0000"/>
      </rPr>
      <t>→作番不定</t>
    </r>
  </si>
  <si>
    <t>DSPの動作が時々停止する</t>
  </si>
  <si>
    <r>
      <rPr>
        <rFont val="Arial"/>
        <color theme="1"/>
      </rPr>
      <t xml:space="preserve">2020/10/05 IC48 品番：3QA6Z5L1983QE、
 品名：LMH1983SQE/NOPBを出庫依頼。
 2020/10/12 MFGセンターへリワークを依頼。
 2020/10/26 MFGセンターよりリワーク品受取り。
 2020/10/28 動作確認してNG。
 2020/11/02 IC83 品番：3QA7Z2AGX1254、
 品名：EP2AGX125EF35C4Nを出庫依頼。
 2020/11/06 MFGセンターへリワークを依頼。
 2020/11/25 MFGセンターよりリワーク品を受取り。
 坂下Kへ動作確認を依頼。
 52期上期に廃棄完了（R22409 5式)
 20240613 現品存在している為、他作番へ振替。
 20241031 2回リワークしている為、廃棄予定。
20250214　現品は3課の不良品棚に有り。R24193及び次のR番も台数不足は無いので、この機体は作番不定となる。期末の廃棄時は、稟議に含めず廃棄する事。
</t>
    </r>
    <r>
      <rPr>
        <rFont val="Arial"/>
        <color rgb="FFFF0000"/>
      </rPr>
      <t xml:space="preserve">20250311　筐体丸ごと残っている。
</t>
    </r>
    <r>
      <rPr>
        <rFont val="Arial"/>
        <color theme="1"/>
      </rPr>
      <t>20250401　完了へ移動。廃棄稟議とは別で廃棄。</t>
    </r>
  </si>
  <si>
    <t>C478？</t>
  </si>
  <si>
    <t>R23097</t>
  </si>
  <si>
    <t>LTG-50HS</t>
  </si>
  <si>
    <t>HD SDI-MTX信号入力時、100m受信エラー</t>
  </si>
  <si>
    <t>2021/11/10 ｶﾒﾗｼｽﾃﾑ開発部へ相談中
 稀に現象発生する
 仕掛週報D 残5/30
 20241028 完了タグにある「2022/3/？ 石川課長、変通対応(GND改造)」を実施していない？
20250312　完了へ移動</t>
  </si>
  <si>
    <t>E03604</t>
  </si>
  <si>
    <t>上半期に受注無ければ廃棄</t>
  </si>
  <si>
    <t>20250310出荷予定</t>
  </si>
  <si>
    <t>製品課に確認して廃棄もあり。
 廃棄しない時は石川さんと相談してスケジュールを決定する。
 20241106 拡販製品として営業に必要数を確認中。</t>
  </si>
  <si>
    <r>
      <rPr>
        <rFont val="Arial"/>
        <color theme="1"/>
        <sz val="10.0"/>
      </rPr>
      <t xml:space="preserve">2021/11/10 ｶﾒﾗｼｽﾃﾑ開発部へ相談中
 仕掛週報D 残5/30
 20241028 完了タグにある「2022/3/？ 石川課長、変通対応(GND改造)」を実施していない？
</t>
    </r>
    <r>
      <rPr>
        <rFont val="Arial"/>
        <color rgb="FFFF0000"/>
        <sz val="10.0"/>
      </rPr>
      <t xml:space="preserve">20250306　202404に入庫済
</t>
    </r>
    <r>
      <rPr>
        <rFont val="Arial"/>
        <color theme="1"/>
        <sz val="10.0"/>
      </rPr>
      <t>20250312　完了へ移動</t>
    </r>
  </si>
  <si>
    <t>2021/11/10 ｶﾒﾗｼｽﾃﾑ開発部へ相談中
 仕掛週報D 残5/30
 20241028 完了タグにある「2022/3/？ 石川課長、変通対応(GND改造)」を実施していない？
20250312　完了へ移動</t>
  </si>
  <si>
    <t>2021/11/04 現象確認中(石川課長)
 仕掛週報D 残5/30
 20241028 完了タグにある「2022/3/？ 石川課長、変通対応(GND改造)」を実施していない？
20250312　完了へ移動</t>
  </si>
  <si>
    <t>R22032</t>
  </si>
  <si>
    <t>USF-MDX8-12G-FC</t>
  </si>
  <si>
    <t>LMK3328に書込み出来ない</t>
  </si>
  <si>
    <t>2022/7/6 書込みを再実施したが現象は変化せず。
 2022/7/7 交換部品の手配は拡販対象製品のため、様子見とする
 仕掛週報C 残63/100
 20241028 53期末に廃棄済み。</t>
  </si>
  <si>
    <t>E04572-1</t>
  </si>
  <si>
    <t>IC581</t>
  </si>
  <si>
    <t>RL2動作不良？</t>
  </si>
  <si>
    <t>2021/11/04 現象確認、不良個所調査中
 2023/12/19 Rear基板交換し、動作OK
 仕掛週報D 残5/30
 20241101 修理完了、出荷可能。</t>
  </si>
  <si>
    <t>R21185</t>
  </si>
  <si>
    <t>USF-105DDA-12G</t>
  </si>
  <si>
    <t>REAR OUT5 CARD</t>
  </si>
  <si>
    <t>岡野
 棚B3</t>
  </si>
  <si>
    <t>12G信号のみ出力しない。
 （入力信号検知しない。）
 SD、HD、3G信号は出力する。</t>
  </si>
  <si>
    <t>2021/11/10 再確認実施、動作問題無し、仕掛へ
  接触の問題か？
 仕掛週報D 残1/50
 20241029 現品確認し、出荷可能。</t>
  </si>
  <si>
    <t>E04584</t>
  </si>
  <si>
    <r>
      <rPr>
        <rFont val="Arial"/>
        <color theme="1"/>
        <sz val="9.0"/>
      </rPr>
      <t xml:space="preserve">R22864
</t>
    </r>
    <r>
      <rPr>
        <rFont val="Arial"/>
        <color rgb="FFFF0000"/>
        <sz val="9.0"/>
      </rPr>
      <t>作番完了</t>
    </r>
  </si>
  <si>
    <t>OU2_BUS18_CD</t>
  </si>
  <si>
    <t>2課
 吉田</t>
  </si>
  <si>
    <t>KA17スイッチが押しても反応しない。
 （石川Kが再半田したが変わらず。）</t>
  </si>
  <si>
    <t>2021/05/14 SW44 品番：3QF6KASKM、品名：KAS-KMを
 手配。
 2021/06/04 石川Kへ交換を依頼。
 製造2課 吉田さんへ動作確認を依頼。
 2022/5/16 SW47を石川Kが取外し、理由不明(当人の記憶無し)
 2022/7/19 SW47の部品手配依頼
 2022/8/22 部品入手、石川さんへ交換依頼
 2024/7/11 D44不良？ 部品出庫依頼
 20240903 改造指示書反映中。修理完了予定。
 仕掛週報D 残1/20
 20241028 センターから戻り、一部手直しあり、11/18の週に2課へ渡す予定。
20241125　一部不良を修正し調整中。12/4出荷予定。
20241225　完了へ移動。</t>
  </si>
  <si>
    <t>SW44
 SW47</t>
  </si>
  <si>
    <t>3QF6KASKM
 3QF6KASKM
 3QB21SS404</t>
  </si>
  <si>
    <r>
      <rPr>
        <rFont val="游ゴシック, monospace"/>
        <color theme="1"/>
        <sz val="11.0"/>
      </rPr>
      <t xml:space="preserve">手直し完了後、2課へ渡す
</t>
    </r>
    <r>
      <rPr>
        <rFont val="游ゴシック, monospace"/>
        <color theme="1"/>
        <sz val="11.0"/>
      </rPr>
      <t>20241125　一部不良を修正し調整中。12/04出荷予定。</t>
    </r>
  </si>
  <si>
    <t>R24993
仕掛残2台</t>
  </si>
  <si>
    <t>MBP-32WS-12Gとして組込み後、HDのパソロジチェック時にV1 IN-V1 OUT間のみ画が乱れる</t>
  </si>
  <si>
    <r>
      <rPr>
        <rFont val="Roboto"/>
        <color rgb="FF434343"/>
      </rPr>
      <t>2025/3/3 部品出庫依頼
2025/5/29 部品出庫されておらず手配中
2025/6/27 部品出庫依頼されていない？再度確認して出庫依頼予定
2025/11/25 リワーク依頼準備中
2025/12/05 リワーク完了し、調整へ
2025/12/08 リワーク後、</t>
    </r>
    <r>
      <rPr>
        <rFont val="Roboto"/>
        <color rgb="FFEA4335"/>
      </rPr>
      <t xml:space="preserve">再単体チェックにてIN(CN2)にパソロジ1m･100mケーブルを入力し、それぞれ1分間程Statusエラー無し→仕掛品に戻しMBP-210VSに引当て。(単体チェックにはパソロジチェックが無い為、FV永田さんに確認しチェック実施)
</t>
    </r>
    <r>
      <rPr>
        <rFont val="Roboto"/>
        <color rgb="FF434343"/>
      </rPr>
      <t>2026/1/7 MBP-210VSに組込み調整実施→正常に動作することを確認
20260113　完了へ移動</t>
    </r>
  </si>
  <si>
    <t>書き込み完了後、電源が正常に起動しない</t>
  </si>
  <si>
    <t>25/9/29 ALTERAベリファイOK LAN通信せず(PINGできず)
             開発へ書き込み依頼
25/10/1  再書き込み後、正常起動確認 FPGAのCONFIGデータ異常との事　　　25/10/9バージョン確認済み（松井）
20260113　完了へ移動</t>
  </si>
  <si>
    <t>IO CD</t>
  </si>
  <si>
    <t>電源入力したら、全出力でアイパターンがでなくなる。この時、MAIN_CDのLEDの一部が点灯したまま。リブートしても改善されない。IO基板を入れ替えると復帰する。</t>
  </si>
  <si>
    <t>25/10/1 IC78 21ピン付近半田が落ちている。結果ショート。MFGセンターへ返却
25/10/23  修正品通電、入出力改善 サームアタッチテープ出庫待ち
25/10/29 アタッチテープ入手　完了とする。
25/12/15  HVS-490 S/NO.720へ実装
20260113　完了へ移動</t>
  </si>
  <si>
    <t>E04390A</t>
  </si>
  <si>
    <t>NTSC,PALのパラメーターが小さくなっている。時刻が遅くなっていた。</t>
  </si>
  <si>
    <r>
      <rPr>
        <rFont val="Roboto"/>
        <color rgb="FF434343"/>
      </rPr>
      <t>2025/10/2 3月にNTV不具合再現試験のため開発部へ貸出した履歴有り。</t>
    </r>
    <r>
      <rPr>
        <rFont val="Roboto"/>
        <b/>
        <color rgb="FFFF0000"/>
      </rPr>
      <t xml:space="preserve">再調整して様子をみる
</t>
    </r>
    <r>
      <rPr>
        <rFont val="Roboto"/>
        <color rgb="FF434343"/>
      </rPr>
      <t>2025/12/11 再調整を行い、再現しなかった為、入庫済。
20260113　完了へ移動</t>
    </r>
  </si>
  <si>
    <t>E04077-2</t>
  </si>
  <si>
    <t>フルMTXチェック SRC30、38,40NG</t>
  </si>
  <si>
    <t>20251028 MFR-6100で確認した為、MFR-4100でも同じ現象となるか確認した後再制作するか判断する
20251111 MFR-4100で再チェック、エラー発生せず
20260113　完了へ移動</t>
  </si>
  <si>
    <t>バージョンアップ不可</t>
  </si>
  <si>
    <t>25/10/28 X4001再ハンダ→バージョンアップ可、動作確認は未だ
2025/11/5　動作確認OK。
2026/1/7　検査完了・入庫完了。
20260113　完了へ移動</t>
  </si>
  <si>
    <t>E04772B</t>
  </si>
  <si>
    <t>LAN2A・2Bのmacアドレスが変更できない</t>
  </si>
  <si>
    <t>2025/11/10 EEPROM初期化できたとの事。
2025/11/20　同一不良が多発した為、開発へ調査を依頼したところ新バージョンから作業指示の追加で対処することになりました。
2026/1/6　検査完了・入庫完了。
20260113　完了へ移動</t>
  </si>
  <si>
    <t>STILLキャプチャが黒になる。MVのタイトルが表示されない、MVの映像が暗い。
490MAIN、12STDIO×2、CPU基板抜き差しで改善</t>
  </si>
  <si>
    <t>20251201 MOTHER基板とCPU基板を接続するコネクタに糸くず？のようなごみが付着していたがこれが原因は不明。接点洗浄剤でコネクタを洗浄して様子見
20260113　完了へ移動</t>
  </si>
  <si>
    <t>周波数不良1.023994KHzまでのところ1.023992KHz</t>
  </si>
  <si>
    <t>2025/12/22 IC61交換し、周波数改善。調整へ
20260113　完了へ移動</t>
  </si>
  <si>
    <t>RL13,RL18,RL19リレー不良
⇒交換後、チェック中にRL17リレー不良(切り替わってはいるが、映像信号に異常をきたす)
リレーコイルON制御時に導通なし</t>
  </si>
  <si>
    <t>251224 RL13,RL18,RL19交換
251225 RL17交換
20260113　完了へ移動</t>
  </si>
  <si>
    <t>RL13,RL17~RL19</t>
  </si>
  <si>
    <t>周波数不良1.023994KHzまでのところ1.023993KHz</t>
  </si>
  <si>
    <t>2025/12/23 部品出庫依頼中。
2026/1/6 周波数調整を行い、調整へ
20260113　完了へ移動</t>
  </si>
  <si>
    <t>LTCフォント表示エラー(フォントに欠け)</t>
  </si>
  <si>
    <t>2025/4/18 RS開発部へ貸出
2026/1/15 製造へ返却を確認
20260212　完了へ移動</t>
  </si>
  <si>
    <t>R24849(仕掛残2台)
⇒R25116</t>
  </si>
  <si>
    <t xml:space="preserve">MCODEC </t>
  </si>
  <si>
    <t>19620308
⇒19620620</t>
  </si>
  <si>
    <r>
      <rPr>
        <rFont val="Roboto"/>
        <color rgb="FF434343"/>
      </rPr>
      <t>2025年3月にMBP-210VSとして組込み入庫→FSへ引渡したが受注キャンセルになった為、FSより引上げ再調整(受信特性チェックが追加された新しいチェックリストで実施)したが受信特性チェックエラー。
IO2(CN3)-OUT2のみ1mケーブル接続NG。(100mはOK)
新品同様の5CFBケーブル+マイクロBNC(芯線もOK)でチェックしたがNG。
MBP-210VSには新しい基板(R25116)から流用し組み直し、取り外した</t>
    </r>
    <r>
      <rPr>
        <rFont val="Roboto"/>
        <color theme="5"/>
      </rPr>
      <t>不良基板は治ったら仕掛りロット(R25116又は25363)に戻す予定</t>
    </r>
    <r>
      <rPr>
        <rFont val="Roboto"/>
        <color rgb="FF434343"/>
      </rPr>
      <t>。</t>
    </r>
  </si>
  <si>
    <r>
      <rPr>
        <rFont val="Roboto"/>
        <color rgb="FF434343"/>
      </rPr>
      <t>-- 入庫前情報 --
2024/12/11  FV開発での調査では問題無し。製造で使用している治具ケーブルの芯線が折れ曲がっているのを発見。ケーブルが原因の可能性有りの為、再度製品に引当てし問題なければOKと指示有り。
⇒2025/3/17 MBP-210VSへ組込み再調整し問題ない事を確認
2025/11/21 リワーク受け取りし、調整へ。
2025/11/25  リワーク後、</t>
    </r>
    <r>
      <rPr>
        <rFont val="Roboto"/>
        <color rgb="FFEA4335"/>
      </rPr>
      <t>再単体チェックにてIN(CN3)にパソロジ1mケーブルを入力し、1分間程Statusエラー無し→仕掛品(R25116)に戻した。</t>
    </r>
    <r>
      <rPr>
        <rFont val="Roboto"/>
        <color rgb="FF434343"/>
      </rPr>
      <t>(単体チェックにはパソロジチェックが無い為、FV永田さんに確認しチェック実施)
2026/1/7 MBP-210VSとして組込み調整実施→正常に動作することを確認
20260212　完了へ移動</t>
    </r>
  </si>
  <si>
    <t>IC4</t>
  </si>
  <si>
    <t>IN2.9.12.16.18コンポジット出ない。リレー不良
リレーコイルON制御時に導通なし</t>
  </si>
  <si>
    <t>2025/11/13 リレー制御電圧は+2.92～2.94V。電圧印可時に導通しない。
2025/12/18 MFGセンターへリレー交換依頼
2026/1/14 MFGセンターより受取り
20260212　完了へ移動</t>
  </si>
  <si>
    <t>RL2.9.12.16.18</t>
  </si>
  <si>
    <t>IN5.14コンポジット出ない。リレー不良
リレーコイルON制御時に導通なし</t>
  </si>
  <si>
    <t>RL5.14</t>
  </si>
  <si>
    <t>IN9.12コンポジット出ない。リレー不良
リレーコイルON制御時に導通なし</t>
  </si>
  <si>
    <t>2025/11/14 リレー制御電圧は+2.94V。電圧印可時に導通しない。
2025/12/18 MFGセンターへリレー交換依頼
2026/1/14 MFGセンターより受取り
20260212　完了へ移動</t>
  </si>
  <si>
    <t>RL9.12</t>
  </si>
  <si>
    <t>LCD18縦線？白では見えない、緑で薄く見える</t>
  </si>
  <si>
    <t>251120 11/26希望でセンターへ交換依頼
251204 未返却状態
260119 交換品受け取り
20260212　完了へ移動</t>
  </si>
  <si>
    <t>E04303-3</t>
  </si>
  <si>
    <t>LCD10縦線</t>
  </si>
  <si>
    <t>LCD10</t>
  </si>
  <si>
    <t>OUT2a　Bypass出ない時がある。
リレー制御電圧OFF時に導通なし</t>
  </si>
  <si>
    <t>2025/12/11 リレー交換し、調整へ（RL1交換）
2025/12/19　検査完了。
20260212　完了へ移動</t>
  </si>
  <si>
    <t>OUT2a　Bypass出ない時がある。
リレーコイルOFF制御時に導通なし</t>
  </si>
  <si>
    <t>2026/1/29　RL1交換
2026/1/30　検査完了・入庫完了。
20260212　完了へ移動</t>
  </si>
  <si>
    <t>R25215</t>
  </si>
  <si>
    <t>MFR-CPU</t>
  </si>
  <si>
    <t>25/12/12 CPUデータ（枝25)印字されているが、商社書きされていない模様
2025/12/19　RS開発へデータの調査依頼。
258/12/22  SHADOW側データが怪しい(CONFIGがない?)
20260212　完了へ移動</t>
  </si>
  <si>
    <t>E03553</t>
  </si>
  <si>
    <t>R24267</t>
  </si>
  <si>
    <t>12Vショート</t>
  </si>
  <si>
    <t>2025/12/12　IC4交換
2025/12/12　組配グループへ引き渡し。
2026/2/2　検査完了・入庫完了。
20260212　完了へ移動</t>
  </si>
  <si>
    <t>3QA62EHHD006
EHHD006A0B41Z</t>
  </si>
  <si>
    <t>R25362</t>
  </si>
  <si>
    <t>2025/12/19 C146交換し、調整へ
2025/12/24 再調整し改善したことを確→仕掛りへ戻した
20260212　完了へ移動</t>
  </si>
  <si>
    <t>Out２ａ　Bypass出ない時がある。
リレーコイルOFF制御時に導通なし</t>
  </si>
  <si>
    <t>2026/1/16　RL2不良？
2026/2/6　修理完了（RL2交換）
2026/2/10　検査完了・入庫完了。
20260212　完了へ移動</t>
  </si>
  <si>
    <t>IN２ａ　Bypass出ない時がある。
リレーコイルOFF制御時に導通なし</t>
  </si>
  <si>
    <t>2026/1/16　RL1不良？
2026/2/6　修理完了（RL1交換）
2026/2/10　検査完了・入庫完了。
20260212　完了へ移動</t>
  </si>
  <si>
    <t>GPI1-3 AUX30接続時、全ボタンで照光式ボタンが点灯しない
一瞬だけ点灯するボタンがある</t>
  </si>
  <si>
    <t>IC101(MAX2)側のGPI_OUTの出力が全て正常に出力されていない。X線検査
260205 IC101交換品動作確認⇒GPI INが稀に複数回反応する？石川さん確認⇒再現性が低いのでそのまま出荷へ引き当て指示
X線検査の結果は半田ブリッジ無し
20260212　完了へ移動</t>
  </si>
  <si>
    <t>260119 部品出庫依頼
260126 交換品受け取り、動作確認してOK
20260212　完了へ移動</t>
  </si>
  <si>
    <t>RL18,RL19リレー不良
リレーコイルON制御時に導通なし</t>
  </si>
  <si>
    <t>260119 部品出庫依頼
20260212　完了へ移動</t>
  </si>
  <si>
    <t>RL18,RL19</t>
  </si>
  <si>
    <t>RL14リレー不良
リレーコイルON制御時に導通なし</t>
  </si>
  <si>
    <t>RL14</t>
  </si>
  <si>
    <t>RL11リレー不良
リレーコイルON制御時に導通なし</t>
  </si>
  <si>
    <t>260121 部品出庫依頼
20260212　完了へ移動</t>
  </si>
  <si>
    <t>IN15デジタル出ない。リレー不良。
リレーコイルOFF制御時に導通なし</t>
  </si>
  <si>
    <t>2026/1/20 RL15交換し、調整へ
20260212　完了へ移動</t>
  </si>
  <si>
    <t>RL11,RL12リレー不良</t>
  </si>
  <si>
    <t>260122 部品出庫依頼
20260212　完了へ移動</t>
  </si>
  <si>
    <t>RL11,RL12</t>
  </si>
  <si>
    <t>IN6.7.17コンポジット出ない。リレー不良
リレーコイルON制御時に導通なし</t>
  </si>
  <si>
    <t>2025/11/14 リレー制御電圧は+2.94V。電圧印可時に導通しない。
2025/12/18 MFGセンターへリレー交換依頼
2026/1/14 MFGセンターより受取り (50716M) 
20260302　完了へ移動</t>
  </si>
  <si>
    <t>RL6.7.17</t>
  </si>
  <si>
    <t>IN2.10.11.14.16～20コンポジット出ない。リレー不良
リレーコイルON制御時に導通なし</t>
  </si>
  <si>
    <t>2025/11/14 リレー制御電圧は+2.94～2.96V。電圧印可時に導通しない。
2025/12/18 MFGセンターへリレー交換依頼
2026/1/14 MFGセンターより受取り
20260302　完了へ移動</t>
  </si>
  <si>
    <t>RL2.10.11.14.16～20</t>
  </si>
  <si>
    <t>IN11.12.19コンポジット出ない。リレー不良
リレーコイルON制御時に導通なし</t>
  </si>
  <si>
    <t>2025/11/18 リレー制御電圧は+2.96～2.97V。電圧印可時に導通しない。
2025/12/18 MFGセンターへリレー交換依頼
2026/1/14 MFGセンターより受取り (50716M) 
20260302　完了へ移動</t>
  </si>
  <si>
    <t>RL11.12.19</t>
  </si>
  <si>
    <t>IN9.12.15.16コンポジット出ない。リレー不良
リレーコイルON制御時に導通なし</t>
  </si>
  <si>
    <t>2025/11/18 リレー制御電圧は+2.95V。電圧印可時に導通しない。
2025/12/18 MFGセンターへリレー交換依頼
2026/1/14 MFGセンターより受取り (50716M) 
20260302　完了へ移動</t>
  </si>
  <si>
    <t>RL9.12.15.16</t>
  </si>
  <si>
    <t>FPGA(Golden(Fbin))書き込みNG
“Board Program Failed.Win32:0×4b8”と表示される。</t>
  </si>
  <si>
    <t>2025/11/11 メモリ(IC36)またはFPGAが怪しいとアドバイス有り(FV 粕加屋さん)
　部品出庫依頼。
2026/1/15 リワーク依頼
2026/1/30 リワーク完了。調整へ。
2026/2/4 FPGA(Golden(Fbin))書き込みOK
2026/2/6 単体調整も正常に動作することを確認
2026/2/27 EzV-410に組込み、正常に動作することを確認し入庫
20260302　完了へ移動</t>
  </si>
  <si>
    <t>IC36？</t>
  </si>
  <si>
    <t>3QA7E25QU1G</t>
  </si>
  <si>
    <t>FRONT SW CD</t>
  </si>
  <si>
    <t>17243065
→3098</t>
  </si>
  <si>
    <t>PROC　EMBボタンが効かない。</t>
  </si>
  <si>
    <t>25/12/2 D60 不良(断線) 出庫依頼
25/12/8 D60センターへ取付依頼（希望納期12/22）
26/1/19  センターより受領
2026/2/12　検査完了・入庫完了。
20260302　完了へ移動</t>
  </si>
  <si>
    <t>E04492-1</t>
  </si>
  <si>
    <t>D60</t>
  </si>
  <si>
    <t>3QB2RB161QS40</t>
  </si>
  <si>
    <t>稀に出力映像が黒となる。Redmine ♯38064と同様の現象</t>
  </si>
  <si>
    <t>2025/12/01 不良履歴に無いため追加。大阪で調査したが解決せずに引き上げ。
2025/12/01 電源ON/OFF繰り返し試験の初回のみ現象再現。
20260302　完了へ移動</t>
  </si>
  <si>
    <t>立ち上がらない事がある。</t>
  </si>
  <si>
    <t>2026/1/28 現象再現せず、FPGAデータを更新し、調整へ
20260302　完了へ移動</t>
  </si>
  <si>
    <t>2026/2/6　RL1　交換　(50515M)
2026/2/11　RL2　交換　修理完了　(50228M)
2026/2/12　検査完了・入庫完了。
20260302　完了へ移動</t>
  </si>
  <si>
    <t>RL1
RL2</t>
  </si>
  <si>
    <t>ー→13600476</t>
  </si>
  <si>
    <t>起動せず。S501赤点灯　D10.11点灯　
D2が時々点灯する。</t>
  </si>
  <si>
    <t>25/12/12 項番1950と同様　ロットすべて適用か？
2025/12/19　RS開発へデータの調査依頼。1951と同様
25/12/22    SHADOW側データが怪しい(CONFIGがない？)
2026/1/20　デバッカーによる書き込み実施で正常動作（ロット全数）
2026/1/21　検査完了。入庫完了。
20260302　完了へ移動</t>
  </si>
  <si>
    <t>R25363</t>
  </si>
  <si>
    <t>C549・C550の抵抗値が25kΩ以下</t>
  </si>
  <si>
    <t>2026/1/5 IC47の+2.5V出力のGND間抵抗値は問題無い？
2026/1/7 再確認依頼のため調整へ
2026/1/8 再度テスターにて確認し25kΩ以上確認OK→仕掛りへ戻した
20260302　完了へ移動</t>
  </si>
  <si>
    <t xml:space="preserve"> 2026/1/16 C135交換し調整へ→改善した
20260302　完了へ移動</t>
  </si>
  <si>
    <t>IN2　オペレート側出ない時がある。</t>
  </si>
  <si>
    <t>2026/2/12　RL1交換　修理完了・検査完了・入庫完了。　(50515M)
20260302　完了へ移動</t>
  </si>
  <si>
    <t>IN2 のバイパス時に導通なし（リレーコイルOFF制御時）</t>
  </si>
  <si>
    <t>2026/2/19　受入れ時、RL1にマスキングテープが貼付けられていた。〇印
　　　　　　RL1交換の後があり。（誰が交換したかは不明）　(50515M)
　　　　　　RL2も不良の為QM確認後にFSSCにて部品交換。　(50228M)
2026/2/20　検査完了・入庫完了。
20260302　完了へ移動</t>
  </si>
  <si>
    <t>17243142
へ引当</t>
  </si>
  <si>
    <t>2025/12/02 MFGセンターよりリレー動作確認依頼品を受け取り(計4式)
2025/12/8 RL1がバイパス側に切り替わらない。リレー電圧+3.21V (50515M)
2026/2/19　受入れ時には部品交換済。修理完了（センター？）
2026/2/20　検査完了。
2026/3/5　入庫完了。
20260305　完了へ移動</t>
  </si>
  <si>
    <t>2026/1/16　RL1不良？
2026/2/6　修理完了（RL1交換）　(50515M)
2026/2/18　検査完了。
2026/3/5　入庫完了。
20260305　完了へ移動</t>
  </si>
  <si>
    <t>IN２　オペレート側出ない時がある。
リレーコイルON制御時に導通なし</t>
  </si>
  <si>
    <t>ー→17243147</t>
  </si>
  <si>
    <t>IN2 バイパス側に導通不良。
リレーコイルOFF制御時に導通なし</t>
  </si>
  <si>
    <t>2026/2/4 MFGセンターよりBNC実装前のリレー動作確認依頼　(50515M)
2026/2/6 MFGセンターへ返却
2026/2/24　修理完了※調整グループにて正常動作確認。
2026/3/3　検査完了・入庫完了。
20260305　完了へ移動</t>
  </si>
  <si>
    <t>ー→17243143</t>
  </si>
  <si>
    <t>2026/2/4 MFGセンターよりBNC実装前のリレー動作確認依頼　(50515M)
2026/2/6 MFGセンターへ返却
2026/2/20　調整グループにて正常動作確認。修理完了・検査完了。
2026/3/5　入庫完了。
20260305　完了へ移動</t>
  </si>
  <si>
    <t>ー→17243148</t>
  </si>
  <si>
    <t>ー→17243144</t>
  </si>
  <si>
    <t>ー→17243145</t>
  </si>
  <si>
    <t>ー→17243146</t>
  </si>
  <si>
    <t>2026/2/16　RL2交換　修理完了。　(50228M)
2026/2/20　検査完了。
2026/3/5　入庫完了。
20260305　完了へ移動</t>
  </si>
  <si>
    <t>RL1不良？</t>
  </si>
  <si>
    <t>2026/2/18　受入れ時、RL1にマスキングテープが貼付けられていた。〇マーク
　　　　　　RL1交換の後があり。（誰が交換したかは不明）
　　　　　　検査完了。　(50515M)
2026/3/5　入庫完了。
20260305　完了へ移動</t>
  </si>
  <si>
    <t>2026/2/19　RL1交換　修理完了。　(50515M)
2026/2/19　検査完了。
2026/3/5　入庫完了。
20260305　完了へ移動</t>
  </si>
  <si>
    <t>2026/3/4　RL1交換（修理完了）・検査完了。
2026/3/5　入庫完了。
20260305　完了へ移動</t>
  </si>
  <si>
    <t>IN7.12.14コンポジット出ない。リレー不良
リレーコイルON制御時に導通なし</t>
  </si>
  <si>
    <t>2025/11/18 リレー制御電圧は+2.96～2.97V。電圧印可時に導通しない。
2025/12/18 MFGセンターへリレー交換依頼
2026/1/14 MFGセンターより受取り (50716M) 
20260319　完了へ移動</t>
  </si>
  <si>
    <t>RL7.12.14</t>
  </si>
  <si>
    <t>IN10.13.14コンポジット出ない。リレー不良
リレーコイルON制御時に導通なし</t>
  </si>
  <si>
    <t>2025/11/18 リレー制御電圧は+2.94～2.96V。電圧印可時に導通しない。
2025/12/18 MFGセンターへリレー交換依頼
2026/1/14 MFGセンターより受取り (50716M) 
20260319　完了へ移動</t>
  </si>
  <si>
    <t>RL10.13.14</t>
  </si>
  <si>
    <t>ー→17243149</t>
  </si>
  <si>
    <t>IN2 入力側  オペレート/Bypass側 導通なし。
リレー制御電圧ON/OFFどちらも導通なし</t>
  </si>
  <si>
    <t>2025/12/02 MFGセンターよりリレー動作確認依頼品を受け取り(計4式)
2025/12/8 RL1がオペレート側に切り替わらない。リレー電圧+3.30V
2026/2/24　修理完了※調整グループにて正常動作確認。　（50515M）
2026/3/5　検査完了。
2026/3/9　入庫完了。
20260319　完了へ移動</t>
  </si>
  <si>
    <t>19080286→ー
→19080299へ</t>
  </si>
  <si>
    <t>2026/1/16　坂下さんへ調査依頼
2026/1/16 POWER_B のCN2に座屈あり。リワーク予定
2026/2/5　リワーク依頼
2026/2/20 リワーク完了、組配へ
2026/2/24　修理完了※調整グループにて正常動作確認｡
　　NO.19080286は代替えのPSユニットを使用して入庫済。
2026/3/5　NO.19080299へ引当て受入れ。
2026/3/18　検査完了・入庫完了。
20260319　完了へ移動</t>
  </si>
  <si>
    <t>CN2キーエンス撮影で歪みあり
QMから結論が出るまで出荷への引き当てはしないよう指示有り</t>
  </si>
  <si>
    <t>260317 CN2交換、電気検査はOK
20260319　完了へ移動</t>
  </si>
  <si>
    <t>2026/3/4 WFM8300/ESG4100 の環境で5分、5回観測し、現象発生せず。
2026/3/5 WFM8300/ESG4100 の環境で5分、5回観測し、現象発生せず
2026/3/10 調整へ返却し、再検査を行うこととする。
20260319　完了へ移動</t>
  </si>
  <si>
    <t>2026/3/6 WFM8300/ESG4100 の環境で5分、5回観測し、現象発生せず。
2026/3/9 WFM8300/ESG4100 の環境で5分、5回観測し、現象発生せず
2026/3/10 調整へ返却し、再検査を行うこととする。
20260319　完了へ移動</t>
  </si>
  <si>
    <t xml:space="preserve">RL18リレー不良
リレーコイルON制御時に導通なし (50903M) </t>
  </si>
  <si>
    <t>2026/03/07 リレー交換で復帰
20260319　完了へ移動</t>
  </si>
  <si>
    <t xml:space="preserve">RL15リレー不良
リレーコイルON制御時に導通なし (50903M) </t>
  </si>
  <si>
    <t>RL7リレー不良
リレーコイルON制御時に導通なし (50424M)</t>
  </si>
  <si>
    <t>LCD1~4点灯せず
R20､R21抵抗が付いていない</t>
  </si>
  <si>
    <t>R25360で3件目、同一個所付近に不良傾向
260317 修正品 電気検査OK
20260319　完了へ移動</t>
  </si>
  <si>
    <t>2026/3/17 RTC交換。調整へ
20260319　完了へ移動</t>
  </si>
  <si>
    <t>メモリテストNG
 NG(/0/1/2/3/4/5/6/7)</t>
  </si>
  <si>
    <t>2024/3/27 デバッグツールにてメモリNG箇所の伐分可能。操作方法は開発へ要確認。開発調査待ち。
20250709　現品は不良棚にあり。
2025/9/9 開発へ調査依頼案件とする
2025/12/18　開発担当案件(秦さんファイルより)
20251219　12/22の週に製造で出荷チェックを実施予定。
20251223　最新データで出荷チェックOKとなった。
20260106　不具合要因の調査の為、開発へ機材引渡し。2月末返却予定。
20260108　開発で確認した結果、旧バージョンでもメモリテストOKとなった。最新データ書いて出荷引き当て予定。
20260403　完了へ移動</t>
  </si>
  <si>
    <t>2026/03/24
〇</t>
  </si>
  <si>
    <t>R24343</t>
  </si>
  <si>
    <t>USF-111DDA-12G</t>
  </si>
  <si>
    <t>REAR OUT11</t>
  </si>
  <si>
    <t>OUT8,9chにチラツキノイズ。IC106交換？</t>
  </si>
  <si>
    <t>2026/2/27 Rear基板の入れ替え対応の予定
20260403　完了へ移動</t>
  </si>
  <si>
    <t>E04700</t>
  </si>
  <si>
    <t>R22563</t>
  </si>
  <si>
    <t>GUIソフトのSDIステータスにおいて12G信号入力時にエラーカウント発生</t>
  </si>
  <si>
    <t>2025/6/6 次回の出荷検査時に差異確認する
2026/3/4 USF-105FS-12Gだと問題ない為、S/N:18270224で出荷
（12Gパソロジ信号ケーブル70ｍで10分エラーなしを確認）
20260403　完了へ移動</t>
  </si>
  <si>
    <t>表示部分が白い※通常はSRC・DST表示</t>
  </si>
  <si>
    <t>2025/8/26　RU_CPU基板を正常品と交換したらOK。
25/8/26 改造 S12021間違い 誤)17-18ショート   正)16-17ショート  センター返却
2025/9/2　センターより戻り（正常動作確認）　検査待ち
2025/9/30　検査完了　入庫待ち
2025/11/20　入庫完了。
20260403　完了へ移動</t>
  </si>
  <si>
    <t>R25270</t>
  </si>
  <si>
    <t>OUT1・2CH出力しない。</t>
  </si>
  <si>
    <r>
      <rPr>
        <rFont val="Roboto"/>
        <color rgb="FF434343"/>
      </rPr>
      <t xml:space="preserve">IC104（GS-12281-INE3）の不良？→CN13内部で半田ブリッジ
</t>
    </r>
    <r>
      <rPr>
        <rFont val="Roboto"/>
        <b/>
        <color rgb="FFFF0000"/>
      </rPr>
      <t xml:space="preserve">2026/3/17 現品の要確認
</t>
    </r>
    <r>
      <rPr>
        <rFont val="Roboto"/>
        <color rgb="FF434343"/>
      </rPr>
      <t>2026/02/05　CN13リワークで症状改善
2026/03/27　東京ケーブルネットワーク向けに組み込み出荷
20260403　完了へ移動</t>
    </r>
  </si>
  <si>
    <t>HSEC8-120-01-L-D</t>
  </si>
  <si>
    <t>2026.02/05</t>
  </si>
  <si>
    <t>2026.03/27</t>
  </si>
  <si>
    <t>LCD1~4点灯せず
SW基板R20,R21半田量が異常に少ない(CN1/IC23間導通無し、半田がついていない)</t>
  </si>
  <si>
    <t>260307 修正後、キーエンス撮影完了
20260403　完了へ移動</t>
  </si>
  <si>
    <t>6DIST-MAIN</t>
  </si>
  <si>
    <t>画像出力せず（RL不良）リレーコイルON制御時</t>
  </si>
  <si>
    <t>2026/2/18 リレー制御+3.01V
2026/2/19 リセット側に固定したまま。押しても切り替わらない (50716M)
2026/3/18 RL500交換し改善、調整へ
20260403　完了へ移動</t>
  </si>
  <si>
    <t>2026/2/18 リレー制御+3.01V
2026/2/19 リセット側に固定したまま。押しても切り替わらない
2026/3/31 RL500交換し改善、調整へ
20260403　完了へ移動</t>
  </si>
  <si>
    <t>LCD1点灯せず、LCD10以降付いてないものがあった？すぐに復帰した為場所不明</t>
  </si>
  <si>
    <t>260302 LCD10以降は現象が確認できない為、一旦保留にし、LCD1の取り外し依頼
260305 LCD1交換で復帰、品質異常発行予定
20260403　完了へ移動</t>
  </si>
  <si>
    <t>CN2破損基板の部品交換品で、
CN2 3か所半田不十分(一部穴が開いている)
a8,a17,a25ピン</t>
  </si>
  <si>
    <t>260302 センターへ返却、最短(3/6デットライン)で修正依頼
260306 修正品組配
20260403　完了へ移動</t>
  </si>
  <si>
    <t>-→17243163</t>
  </si>
  <si>
    <t>RL1-8 に未半田あり</t>
  </si>
  <si>
    <t>2026/3/16 RL1-8ピンを押すと正常に動作する。MFGセンターへ返却
2026/3/23 MFGセンターより返却。動作確認OK。組配へ
2026/3/26　組配完了。検査完了。（門脇）
2026/3/31　入庫完了。（門脇）
20260403　完了へ移動</t>
  </si>
  <si>
    <t>周波数不良1.023992（1.023994まで）</t>
  </si>
  <si>
    <t>IC61交換後、改善を確認。調整へ
20260403　完了へ移動</t>
  </si>
  <si>
    <t>周波数不良1.023993（1.023994まで）</t>
  </si>
  <si>
    <t>RL17,RL19リレー不良 (50903M)
RL17:オペレートに切り替わらない
RL19:Bypassに切り替わらない</t>
  </si>
  <si>
    <t>260330 部品出庫依頼
260331 別製品用に出庫していたリレーを借用して修理完了
20260403　完了へ移動</t>
  </si>
  <si>
    <t>RL17,RL19</t>
  </si>
  <si>
    <t>2026/1/27 MFGセンターへ返却予定
2026/1/28 MFGセンターへ返却
2026/2/16 MFGセンターより受取り、組配へ
20260406　完了へ移動</t>
  </si>
  <si>
    <r>
      <rPr>
        <rFont val="Roboto"/>
        <color rgb="FF434343"/>
      </rPr>
      <t>〇</t>
    </r>
    <r>
      <rPr>
        <rFont val="Roboto"/>
        <strike/>
        <color rgb="FF434343"/>
      </rPr>
      <t>△</t>
    </r>
    <r>
      <rPr>
        <rFont val="Roboto"/>
        <color rgb="FF434343"/>
      </rPr>
      <t xml:space="preserve">
組込前基板
修理完了</t>
    </r>
  </si>
  <si>
    <t>260331 シリアル確定していたので完了処理</t>
  </si>
  <si>
    <t>2026/1/28 MFGセンターへ返却
2026/2/16 MFGセンターより受取り、組配へ
20260406　完了へ移動</t>
  </si>
  <si>
    <r>
      <rPr>
        <rFont val="Roboto"/>
        <color rgb="FF434343"/>
      </rPr>
      <t>〇</t>
    </r>
    <r>
      <rPr>
        <rFont val="Roboto"/>
        <strike/>
        <color rgb="FF434343"/>
      </rPr>
      <t>△</t>
    </r>
    <r>
      <rPr>
        <rFont val="Roboto"/>
        <color rgb="FF434343"/>
      </rPr>
      <t xml:space="preserve">
組込前基板
修理完了</t>
    </r>
  </si>
  <si>
    <r>
      <rPr>
        <rFont val="Roboto"/>
        <color rgb="FF434343"/>
      </rPr>
      <t>〇</t>
    </r>
    <r>
      <rPr>
        <rFont val="Roboto"/>
        <strike/>
        <color rgb="FF434343"/>
      </rPr>
      <t>△</t>
    </r>
    <r>
      <rPr>
        <rFont val="Roboto"/>
        <color rgb="FF434343"/>
      </rPr>
      <t xml:space="preserve">
組込前基板
修理完了</t>
    </r>
  </si>
  <si>
    <r>
      <rPr>
        <rFont val="Roboto"/>
        <color rgb="FF434343"/>
      </rPr>
      <t>〇</t>
    </r>
    <r>
      <rPr>
        <rFont val="Roboto"/>
        <strike/>
        <color rgb="FF434343"/>
      </rPr>
      <t>△</t>
    </r>
    <r>
      <rPr>
        <rFont val="Roboto"/>
        <color rgb="FF434343"/>
      </rPr>
      <t xml:space="preserve">
組込前基板
修理完了</t>
    </r>
  </si>
  <si>
    <r>
      <rPr>
        <rFont val="Roboto"/>
        <color rgb="FF434343"/>
      </rPr>
      <t>〇</t>
    </r>
    <r>
      <rPr>
        <rFont val="Roboto"/>
        <strike/>
        <color rgb="FF434343"/>
      </rPr>
      <t>△</t>
    </r>
    <r>
      <rPr>
        <rFont val="Roboto"/>
        <color rgb="FF434343"/>
      </rPr>
      <t xml:space="preserve">
組込前基板
修理完了</t>
    </r>
  </si>
  <si>
    <t>SRC5（S14）　縦線</t>
  </si>
  <si>
    <t>2026/2/3　センターへ部品取り外し依頼。
2026/3/12　センターより返却、部品取付け。修理完了。
2026/3/13　検査完了。
2026/4/3　入庫完了。
20260406　完了へ移動</t>
  </si>
  <si>
    <t>ー→17243150</t>
  </si>
  <si>
    <t>IN2 バイパス側に導通不良。
リレー制御電圧OFF時に導通なし</t>
  </si>
  <si>
    <t>2026/2/4 MFGセンターよりBNC実装前のリレー動作確認依頼　(50515M)
2026/2/6 MFGセンターへ返却
2026/2/24　修理完了※調整グループにて正常動作確認。
2026/3/5　検査完了。
2026/3/11　入庫完了。
20260406　完了へ移動</t>
  </si>
  <si>
    <t>R25169</t>
  </si>
  <si>
    <t>フロントパネル傷</t>
  </si>
  <si>
    <t>2026/2/27　再塗装を依頼。（見積依頼）
2026/3/4　再塗装の為、フロントを引き渡しました。
2026/3/17　再塗装完了。
2026/3/23　検査完了。
2026/4/3　入庫完了。
20260406　完了へ移動</t>
  </si>
  <si>
    <t>3M219568-1</t>
  </si>
  <si>
    <t>フロントパネルインサツズ</t>
  </si>
  <si>
    <t>D020縦線（S34）</t>
  </si>
  <si>
    <t>2026/3/2　センターへ部品取り外し依頼。※2026/3/17希望納期（SW基板）
2026/3/12　センターより返却、部品取付け。修理完了。
2026/3/13　検査完了。
2026/4/3　入庫完了。
20260406　完了へ移動</t>
  </si>
  <si>
    <t>S34</t>
  </si>
  <si>
    <t>R23990
仕掛残2台</t>
  </si>
  <si>
    <t>-→16590669</t>
  </si>
  <si>
    <t>追加改造のDC/DCの出力無し</t>
  </si>
  <si>
    <t>仕掛週報C 残12/50
20240726　[コメント(秦)]ケーブルが断線していない事は確認済ですか？
20250107　小基板から電源出力されておらず。交換用小基板あるか調査。
20250130　小基板を再製作する方針。時期は未定。
20250821　石川さんから子基板は製作する方針との事。
20250908　石川さんが、サービスでの必要分含め早々に子基板を手配するか検討中。
20260212　子基板実装完了。ワイヤリング入手待ち。
20260316　ワイヤリングあり交換準備中。
2026/3/18 DC/DC交換実施 → 出力電圧 0.9V、システム起動確認
2026/4/15　検査完了・入庫完了。（門脇）
20260420　完了へ移動</t>
  </si>
  <si>
    <t>未定</t>
  </si>
  <si>
    <t>ー→13560316</t>
  </si>
  <si>
    <t>出力側　スロット⑥OUT⑩出力しない</t>
  </si>
  <si>
    <t>2026/3/3　QMにて検査機で確認していただいたところ
    CN22-1ghピンに異常が見られました。部品出庫依頼（CN22）
2026/3/6　部品入手・センターへ修正依頼。
                 （2026/3/19希望納期）
2026/4/14　センターより返却。
2026/4/16　検査完了・入庫完了。
20260420　完了へ移動</t>
  </si>
  <si>
    <t>CN22</t>
  </si>
  <si>
    <t>3QG0973031</t>
  </si>
  <si>
    <t>R25224</t>
  </si>
  <si>
    <t>Danteモジュール</t>
  </si>
  <si>
    <t>Danteモジュール書き込みできない。（失敗した？）</t>
  </si>
  <si>
    <t>25/9/24 DANTE CONTROLLER表示
　　　　「プライマリーリーダクロック不明」
　　　  HVS-DNTに実装しても同様→品質異常発行
2026/3/18　購買成田さんより、品質異常戻り分の現品を
　　　　　受け取りました。※正常動作確認しました。
2026/3/19　検査完了。
2026/4/9　入庫完了。
20260420　完了へ移動</t>
  </si>
  <si>
    <t>3QJZBN301064</t>
  </si>
  <si>
    <t>R25368</t>
  </si>
  <si>
    <t>2026/3/5　15vショート　C129にハンダ屑が付着してショート。
　　　　　L2に部品が燃えたような跡がある。
　　　　　センターへ修正依頼（2026/3/19希望納期）
2026/3/24　センターより返却、正常動作確認。
2026/4/10　検査完了・入庫完了。
20260420　完了へ移動</t>
  </si>
  <si>
    <t>L2？</t>
  </si>
  <si>
    <t>PUW_B</t>
  </si>
  <si>
    <t>19080298→ー
→19080304</t>
  </si>
  <si>
    <t>PS2側FAN　LED③点灯しない。</t>
  </si>
  <si>
    <r>
      <rPr>
        <rFont val="Roboto"/>
        <color rgb="FF434343"/>
      </rPr>
      <t>2026/3/6　NO.19080298はPSユニットを交換して対応。
2026/3/6　POWER_B　CARD　CN2ピン折れが有り。
 ※</t>
    </r>
    <r>
      <rPr>
        <rFont val="Roboto"/>
        <color rgb="FFFF0000"/>
      </rPr>
      <t>同一不良が同作番で計3件発生しています。（項番1973・1990）</t>
    </r>
    <r>
      <rPr>
        <rFont val="Roboto"/>
        <color rgb="FF434343"/>
      </rPr>
      <t xml:space="preserve">
　部品出庫依頼中です。
2026/3/9　手配表発行・現品票発行。
2026/3/10　センターへリワーク依頼。（2026/3/19希望納期）
2026/3/23　リワーク完了。組配工程へ戻し。
2026/3/24　組配完了後正常動作確認して組配工程へ戻し。
2026/4/2　NO.19080304・PS1側へ引当※組配完了・検査完了。
2026/4/9　入庫完了。
20260420　完了へ移動</t>
    </r>
  </si>
  <si>
    <t>IN1a　12G入力エラー出る。70m.50mNG　ショートはOK
70ｍ→パソロジのみNG　カラーバー・静止画はOK
3GもNG　HDはOK</t>
  </si>
  <si>
    <r>
      <rPr>
        <rFont val="Roboto"/>
        <color rgb="FF434343"/>
      </rPr>
      <t>2026/4/1　項番</t>
    </r>
    <r>
      <rPr>
        <rFont val="Roboto"/>
        <color rgb="FFFF0000"/>
      </rPr>
      <t>1694から移行</t>
    </r>
    <r>
      <rPr>
        <rFont val="Roboto"/>
        <color rgb="FF434343"/>
      </rPr>
      <t>※FA-1616MFが廃棄となった為。
　　　　修理は完了しているので、組配グループへ引き渡し。
2026/4/2　NO.19080304へ引当※組配完了・検査完了。
2026/4/9　入庫完了。
20260420　完了へ移動</t>
    </r>
  </si>
  <si>
    <t>IC73→IC72</t>
  </si>
  <si>
    <t>3QA6Z6G12341</t>
  </si>
  <si>
    <t>6DIST_MAIN</t>
  </si>
  <si>
    <t>2026/4/7 リレー制御+3.02V。押すと動作して切り替わる (50716M)
2026/4/8 RL500交換、調整へ
20260420　完了へ移動</t>
  </si>
  <si>
    <t>E03883-2</t>
  </si>
  <si>
    <t>RL13,RL17リレー不良 (50903M)
RL13:Operate、RL17：Bypassに切り替わらない</t>
  </si>
  <si>
    <t>260408 部品出庫依頼
260410 別製品で出庫した分を借用して交換
20260420　完了へ移動</t>
  </si>
  <si>
    <t>RL13,RL17</t>
  </si>
  <si>
    <t>4200MFに組込すると映像出力無し</t>
  </si>
  <si>
    <t>2025/5/9 別環境でも再現する。Webより基板認識可能。Ver表示する。出力映像はイニシャル画面から表示せず、乱れた映像となる。
20250513　開発にて調査。
　IC82のX線検査、リワークを行う
2025/7/29 C1229交換 ⇒ 改善せず(開発依頼)
2025/9/9 項1567の結果待ち。リワーク成功なら、FPGA交換予定。
2025/09/16　項番1567でOKそうなので、FPGA交換予定。
2025/9/17 在庫あり、出庫依頼提出
2025/10/24 リワーク完了
2025/10/27 起動エラーとなり、開発へ相談。
2025/12/18　開発担当案件(秦さんファイルより)
20251219　
2026/1/9 RS開発部へ調査依頼のため引き渡し
20260122　開発調査結果(現品製造戻り）：
F2のMEM4のキャリブレーションエラーを確認。但しこのSDI基板を挿すとMAINのDSPが起動しなくなるのでそれだけではなさそう。
元々はIC82(F2)の11LaneのPOS側だけがバイアスが0V近辺、それ以外は600mV近辺という点を発見してFPGA交換しているので事象が変化している。
一旦DSPを起動させてみてアドレスデコーダで何が見えてないのか見てみたい。電源起動時にGNDを繋げておいて基板を挿してみるか。C1(0xb0a0000)､
F1（0xb0e00000)､F3(0xb1200000)はアドレスでコードでアクセス出来たが、
F2(0xb1000000)はアクセスが読めなかったり、時々読めたりと不安定な挙動に見える。DSPが立ち上がらないのはこれが要因と推測される。もともと動いてたのでFPGAのリワークが怪しい(半田不良)=&gt;要X線検査｡
キャリブレーションエラーについて確認してみよう。
=&gt;CPUを騙して起動すると基板情報無しになっている為、バージョン変更でき無い。sofで試してみるか。
2026/1/22 FPGAのリワーク失敗の可能性があるため、X線検査依頼。開発部より受取り。
→20260123　FPGAリワークNGの為、廃棄の方針。
20260331　55期上期廃棄。
20260421　完了へ移動。５月に現物廃棄予定。</t>
  </si>
  <si>
    <t>R24417
仕掛残：13
調整済み：5→6
未調整：1→0
リワーク失敗：6
その他不良：1（項1684）</t>
  </si>
  <si>
    <t>36枚</t>
  </si>
  <si>
    <r>
      <rPr>
        <rFont val="Arial"/>
        <color theme="1"/>
      </rPr>
      <t xml:space="preserve">開発調査の結果、DCDC制御ICが朝日エンジニアからの購入品でNG。
アヴァネット購入品はOK。36枚をアヴァネット購入品へリワークする。
2024.06/11 リワーク出し。
2024.06/28 1式受取、改善しなかったので、IC4のリワークは中止。
2024.09/09 開発再調査の結果、CPU（IC7）のリワーク。20式IC7リワーク依頼。
20式中14式復帰・14式出荷。
 024.10/30 追加17式 IC7リワーク依頼。
17式復帰・1式出荷・3式引き当て返却。
2024.11/22 1式出荷 S/N:19170789
2025.03/17 6式出荷 S/N:19170790~795
2025.08/04 7枚：S/N:19170796~802（USF-10IPSDI12-FS-Nで調整済み）
</t>
    </r>
    <r>
      <rPr>
        <rFont val="Arial"/>
        <b/>
        <color rgb="FFFF0000"/>
      </rPr>
      <t xml:space="preserve">6枚：S/N:19170804~809（リワーク失敗）→ 55期上期廃棄
　　　20260421　完了へ移動。５月に現物廃棄予定。
</t>
    </r>
    <r>
      <rPr>
        <rFont val="Arial"/>
        <color theme="1"/>
      </rPr>
      <t>2025.09/02 2式出荷 S/N:19170796~797
2025.11/26 未調整1確認 S/N:19170803（USF-10IPSDI12-FS-Nで調整済み）</t>
    </r>
  </si>
  <si>
    <t>3QA6Z932P30A1
 MC32PF3000A1EP
 NXP
 PRCUBA/PRASUAはNG.
 PRAVEAはOK.</t>
  </si>
  <si>
    <t>△
6枚 廃棄
項番1684で1枚廃棄</t>
  </si>
  <si>
    <t>55期廃棄予定</t>
  </si>
  <si>
    <r>
      <rPr>
        <rFont val="Roboto"/>
        <color rgb="FF434343"/>
      </rPr>
      <t>HVS-490</t>
    </r>
    <r>
      <rPr>
        <rFont val="Roboto"/>
        <b/>
        <color rgb="FFFF0000"/>
      </rPr>
      <t>MAIN</t>
    </r>
  </si>
  <si>
    <t>M/E2 DVE ONで映像無し。
 FLX3,4もDVE ONで映像無し。</t>
  </si>
  <si>
    <t>25/3/26 FPGAかDDR3
25/6/18  DDR3(IC39～46)手配
25/7/4 部品入手
25/7/8 リワーク依頼(8/22納期)
25/7/24 リワーク上がり→改善せず。
250724 55期上期廃棄。
20260421　完了へ移動。５月に現物廃棄予定。</t>
  </si>
  <si>
    <t>IC39～46</t>
  </si>
  <si>
    <t>R24322</t>
  </si>
  <si>
    <t>MFR-41CPU</t>
  </si>
  <si>
    <t>起動後10分程でFRONT,REAR,FAN,電源のステータスが異常表示となる</t>
  </si>
  <si>
    <r>
      <rPr>
        <rFont val="Roboto"/>
        <color rgb="FF434343"/>
      </rPr>
      <t>20240726　[コメント(秦)]CPU単体(1枚)でも発生しますか？発生しない場合、どちらかのCPU基板が相手側のデータ
を壊している可能性が高いので、1枚づつ他のCPU基板と
交換して不具合基板を特定して下さい。上記切り分け後、更なる解析が必要となります。
⇒単体で発生、ネジを緩めてから再現せず
20250502 本体18580085で再確認し、約20分後に再現した。本体を不良に出来ず41CPUと入れ替えた経緯もあった為、確認SLOTはCPU1で、CPU2は未実装で確認実施。MFR-4100(R24318)のMTX1枚が修理不可となった為、R24322が残1になった際にCPU基板を入れ替え使用するか判断を行う予定。</t>
    </r>
    <r>
      <rPr>
        <rFont val="Roboto"/>
        <color rgb="FFFF0000"/>
      </rPr>
      <t xml:space="preserve">
20250718 半田不良を疑い、ヒートサイクル実施後再確認。現象変わらず
原因の特定が困難な為、次回廃棄検討(※3台別の本体で確認し、3台全てで同現象)
</t>
    </r>
    <r>
      <rPr>
        <rFont val="Roboto"/>
        <color rgb="FF434343"/>
      </rPr>
      <t>20260401　55期上期廃棄。
20260421　完了へ移動。５月に現物廃棄予定。</t>
    </r>
  </si>
  <si>
    <t>FV開発部で使用し、返却後に基板認識せず</t>
  </si>
  <si>
    <t>2024/7/26 FV開発部にて調査中
2025/6/23 FPGA交換とFVよりアドバイスあったが、費用等含め修理するか廃棄するかは製造に任せるとのこと
20251008　開発より引き取り再確認予定。
20251010    開発より引き取り後、金端洗浄し治具PCにて認識するか再確認したが認識せず。他のスロットに差し込んでみると認識したが、Linkup Speedの値が2×4と表示された。(正常値は2×8) FPGA交換実施するか要相談中。
2026/3/11   FPGA交換後に改善した実績が殆どないため、開発からは廃棄又は交換しても治具扱い推薦と情報有り
20260331　55期上期廃棄。製販管理指示。
20260421　完了へ移動。５月に現物廃棄予定。</t>
  </si>
  <si>
    <t xml:space="preserve">
C</t>
  </si>
  <si>
    <t>IC101(+2.5V_A_GXB_F1)がGNDへ短絡</t>
  </si>
  <si>
    <t>2024/9/2 改造指示書(S12402)のRA68-6のパターンカット未処理。
 ・パターンカットしたが改善せず。
 ・IC101-1の足上げしたが短絡は改善せず。
2025/9/9 FPGAのリワーク実施検討中(150k￥)
20251001　MAIN基板の原価約¥298.5kなので、原価の半額を占めるFPGA交換はNGと判断し廃棄。
20260331　55期廃棄予定。
20260421　完了へ移動。５月に現物廃棄予定。</t>
  </si>
  <si>
    <t>SDI(HD,3G)のアライメントジッタ大</t>
  </si>
  <si>
    <r>
      <rPr>
        <rFont val="Roboto"/>
        <color rgb="FF434343"/>
      </rPr>
      <t xml:space="preserve">2024/11/6 アライメントジッタ 0.26UI
項番1123の筐体を調査中。
</t>
    </r>
    <r>
      <rPr>
        <rFont val="Roboto"/>
        <color rgb="FFFF0000"/>
      </rPr>
      <t xml:space="preserve">2025/3/17 IC48部品出庫依頼
</t>
    </r>
    <r>
      <rPr>
        <rFont val="Roboto"/>
        <color rgb="FF434343"/>
      </rPr>
      <t>2025/4/7 リワーク上がり。
　アライメントジッタ 1.5G-SDI:0.16UI、　3G-SDI:0.32UI
　IC83(FPGA)の冷却で改善するが電源再起動で戻る。CPUリセットは影響無し
　X2に振動を印加するとタイミングジッタが増大するがアライメントは影響無し
20251216　項番1123同様、IC83のFPGA交換予定。
20260331　55期上期廃棄。製販管理指示。
20260421　完了へ移動。５月に現物廃棄予定。</t>
    </r>
  </si>
  <si>
    <t>IC48
IC83？</t>
  </si>
  <si>
    <t>3QA6Z5L1983QE
( LMH1983SEQ/NOPB )</t>
  </si>
  <si>
    <t>項番1004,1123の結果待ち。</t>
  </si>
  <si>
    <t>IN2のSDI入力AUDIO信号が出力されない。SDIは正常に表示する</t>
  </si>
  <si>
    <t>2025/7/23 HDMI_OUTの選択をIN2にするとAudioデータがなくなる(FPGAより出力)
　SDIの映像は正常に表示されている。IC2(FPGA):160k￥
20251008　基板原価 ¥168,777に対しFPGA価格 ¥151,209 と高額なので、リワークせず廃棄。
20260401　55期上期廃棄。
20260421　完了へ移動。５月に現物廃棄予定。</t>
  </si>
  <si>
    <t>IC2？</t>
  </si>
  <si>
    <t>3QA7Z5SGSD8FG
(3QA7Z5SGSD8FG)</t>
  </si>
  <si>
    <t>OUT3,OUT4出力しない。
 Frontパネルにアラーム
 GUI FPGA1:N/N FPGA2:E/E</t>
  </si>
  <si>
    <t>2025/3/14 IC62(TPS70) +1.2V_F2～GNDショート
  C1592破損？ MFGセンターへ返却
2025/4/14 MFGセンターより受取
25/4/15 ショートは改善、組み込み依頼中
20260331　55期上期廃棄。製販管理指示。
20260421　完了へ移動。５月に現物廃棄予定。</t>
  </si>
  <si>
    <t>C1592</t>
  </si>
  <si>
    <t>3QCX8X50E475
( GRM035R60E475ME01D )</t>
  </si>
  <si>
    <t>POWER_B</t>
  </si>
  <si>
    <t>電源2側のPOWER LED緑点灯せず
 CN2-10ピン折れ
組配作業中に発生</t>
  </si>
  <si>
    <t>2024/11/7 現品は基板交換済。部品出庫依頼
2024/11/21 リワーク依頼
224/12/6 リワーク完了し、2課へ
2025/5/16　組配グループへ確認したところ、他に不足基板があり組配待ち。
20260331　55期上期廃棄。製販管理指示。
20260421　完了へ移動。５月に現物廃棄予定。</t>
  </si>
  <si>
    <t>INPUT LOCKがきかない</t>
  </si>
  <si>
    <t>2025/1/21 現象確認。原因ヶ所不明
2026/1/7 RS開発部へ調査依頼のため引き渡し
20260210　開発調査結果：(現品製造戻り)
入力1/2/3/4/5/6/7/8全てで反応しなかった。映像は出ている。
回路はXPT(IX28)=&gt;F2(IC72)のserdesで受信し､f/v/hをCPLD(IC64)へ渡している。筺体に入れてB.B.の動きはどうかを確認してみよう。B.B.lockの動きとしては、4200ifでB.B.を受けてf/v/hをmotherを介してMainのcpldに渡している。
=&gt;B.B.にはロックしている。
映像は抜けてるのでXPT=&gt;f2=&gt;Cpldのパスに問題がありそう。
XPT=&gt;F2はAY1/2(回路図上SDI_F2_OUT9n/pが該当)C1080、C1081に信号が来てるか？
F2→CPLDはN23：DEBUG_CF2_D0､M23：DEBUG_CF2_D1､L24：DEBUG_CF2_D2が該当ただしこれらはBGAtoBGA直結なので触れない。
=&gt;C1080で信号が来てない。この上流はXPTなので
　XPT(IC28)のAE17が未半田であればこの現象は成立する。
　半田が付いているのであればIC28の故障の疑いあり。
X線検査を依頼して未半田であれば再加熱、未半田でなければIC28の交換をお願いする。
20260331　55期上期廃棄。製販管理指示。
20260421　完了へ移動。５月に現物廃棄予定。</t>
  </si>
  <si>
    <t>R24994</t>
  </si>
  <si>
    <t>MBP-1100VS-P4S1として組込み後、出力特性にてCN3のみ画出ず。
モニタ NO SYNC表示。</t>
  </si>
  <si>
    <t>25/6/19 CN5 C17とC18ショート 部品交換（9000円）より基板再製作（8300円）の方が安価。→廃棄の方針
20250717　55期上期廃棄。
20260421　完了へ移動。５月に現物廃棄予定。</t>
  </si>
  <si>
    <t>R24529→R24641？</t>
  </si>
  <si>
    <t>-→19080231？</t>
  </si>
  <si>
    <t xml:space="preserve">LOCKしない　</t>
  </si>
  <si>
    <r>
      <rPr>
        <rFont val="Roboto"/>
        <color rgb="FF434343"/>
      </rPr>
      <t xml:space="preserve">2025/3/18 REF_OUT(IO_A CD)はロックしている。映像（H,V）流れる CN7出庫依頼。
現象はMAIN基板に発生する。
2025/3/19 部品入手
</t>
    </r>
    <r>
      <rPr>
        <rFont val="Roboto"/>
        <color rgb="FFFF0000"/>
      </rPr>
      <t xml:space="preserve">20250324　4/25納期でリワーク出し。
</t>
    </r>
    <r>
      <rPr>
        <rFont val="Roboto"/>
        <color rgb="FF434343"/>
      </rPr>
      <t>25/4/7 リワーク戻り　検証の為、組配依頼
2025/5/29　変わらず　BlockAのみ　※BlockBはOK
25/7/28 IC1(非常に高価)かIC33～(DDR4)*8個が怪しい
20260331　55期上期廃棄。製販管理指示。
20260421　完了へ移動。５月に現物廃棄予定。</t>
    </r>
  </si>
  <si>
    <t>3QG3F5005S082
( SEAF-50-05.0-S-08-2-A-K-TR )</t>
  </si>
  <si>
    <t>R23870</t>
  </si>
  <si>
    <t>新品不良による基板交換後の返却分？
起動後、直ぐに通信出来なくなる</t>
  </si>
  <si>
    <t>2025/3/19 起動直後は動作しているが暫くすると制御出来なくなる。LAN通信も断となる。
映像は表示する。
2025/12/16 開発棚？
20260203　これを基板単体で受け取ってるみたい。
火入れして3時間くらいは見たが問題起きてない。Ping疎通、LM共にOK
メモリチェックOK。一旦製造に返却しよう。追加の条件が見つかったらその時に改めてチェックしよう。
=&gt;2/3 製造へ返却。製造にてヒートラン実施予定。
20260331　55期上期廃棄。製販管理指示。
20260421　完了へ移動。５月に現物廃棄予定。</t>
  </si>
  <si>
    <t>E04708</t>
  </si>
  <si>
    <t>20250808　行方不明。
2025/11/21 RS開発部作業台に現品確認。
20260115　製造へ返却済。
20260331　55期廃棄予定。製販管理指示。
20260421　完了へ移動。５月に現物廃棄予定。</t>
  </si>
  <si>
    <t>SLOT Cに基板を入れると画が出ない。</t>
  </si>
  <si>
    <t>2026/1/7 RS開発部へ調査依頼のため引き渡し
20260210　開発調査結果：(現品製造戻り)
単体で映像出力を確認。
SlotCにSDI基板を入れると映像が異常となることを確認。
DebugモニタでSlotCのC2/F3/4/5へのアクセスはOK
VideoはSlotCのF3→F2→F1→MAINのF1→F2の順。
SlotCのF2を先頭に変えてみる：NG
SlotCのF1を先頭に変えてみる：NG
MAINのF1を先頭に変えてみる：OK
この状態ではMAINの上にSDIがいるので確認出来ない。
MAINからのclk出力がNGなのか､SlotCからの受信端側がNGなのかもしれないのでその辺を見ていこう。受信端はどうやって見るか？
バイアス電圧は見れる気がするので基板単体でもバイアス電圧をトランシーバーの12ch見ていこう。難しければFPGAのデザインを修正してどのレーンが死んでるのかは確認できると思われる。
=&gt;CLK波形は問題ない。同基板のFPGAへの波形とは異なるがSlotCへの波形とSlotBへの波形は同じ。LVDSなので終端されてない状態の反射が見えていると推測される。バイアス電圧の方はどうか？
C869：L11のp(IC69-B2)だけバイアスが0Vで他は800mVくらいあった。
B2が未半田であれば説明着くかと思ったが、今回は基板が刺さってない状態で波形を取得しており、反対側はオープン。電源OFF時と波形は同じになるように思ったが、同じにはならず、GXB電源のノイズと思われる波形がバイアス0Vに重畳されている観測している。これは他のch(L12とか)に重畳されているのと同じ。FPGAのピン周囲はGNDとL11nとL12nだけなので半田ブリッジすると他のchも影響を受けるのでそれではない。近くのGNDを測定してみると、同じ波形だった。テスターで確認してみよう。
=&gt;GNDと導通を確認。
B2が周囲のGNDと半田ブリッジしている可能性あり。
製造へ返却し、C869を外してもFPGA側(IC69)のパッドとGNDが導通しているかを確認してもらおう。導通していれば半田ブリッジ濃厚。
20260331　55期上期廃棄。製販管理指示。
20260421　完了へ移動。５月に現物廃棄予定。</t>
  </si>
  <si>
    <t>R24164</t>
  </si>
  <si>
    <t>MFR-9SDI12GA</t>
  </si>
  <si>
    <t>INPUT CARD</t>
  </si>
  <si>
    <t>稀に立ちごけする。LEDの点滅が無い、GUI上はCardSlotErr表記
発生条件不明。起動するときは起動し、コケる時はコケる。</t>
  </si>
  <si>
    <t>2025/5/28 入力漏れ 仕掛に戻す度発生する為、筐体に依存していない？
20251029 発生頻度低で電源入り切りのみで復帰する為、原因の切り分け不可。メンテ(デモ機)の出荷(どちらも予定なし)で使用するか、廃棄するかの検討が必要
20260331　55期上期廃棄。製販管理指示。
20260421　完了へ移動。５月に現物廃棄予定。</t>
  </si>
  <si>
    <t>R24293</t>
  </si>
  <si>
    <t>石川(組配工程)</t>
  </si>
  <si>
    <t>C1643/C1647がパットごと剥がれている</t>
  </si>
  <si>
    <t>2025/5/29 12G-SDIパターンのため修正不可、廃棄する方向
2025/5/30 実装時に破損させており、調整工程は認知していない不良の為、担当者を確認者に変更 
20250717　55期上期廃棄
20260421　完了へ移動。５月に現物廃棄予定。</t>
  </si>
  <si>
    <t>C1643,C1647</t>
  </si>
  <si>
    <t>3QCX7B0G475</t>
  </si>
  <si>
    <t>R24455
仕掛残2台</t>
  </si>
  <si>
    <t>17242890へ引当</t>
  </si>
  <si>
    <t>正常起動せず。リレーがチャタリング</t>
  </si>
  <si>
    <t>2025/6/9  IC125出力(+1.5V_F1)とGNDショート  R814除去、後段回路に原因あり
25/6/11 Q26出庫依頼
25/7/4 部品入手
25/7/8 リワーク依頼(8/22納期)                
25/7/23 リワーク上がり→改善せず
25/7/24 +1.5V_F1 チップ部品目視確認異常なし、IC24または、IC29～36か？
20260316　開発でもショート個所の特定は難しいとの回答あり、廃棄の方針。
2026/3/31　廃棄処理（入庫票済）廃棄棚へ移動しました。
20260331　55期上期廃棄。製販管理指示。
20260421　完了へ移動。５月に現物廃棄予定。</t>
  </si>
  <si>
    <t>Q26</t>
  </si>
  <si>
    <t>LAN通信しない、T10・T11が基板パターンごと部品が捥げていた</t>
  </si>
  <si>
    <t>廃棄予定
20250717　55期上期廃棄
20260421　完了へ移動。５月に現物廃棄予定。</t>
  </si>
  <si>
    <t>R24417</t>
  </si>
  <si>
    <t>電源投入後、IC56及び周辺部品焼損</t>
  </si>
  <si>
    <t>△
項番1115で6枚廃棄</t>
  </si>
  <si>
    <t>R24529（R24533）</t>
  </si>
  <si>
    <t>IO-A　CARDが
怪しい</t>
  </si>
  <si>
    <t>19080164
（19110122）</t>
  </si>
  <si>
    <r>
      <rPr>
        <rFont val="Roboto"/>
        <color rgb="FF434343"/>
      </rPr>
      <t xml:space="preserve">2026/2/25　部品出庫依頼（2026/3/4希望納期）
2026/3/2　部品入手
2026/3/3　手配表作成依頼。
2026/3/4　手配表発行済・センターへリワーク依頼
　　　　　（2026/4/3納期）
2026/3/26　リワーク完了・正常動作確認。組配工程へ戻して
　　　　　　組配を依頼しました。
</t>
    </r>
    <r>
      <rPr>
        <rFont val="Roboto"/>
        <b/>
        <color rgb="FFFF0000"/>
      </rPr>
      <t>20260331　55期上期廃棄。製販管理指示。
20260421　完了へ移動。５月に現物廃棄予定。</t>
    </r>
    <r>
      <rPr>
        <rFont val="Roboto"/>
        <color rgb="FF434343"/>
      </rPr>
      <t xml:space="preserve">
2026/4/1　FA-1616MFが廃棄となった為、FA-16IO-HB12Gを
　　　　　取り外して組配グループへ引き渡し。</t>
    </r>
    <r>
      <rPr>
        <rFont val="Roboto"/>
        <color rgb="FFFF0000"/>
      </rPr>
      <t>2084へ移行</t>
    </r>
    <r>
      <rPr>
        <rFont val="Roboto"/>
        <color rgb="FF434343"/>
      </rPr>
      <t>。</t>
    </r>
  </si>
  <si>
    <t>D1の部品が破損している</t>
  </si>
  <si>
    <t>2025/10/27 部品出庫依頼
2025/11/6 D1交換し、組配へ
20260331　55期上期廃棄。製販管理指示。
20260421　完了へ移動。５月に現物廃棄予定。</t>
  </si>
  <si>
    <t>D1</t>
  </si>
  <si>
    <t>3QB3L115VEGW</t>
  </si>
  <si>
    <t>R23173</t>
  </si>
  <si>
    <t>OUT13(CN8)出力エラー。</t>
  </si>
  <si>
    <t>2026/3/16 RS開発部へ調査依頼の基板を回収。
20260331　55期上期廃棄。製販管理指示。
20260421　完了へ移動。５月に現物廃棄予定。</t>
  </si>
  <si>
    <t>E04713</t>
  </si>
  <si>
    <t>R25238</t>
  </si>
  <si>
    <t>MFR-31TBAR</t>
  </si>
  <si>
    <t>基板が歪んでいる</t>
  </si>
  <si>
    <t>2025/12/08 板金に合わせて歪み箇所を確認の予定
2026/2/9 ねじ締め完了。異常はありません。
20260427　完了へ移動</t>
  </si>
  <si>
    <t>E05108</t>
  </si>
  <si>
    <t>R25367
(R25395）</t>
  </si>
  <si>
    <t>FA-9600
(FA-96PS）</t>
  </si>
  <si>
    <t>17243117
（17252851）</t>
  </si>
  <si>
    <t>SDI IN1 ケーブル長補償(パソロジ)12G-SDIでIN1がカウントアップする。また、波形モニターにてノイズも発生している。
全てのケーブル、信号源で行っても改善されず。</t>
  </si>
  <si>
    <t>2026/2/10　50ｍでもNG　2mではOK　※3GはOK
2026/3/16　部品出庫依頼。※2026/3/30希望納期
2026/3/25　部品入手。手配表作成依頼。
2026/3/27　センターへリワーク依頼。※2026/4/17希望納期
2026/4/13　リワーク完了しセンターより返却済
　　　　　　正常動作確認して組配グループへ組配依頼。
2026/4/17　検査完了。※5/15出荷分へ引当予定。
2026/4/23　入庫完了。
20260427　完了へ移動</t>
  </si>
  <si>
    <t>IC44？</t>
  </si>
  <si>
    <t>3QA6ZL1219RTW</t>
  </si>
  <si>
    <t>C1707横、CN40 IC側の足、芯線付近の足、
C1718のコンデンサ横に半田屑(4か所)</t>
  </si>
  <si>
    <t>260202 箇所が多すぎた為、センターへ返却(2/4希望)
26/2/4 MFGセンターより受取り、調整へ
20260427　完了へ移動</t>
  </si>
  <si>
    <t>入出力せず。</t>
  </si>
  <si>
    <t>26/2/3  GUIより基板認識、バージョン表示あり。UNIT基板との切り分け未
26/2/5  io base_card tp4(+1.8v)～gndショート  IC27 19-20PINハンダショート
2026/2/6 MFGセンターへ返却
2026/2/25 MFGセンターより受取り
26/3/2  Q12 S/No.10へ実装　調整検査完了
20260427　完了へ移動</t>
  </si>
  <si>
    <t>RL17リレー不良 (50903M)
RL17：Bypassに切り替わらない</t>
  </si>
  <si>
    <t>260408 部品出庫依頼
260410 別製品で出庫した分を借用して交換
20260427　完了へ移動</t>
  </si>
  <si>
    <t>RL15リレー不良 (50903M)
RL15：Operateに切り替わらない
調整中にRL12が切り替わらなくなった</t>
  </si>
  <si>
    <t>260408 部品出庫依頼
260410 別製品で出庫した分を借用して交換
260423 部品交換で復帰
20260427　完了へ移動</t>
  </si>
  <si>
    <t>RL15
RL12</t>
  </si>
  <si>
    <t>RL11,RL15,RL17,RL19リレー不良 (50903M)
上記operateに切り替わらない</t>
  </si>
  <si>
    <t>RL11,RL15,RL17,RL19</t>
  </si>
  <si>
    <t>RL11リレー不良 (50903M)
operateに切り替わらない</t>
  </si>
  <si>
    <t>300ｍ時Ｆ特6MHｚ入らず（666mv以上のところ654ｍｖしかない）</t>
  </si>
  <si>
    <t>2026/4/27 CRフィルタ定数交換
20260427　完了へ移動</t>
  </si>
  <si>
    <t>E04279</t>
  </si>
  <si>
    <t>C21</t>
  </si>
  <si>
    <t>3QCX7C1H680</t>
  </si>
  <si>
    <t>オプションスロットB認識しない</t>
  </si>
  <si>
    <r>
      <rPr>
        <rFont val="Roboto"/>
        <color rgb="FF434343"/>
      </rPr>
      <t>2025/5/28　FA-1616HB-12G　NO.19080231(FA-1616MF　R24641)
25/5/29 基板切り分け→IO-A  (IC26かCN1か？)
25/7/28 IC26 出庫依頼
25/8/6 部品入手
25/8/20 IC26リワーク依頼 (9/19納期)
25/9/5 リワーク上がり、組配板金組付け依頼
25/9/8 通電確認→基板認識確認
2025/12/17　NO.19080231へ組み込み※本体が別の不良。
2026/4/3　筐体（</t>
    </r>
    <r>
      <rPr>
        <rFont val="Roboto"/>
        <color rgb="FFFF0000"/>
      </rPr>
      <t>項番1553</t>
    </r>
    <r>
      <rPr>
        <rFont val="Roboto"/>
        <color rgb="FF434343"/>
      </rPr>
      <t>）が</t>
    </r>
    <r>
      <rPr>
        <rFont val="Roboto"/>
        <color rgb="FFFF0000"/>
      </rPr>
      <t>廃棄方針となった為</t>
    </r>
    <r>
      <rPr>
        <rFont val="Roboto"/>
        <color rgb="FF434343"/>
      </rPr>
      <t>、
　　　　　組配グループへ引き渡し別の筐体へ組配予定。
2026/5/14　NO.19080305へ組み込み→検査完了・入庫完了。
20260518　完了へ移動</t>
    </r>
  </si>
  <si>
    <t>IC26</t>
  </si>
  <si>
    <t>R25054</t>
  </si>
  <si>
    <t>ヒートラン10分後くらいでアナログ信号のみノイズ発生。
アナログベクターのPHASEが大きく左右にぶれる。
SD・HD出力は問題なし。GENLOCKも外れない。</t>
  </si>
  <si>
    <t>IC76をQREIで冷やすと症状が出なくなる。
2025/7/28 起動直後は正常だが、動作不良発生時、X6のVC電圧が0V程になる。
　C961交換実施し改善
20260518　完了へ移動</t>
  </si>
  <si>
    <t>C961</t>
  </si>
  <si>
    <t>3QCX1AMTCT106</t>
  </si>
  <si>
    <t>3Gタイミングジッタ 2.0を超える事がある ⇒ 改善
HD-SDI ロングケーブル受信エラー</t>
  </si>
  <si>
    <r>
      <rPr>
        <rFont val="Roboto"/>
        <color rgb="FF434343"/>
      </rPr>
      <t xml:space="preserve">2025/9/11 C379交換し、改善。調整へ
2025/9/12 現象再発
2025/9/25 X7交換。HD-SDI ﾊﾟｿﾛｼﾞｶﾙ信号受信エラー。
2025/12/11 C379交換。受信エラー再現せず。調整へ
2026/1/5 八木作業台でHDフォーマットでエラーを確認
2026/1/8 ESG4100+WFM8300で15分 4セット行い再現せず。AP CRCも”NO”
</t>
    </r>
    <r>
      <rPr>
        <rFont val="Roboto"/>
        <b/>
        <color rgb="FF434343"/>
      </rPr>
      <t>2026/4/15 調整作業卓で再確認の依頼</t>
    </r>
    <r>
      <rPr>
        <rFont val="Roboto"/>
        <color rgb="FF434343"/>
      </rPr>
      <t xml:space="preserve">
20260518　完了へ移動</t>
    </r>
  </si>
  <si>
    <t>C379
X7</t>
  </si>
  <si>
    <t>Danteモジュール認識せず
（Danteコントローラー接続できない）</t>
  </si>
  <si>
    <r>
      <rPr>
        <rFont val="Roboto"/>
        <color rgb="FF434343"/>
      </rPr>
      <t xml:space="preserve">2025/10/23　</t>
    </r>
    <r>
      <rPr>
        <rFont val="Roboto"/>
        <color rgb="FFFF0000"/>
      </rPr>
      <t>棚卸の際になぜか製造の不良棚に置かれていた。
　　　　　　（開発担当）</t>
    </r>
    <r>
      <rPr>
        <rFont val="Roboto"/>
        <color rgb="FF434343"/>
      </rPr>
      <t xml:space="preserve">
2025/10/23　製造にて出荷にひきあてようと動作確認したら、
　　　　　　不良だったので記載します。
　　　　　　※</t>
    </r>
    <r>
      <rPr>
        <rFont val="Roboto"/>
        <color rgb="FFFF0000"/>
      </rPr>
      <t>識別票には検査完了印が押されていた</t>
    </r>
    <r>
      <rPr>
        <rFont val="Roboto"/>
        <color rgb="FF434343"/>
      </rPr>
      <t>・・・
25/12/23  DNTモジュール不良→出庫依頼　DNT基板は、問題なさそう。
2026/4/24　DNTモジュール入手・検査完了。
　　　　　　※</t>
    </r>
    <r>
      <rPr>
        <rFont val="Roboto"/>
        <color rgb="FFFF0000"/>
      </rPr>
      <t xml:space="preserve">2026/5/28分へ引当て予定。
</t>
    </r>
    <r>
      <rPr>
        <rFont val="Roboto"/>
        <color rgb="FF434343"/>
      </rPr>
      <t>2026/5/14　入庫完了。
20260518　完了へ移動</t>
    </r>
  </si>
  <si>
    <t>E04980</t>
  </si>
  <si>
    <t xml:space="preserve">3QJZBN301064
</t>
  </si>
  <si>
    <t>19090158
→19090156</t>
  </si>
  <si>
    <r>
      <rPr>
        <rFont val="Roboto"/>
        <color theme="1"/>
      </rPr>
      <t xml:space="preserve">25/10/28 X4001再ハンダ、LOG取得 FPGA1～4認識せず。
25/10/30 IC6001 +0.72V_KU出力が、+1.8V出力
　　　　　→同部品出庫依頼(納期未定)
2026/2/16　NO.19090156へ変更
※SFP28基板･NO.19090156が不良でFA-16MOIPを１台にする為
2026/3/10　部品入手・センターへリワーク依頼
　　　　　（2026/4/10希望納期）
2026/3/24　センターより返却、正常動作確認。
2026/4/20　</t>
    </r>
    <r>
      <rPr>
        <rFont val="Roboto"/>
        <color rgb="FFFF0000"/>
      </rPr>
      <t xml:space="preserve">2026/5/28出荷分へ引当予定。
</t>
    </r>
    <r>
      <rPr>
        <rFont val="Roboto"/>
        <color theme="1"/>
      </rPr>
      <t>2026/5/14　検査完了・入庫完了。
20260518　完了へ移動</t>
    </r>
  </si>
  <si>
    <t>3QA62L4678ET</t>
  </si>
  <si>
    <t xml:space="preserve">LANが繋がらない時がある。
LTG-60HS リモートコントロールソフトウェアで接続/切断を行うと発生した
</t>
  </si>
  <si>
    <r>
      <rPr>
        <rFont val="Roboto"/>
        <color rgb="FF434343"/>
      </rPr>
      <t xml:space="preserve">2026/4/15 再現試験 、現象再現せず。調整へ再確認依頼
　ケーブルを挿抜した際は暫く時間が必要となる。
</t>
    </r>
    <r>
      <rPr>
        <rFont val="Roboto"/>
        <b/>
        <color rgb="FFFF0000"/>
      </rPr>
      <t>切断操作せずに、LANケーブルを挿抜すると報告内容の状態になる。
他の機器でも同様の現象となるので仕様と思われる</t>
    </r>
    <r>
      <rPr>
        <rFont val="Roboto"/>
        <color rgb="FF434343"/>
      </rPr>
      <t xml:space="preserve">
20260518　完了へ移動</t>
    </r>
  </si>
  <si>
    <t>2026/3/3 C135交換し調整へ
2026/3/9 再調整し改善した
20260518　完了へ移動</t>
  </si>
  <si>
    <t>RL9リレー不良 (50301M)
operateに切り替わらない</t>
  </si>
  <si>
    <t>260408 部品出庫依頼
260410 別製品で出庫した分を借用して交換
20260518　完了へ移動</t>
  </si>
  <si>
    <t>RL17リレー不良 (50903M)
operateに切り替わらない</t>
  </si>
  <si>
    <t>RL15リレー不良 (50715M)
operateに切り替わらない</t>
  </si>
  <si>
    <t>260408 部品出庫依頼
260409 別製品で出庫した分を借用して交換
20260518　完了へ移動</t>
  </si>
  <si>
    <t>MV出力が暗い、タイトルが表示されない。</t>
  </si>
  <si>
    <t>260429 MOTHER基板洗浄で復帰
20260518　完了へ移動</t>
  </si>
  <si>
    <t>VoIPループバックチェックにてSRC1,2,6がCRCエラーとなる</t>
  </si>
  <si>
    <t>2024/2/26 BASE基板、UNIT基板を交換したが改善せず。
 RS開発部に調査依頼
 仕掛週報D 残3/30
20260525　修理完了、入庫済みである事を確認。
20260601　完了へ移動</t>
  </si>
  <si>
    <t>SEP28</t>
  </si>
  <si>
    <t>2B通信せず　CN4（左LED　赤点灯）
GUI　SFP　StatusのLink　StatusがLink　Down表示。</t>
  </si>
  <si>
    <r>
      <rPr>
        <rFont val="Roboto"/>
        <color rgb="FF434343"/>
      </rPr>
      <t xml:space="preserve">2026/2/25　CN6　2-3ピンがショートしていると思われる。
　　　　　　部品出庫依頼（2026/3/4納期）
2026/3/2　部品入手（手配表作成依頼）
2026/3/3　手配表発行済。センターへリワーク依頼
　　　　　（2026/4/3希望納期）
2026/3/24　センターより返却、正常動作確認。
2026/4/20　</t>
    </r>
    <r>
      <rPr>
        <rFont val="Roboto"/>
        <color rgb="FFEA4335"/>
      </rPr>
      <t xml:space="preserve">2026/5/28出荷分へ引当予定。
</t>
    </r>
    <r>
      <rPr>
        <rFont val="Roboto"/>
        <color rgb="FF434343"/>
      </rPr>
      <t>2026/5/18　検査完了・入庫完了。
20260601　完了へ移動</t>
    </r>
  </si>
  <si>
    <t>R25245→R25455(26/2/17)
残1台(2025/11/27)</t>
  </si>
  <si>
    <t>FA-16MOIP-EX
→FA-16MOIP</t>
  </si>
  <si>
    <t>19100160
→19090158</t>
  </si>
  <si>
    <t>4B通信せず　CN4（左LED　赤点灯）
GUI　SFP　StatusのLink　StatusがLink　Down表示。
光モジュールTx赤点灯　Rx緑点灯</t>
  </si>
  <si>
    <r>
      <rPr>
        <rFont val="Roboto"/>
        <color rgb="FF434343"/>
      </rPr>
      <t xml:space="preserve">25/8/22 IC13 40-41ピン間、異物あり（絶縁物)除去
2025/10/28　変わらず。
2026/2/17　FA-16MOIP-EX不足の為、FA-16MOIPと入れ替え。
2026/2/25　部品出庫依頼※項番1612と同じ。
2026/3/2　部品入手（手配表作成依頼）
2026/3/3　手配表発行済。センターへリワーク依頼（2026/4/3希望納期）
2026/3/24　センターより返却、正常動作確認。
2026/4/20　</t>
    </r>
    <r>
      <rPr>
        <rFont val="Roboto"/>
        <color rgb="FFFF0000"/>
      </rPr>
      <t xml:space="preserve">2026/6/2出荷分へ引当予定。
</t>
    </r>
    <r>
      <rPr>
        <rFont val="Roboto"/>
        <color rgb="FF434343"/>
      </rPr>
      <t>2026/5/29　入庫完了。
20260601　完了へ移動</t>
    </r>
  </si>
  <si>
    <t>25/9/24 DANTE CONTROLLER表示
　　　　「プライマリーリーダクロック不明」
　　　  HVS-DNTに実装しても同様→品質異常発行
2026/3/18　購買成田さんより、品質異常戻り分の現品を
　　　　　受け取りました。※正常動作確認しました。
2026/3/19　検査完了。
2026/5/29　入庫完了。
20260601　完了へ移動</t>
  </si>
  <si>
    <t>2026/1/16 C146交換し調整へ→改善した
20260601　完了へ移動</t>
  </si>
  <si>
    <t>CN4017　ピン折れ</t>
  </si>
  <si>
    <r>
      <rPr>
        <rFont val="Roboto"/>
        <color rgb="FF434343"/>
      </rPr>
      <t xml:space="preserve">2026/3/16　部品出庫依頼。※2026/3/30希望納期
2026/3/25　部品入手。手配表作成依頼。
2026/3/27　センターへリワーク依頼。※2026/4/17希望納期
2026/4/13　リワーク完了し、センターより返却。修理完了。
2026/4/20　</t>
    </r>
    <r>
      <rPr>
        <rFont val="Roboto"/>
        <color rgb="FFFF0000"/>
      </rPr>
      <t xml:space="preserve">2026/6/2出荷分へ引当予定。
</t>
    </r>
    <r>
      <rPr>
        <rFont val="Roboto"/>
        <color rgb="FF434343"/>
      </rPr>
      <t>2026/5/29　入庫完了。
20260601　完了へ移動</t>
    </r>
  </si>
  <si>
    <t>日付</t>
  </si>
  <si>
    <t>S/N(未定の場合は
最後尾のシリアル~)</t>
  </si>
  <si>
    <t>行方不明経緯等の情報</t>
  </si>
  <si>
    <t>進捗状況
(再制作or廃棄)</t>
  </si>
  <si>
    <t>再制作作番
(抱き合わせ)</t>
  </si>
  <si>
    <t>完了
(再制作/廃棄完)</t>
  </si>
  <si>
    <t>海外デモ機へ返却により不足</t>
  </si>
  <si>
    <t>再制作予定</t>
  </si>
  <si>
    <t>サービスメンテ機へ返却予定</t>
  </si>
  <si>
    <t>サービスメンテ機へ返却により不足</t>
  </si>
  <si>
    <t>海外デモ機へ返却予定</t>
  </si>
  <si>
    <t>引当て基板有</t>
  </si>
  <si>
    <t>繰越R番にて既に廃棄の為</t>
  </si>
  <si>
    <t>廃棄済み</t>
  </si>
  <si>
    <t>単品出荷対応2枚の為</t>
  </si>
  <si>
    <t>不良項番1544より。不良項番1363を廃棄する場合は手配が不要</t>
  </si>
  <si>
    <t>再製作中</t>
  </si>
  <si>
    <t>IC21修正のためMFGセンターへ送ったが見当たらないとの返答。</t>
  </si>
  <si>
    <t>列1</t>
  </si>
  <si>
    <t>廃棄
 済：〇
 △：保留</t>
  </si>
  <si>
    <t>R20624</t>
  </si>
  <si>
    <t>HVS-49IO</t>
  </si>
  <si>
    <t>IN28 出たり出なかったり。</t>
  </si>
  <si>
    <t>2020/12/24 IC13 品番：3QA6Z6G3440、
 品名：GS3440-INE3を出庫依頼。
 2020/12/28 MFGセンターへリワークを依頼。
 2021/01/25 MFGセンターよりリワーク品を受取り。
 小川Sへ動作確認を依頼。
 2021/01/26 動作確認してOK。
 製造2課 渡部さんへ引き渡し。</t>
  </si>
  <si>
    <t>R20292</t>
  </si>
  <si>
    <t>CPU_SW1 CARD</t>
  </si>
  <si>
    <t>通信が途切れる？
 GUIを更新すると接続しない時が
 ある。
 ボタンを押したとき、切り換わるのが
 遅いときがある。</t>
  </si>
  <si>
    <t>2020/12/28 IC1 品番：3QA8C4S76190、
 品名：R4S76190D125BGVを手配。
 2021/02/01 MFGセンターへリワークを依頼。
 2021/02/18 MFGセンターよりリワーク品を受取り。
 2021/02/19 門脇Sへ動作確認を依頼。
 2021/02/22 動作確認してOK。出荷へ。</t>
  </si>
  <si>
    <t>R20619</t>
  </si>
  <si>
    <t>3Gフォーマット 横引きノイズ
 AUX1、AUX2 OUT</t>
  </si>
  <si>
    <t>2020/11/19 SP岡田Kの指示により、小川Sが電源電圧を
 確認中。
 2020/11/27 IC39、40 品番：3QA7D41K128、
 品名：MT41K128M16JT-125Kを出庫依頼。
 2020/12/03 MFGセンターへリワークを依頼。
 2020/12/22 MFGセンターよりリワーク品を受取り。
 小川Sへ動作確認を依頼。
 2021/01/20 動作確認した結果、NG。
 2021/01/25 IC35 品番：3QA7Z6VLX130T、
 品名：XC6VLX130T-1FFG1156Cを手配。
 2021/02/08 MFGセンターへリワークを依頼。
 2021/02/18 MFGセンターよりリワーク品を受取り。
 2021/02/22 小川Sへ動作確認を依頼。
 2021/03/22 動作確認してOK。
 製造2課 渡部さんへ引き渡し。</t>
  </si>
  <si>
    <t>MU_CPU CD</t>
  </si>
  <si>
    <t>キャプチャ、スチルできない。
 メモリを交換しても改善せず。</t>
  </si>
  <si>
    <t>2020/12/04 IC76、77、78 品番：3QA65M2135213、
 品名：M21352G-13を出庫依頼。
 2020/12/07 MFGセンターへリワークを依頼。
 2020/12/22 MFGセンターよりリワーク品を受取り。
 IC49 品番：3QA6Z5LMH1981、品名：LMH1981MTX/NOPB、
 IC51 品番：3QA1LVC2G125、品名：SN74LVC2G125DCU(SGP)
 が外れているため出庫依頼。
 2020/12/29 小川Sへ部品取り付けと動作確認を依頼。
 2021/01/15 動作確認してOK。</t>
  </si>
  <si>
    <t>R20755</t>
  </si>
  <si>
    <t>立ち上がらず
 Ver.表示 文字バケ</t>
  </si>
  <si>
    <t>2021/01/05 IC68 品番：3QA62L4676AEY、
 品名：LTM4676AEY#PBFを出庫依頼。
 2021/01/06 MFGセンターへリワークを依頼。
 2021/01/25 MFGセンターよりリワーク品を受取り。
 小川Sへ動作確認を依頼。
 2021/01/26 動作確認してOK。
 製造2課 渡部さんへ引き渡し。</t>
  </si>
  <si>
    <t>R20701</t>
  </si>
  <si>
    <t>MFR-16SDO</t>
  </si>
  <si>
    <t>SDI_OUTPUT</t>
  </si>
  <si>
    <t>OUT16出力せず（SD、HD、3G
 すべて）
 LOCK 16 LED点灯せず</t>
  </si>
  <si>
    <t>2019/12/23 品番：3QA6Z6G2975A、品名：GS2975ACNE3を
 MFGセンターへ出庫依頼。
 2019/12/25 GS2975ACNE3を入手。
 2019/12/26 MFGセンターへリワーク依頼。
 2020/01/20 MFGセンターよりリワーク品受取り。
 2020/02/28 動作確認してOK。</t>
  </si>
  <si>
    <t>R20801</t>
  </si>
  <si>
    <t>OUT12 エラー発生
 LOCK12 LED点滅</t>
  </si>
  <si>
    <t>2019/10/09 品番：3QA6Z6G2975A、品名：GS2975ACNE3を
 MFGセンターへ出庫依頼。
 2019/10/11 GS2975ACNE3を入手。
 2019/10/16 MFGセンターへリワーク依頼。
 MFGセンターよりリワーク品受取り。動作確認してOK。</t>
  </si>
  <si>
    <t>R20720</t>
  </si>
  <si>
    <t>DDA F CARD</t>
  </si>
  <si>
    <t>3G 70m 波形モニタがフォーマットを
 認識できない。
 2m OK</t>
  </si>
  <si>
    <t>2020/12/21 IC504 品番：3QA6Z6G2965、
 品名：GS2965-INE3を出庫依頼。
 2020/12/23 MFGセンターへリワークを依頼。
 2021/01/15 MFGセンターよりリワーク品を受取り。
 2021/01/18 岡野EXへ動作確認を依頼。
 2021/01/19 動作確認してNG。
 IC503 品番：3QA6Z6G3440、品名：GS3440-INE3を
 出庫依頼。
 2021/02/01 MFGセンターへリワークを依頼。
 2021/02/18 MFGセンターよりリワーク品を受取り。
 2021/02/19 岡野EXへ動作確認を依頼。
 2021/03/08 動作確認してOK。出荷へ。</t>
  </si>
  <si>
    <t>R20688</t>
  </si>
  <si>
    <t>I/F CARD</t>
  </si>
  <si>
    <t>立ち上がらなくなる</t>
  </si>
  <si>
    <t>2021/03/03 PLS開発部 野口チーフへ調査を依頼。
 2021/03/16 IC34を交換。
 動作確認してOK。</t>
  </si>
  <si>
    <t>R21093</t>
  </si>
  <si>
    <t>HVS-39EXTME</t>
  </si>
  <si>
    <t>EXTEND_ME CD</t>
  </si>
  <si>
    <t>ME2 DUALパターン 片ch点滅</t>
  </si>
  <si>
    <t>2019/12/06 品番：3QA7Z5VSX95T、
 品名：XC5VSX95T-2FFG1136Cを手配。（R21250にて）
 2020/01/06 XC5VSX95T-2FFG1136Cを入手。MFGセンターへ
 リワーク依頼。
 2020/01/20 MFGセンターよりリワーク品受取り。
 2020/01/22 動作確認し、発生頻度は低くなったが完治は
 していない。
 2020/02/05 IC7 品番：3QA7D8M36SJ25、
 品名：MT49H8M36SJ-25:Bを手配。
 2020/02/21 MT49H8M36SJ-25:Bを入手。
 2020/02/26 MFGセンターへリワーク依頼。
 2020/03/ MFGセンターよりリワーク品受取り。
 2020/04/16 症状改善せず。
 ⇒ リワーク2回実施のため廃棄へ。</t>
  </si>
  <si>
    <t>R20606</t>
  </si>
  <si>
    <t>DATA CARD</t>
  </si>
  <si>
    <t>棚A2</t>
  </si>
  <si>
    <t>セットアップ（データ転送）でNG。</t>
  </si>
  <si>
    <t>2021/07/16 坂下Kへ調査を依頼。
 2021/07/21 MFGセンターへリワークを依頼。
 IC57(＋5VA 不良)のため交換
 2021/08/06 ﾘﾜｰｸ完了。門脇主任へ
 2021/09/03 ﾃﾞｰﾀ転送OK</t>
  </si>
  <si>
    <t>R20949</t>
  </si>
  <si>
    <t>OUT1 出力エラー
 OUT6 エラー LED点滅 発生かなり
 低い
 LOCK LED 点滅</t>
  </si>
  <si>
    <t>2019/12/23 品番：3QA6Z6G2975A、
 品名：GS2975ACNE3（2個）をMFGセンターへ出庫依頼。
 2019/12/25 GS2975ACNE3を入手。
 2019/12/26 MFGセンターへリワーク依頼。
 2020/01/20 MFGセンターよりリワーク品受取り。
 2020/02/28 動作確認してOK。</t>
  </si>
  <si>
    <t>R21128</t>
  </si>
  <si>
    <t>OUT15 エラー</t>
  </si>
  <si>
    <t>OUT5 エラー</t>
  </si>
  <si>
    <t>2019/12/23 品番：3QA6Z6G2975A、
 品名：GS2975ACNE3をMFGセンターへ出庫依頼。
 2019/12/25 GS2975ACNE3を入手。
 2019/12/26 MFGセンターへリワーク依頼。
 2020/01/20 MFGセンターよりリワーク品受取り。
 2020/02/28 動作確認してOK。</t>
  </si>
  <si>
    <t>OUT8 エラー</t>
  </si>
  <si>
    <t>2020/01/21 IC15 品番：3QA6Z6G2975A、
 品名：GS2975ACNE3をMFGセンターへ出庫依頼。
 2020/01/22 GS2975ACNE3をMFGセンターより入手。
 2020/01/23 MFGセンターへリワーク依頼。
 2020/02/10 MFGセンターよりリワーク品受取り。
 2020/02/28 動作確認してOK。</t>
  </si>
  <si>
    <t>OUT6 エラー
 LED点滅→頻度低い 30秒に
 1回くらい</t>
  </si>
  <si>
    <t>OUT9 エラー</t>
  </si>
  <si>
    <t>品番：3QA6Z6G2975A、品名：GS2975ACNE3を
 MFGセンターへ出庫依頼。
 GS2975ACNE3を入手。
 MFGセンターへリワーク依頼。
 MFGセンターよりリワーク品受取り。
 2019/12/11 動作確認してOK。</t>
  </si>
  <si>
    <t>OUT3 エラー
 LED点滅</t>
  </si>
  <si>
    <t>OUT9 エラー
 LED点滅 30秒に1回くらい</t>
  </si>
  <si>
    <t>OUT14 エラー
 LED点滅</t>
  </si>
  <si>
    <t>R21374</t>
  </si>
  <si>
    <t>OUT1 エラー
 LED点滅</t>
  </si>
  <si>
    <t>2020/01/21 IC1 品番：3QA6Z6G2975A、
 品名：GS2975ACNE3をMFGセンターへ出庫依頼。
 2020/01/22 GS2975ACNE3をMFGセンターより入手。
 2020/01/23 MFGセンターへリワーク依頼。
 2020/02/10 MFGセンターよりリワーク品受取り。
 2020/02/28 動作確認してOK。</t>
  </si>
  <si>
    <t>OUT12 エラー
 LED点滅</t>
  </si>
  <si>
    <t>2020/01/21 IC23 品番：3QA6Z6G2975A、
 品名：GS2975ACNE3をMFGセンターへ出庫依頼。
 2020/01/22 GS2975ACNE3をMFGセンターより入手。
 2020/01/23 MFGセンターへリワーク依頼。
 2020/02/10 MFGセンターよりリワーク品受取り。
 2020/02/28 動作確認してOK。</t>
  </si>
  <si>
    <t>OUT11 エラー
 LED点滅（発生頻度低い）</t>
  </si>
  <si>
    <t>2020/01/21 IC21 品番：3QA6Z6G2975A、
 品名：GS2975ACNE3をMFGセンターへ出庫依頼。
 2020/01/22 GS2975ACNE3をMFGセンターより入手。
 2020/01/23 MFGセンターへリワーク依頼。
 2020/02/10 MFGセンターよりリワーク品受取り。
 2020/02/28 動作確認してOK。</t>
  </si>
  <si>
    <t>R21345</t>
  </si>
  <si>
    <t>いしづき</t>
  </si>
  <si>
    <t>ストレスチェック時、1CHのみ画出ず。
 （SD･HD･3G全て）
 他CHは問題なし。</t>
  </si>
  <si>
    <t>2020/09/16 IC30 品番：3QA6Z6G3440、
 品名：GS3440-INE3を出庫依頼。
 2020/10/05 MFGセンターへリワークを依頼。
 2020/10/19 MFGセンターよりリワーク品を受取り。
 2020/12/08 動作確認してOK。</t>
  </si>
  <si>
    <t>OUT15 エラー
 発生頻度低い</t>
  </si>
  <si>
    <t>2020/02/21 IC29 品番：3QA6Z6G2975A、
 品名：GS2975ACNE3をMFGセンターへ出庫依頼。
 2020/02/27 GS2975ACNE3をMFGセンターより入手。
 2020/02/28 MFGセンターへリワーク依頼。
 2020/03/ MFGセンターよりリワーク品受取り。
 2020/05/11 動作確認してOK。</t>
  </si>
  <si>
    <t>OUT8 エラー
 LED点滅</t>
  </si>
  <si>
    <t>2020/02/21 IC15 品番：3QA6Z6G2975A、
 品名：GS2975ACNE3をMFGセンターへ出庫依頼。
 2020/02/27 GS2975ACNE3をMFGセンターより入手。
 2020/02/28 MFGセンターへリワーク依頼。
 2020/03/ MFGセンターよりリワーク品受取り。
 2020/05/26 動作確認してOK。</t>
  </si>
  <si>
    <t>OUT16 エラー
 LED点滅</t>
  </si>
  <si>
    <t>2020/02/21 IC31 品番：3QA6Z6G2975A、
 品名：GS2975ACNE3をMFGセンターへ出庫依頼。
 2020/02/27 GS2975ACNE3をMFGセンターより入手。
 2020/02/28 MFGセンターへリワーク依頼。
 2020/03/ MFGセンターよりリワーク品受取り。
 2020/05/26 動作確認してOK。</t>
  </si>
  <si>
    <t>2020/02/21 IC5 品番：3QA6Z6G2975A、
 品名：GS2975ACNE3をMFGセンターへ出庫依頼。
 2020/02/27 GS2975ACNE3をMFGセンターより入手。
 2020/02/28 MFGセンターへリワーク依頼。
 2020/03/ MFGセンターよりリワーク品受取り。
 2020/05/26 動作確認してOK。</t>
  </si>
  <si>
    <t>OUT7 出力エラー LED点滅</t>
  </si>
  <si>
    <t>2020/04/20 IC13 品番：3QA6Z6G2975A、
 品名：GS2975ACNE3をMFGセンターへ出庫依頼。
 2020/04/24 GS2975ACNE3をMFGセンターより入手。
 2020/04/24 MFGセンターへリワーク依頼。
 2020/05/ MFGセンターよりリワーク品受取り。
 2020/07/10 動作確認してOK。</t>
  </si>
  <si>
    <t>R21513</t>
  </si>
  <si>
    <t>画が乱れる。
 しばらく経つと収まる。</t>
  </si>
  <si>
    <t>2020/09/01 IC60 品番：3QA8C320D6487、
 品名：TMS320DM648ZUT7を出庫依頼。
 2020/09/09 MFGセンターへリワーク依頼。
 2020/09/25 MFGセンターよりリワーク品受取り。
 動作確認してNG。
 2020/10/29 IC77がひっくり返っていた。MFGセンターへ
 修正を依頼。
 2020/11/05 MFGセンターより修正品を受取り。
 2020/11/05 動作確認してOK。</t>
  </si>
  <si>
    <t>R21552</t>
  </si>
  <si>
    <t>OUT15 エラー
 LOCK15 LED点滅</t>
  </si>
  <si>
    <t>R21636</t>
  </si>
  <si>
    <t>MV-1620DO</t>
  </si>
  <si>
    <t>DUAL OUT CARD</t>
  </si>
  <si>
    <t>BKGD IN (3G 1080/59.94P) エラー</t>
  </si>
  <si>
    <t>2020/10/05 IC1 品番：3QA6Z6G3440、品名：GS3440-INE3を
 出庫依頼。
 2020/10/12 MFGセンターへリワークを依頼。
 2020/10/26 MFGセンターよりリワーク品を受取り。
 八木さんへ動作確認を依頼。</t>
  </si>
  <si>
    <t>R21250</t>
  </si>
  <si>
    <t>DUALパターン 片ch点滅</t>
  </si>
  <si>
    <t>2020/01/07 IC2 品番：3QA7Z5VSX95T、
 品名：XC5VSX95T-2FFG1136Cを手配。（R21608にて）
 手配中止。製品がディスコンということもあり、先行で
 対応している2枚（14630678、14630647）の
 動作確認結果待ち。良好であれば、まずは
 品番：3QA7D8M36SJ25、品名：MT49H8M36SJ-25:B（メモリ）を
 手配。
 2020/04/16 先行で対応している2枚（14630678、
 14630647）を動作確認した結果、症状改善せず。
 ⇒ 修理作業を中止し廃棄へ。</t>
  </si>
  <si>
    <t>R21608</t>
  </si>
  <si>
    <t>電源入切 DUALパターン片chノイズ</t>
  </si>
  <si>
    <t>R21786</t>
  </si>
  <si>
    <t>MV-4220SDI</t>
  </si>
  <si>
    <t>IN10 画がちらつく。
 CN26 未半田</t>
  </si>
  <si>
    <t>2020/06/10 MFGセンターへ修正依頼。
 2020/06/23 MFGセンターより修正品受取り。
 2020/09/11 動作確認してOK。</t>
  </si>
  <si>
    <t>RRR</t>
  </si>
  <si>
    <t>HDMIコネクタ実装不良</t>
  </si>
  <si>
    <t>2020/09/11 CN14 MFGセンターへ再半田を依頼。
 2020/09/25 MFGセンターより再半田品を受取り。
 2020/10/09 動作確認してOK。</t>
  </si>
  <si>
    <t>R21651</t>
  </si>
  <si>
    <t>2019/12/06 品番：3QA6Z6G2975A、品名：GS2975ACNE3を
 MFGセンターへ出庫依頼。
 2019/12/09 GS2975ACNE3を入手。MFGセンターへ
 リワーク依頼。
 2020/01/06 MFGセンターよりリワーク品受取り。
 2020/01/14 動作確認してOK。</t>
  </si>
  <si>
    <t>CN16 変形</t>
  </si>
  <si>
    <t>2019/12/06 CN16 品番：3QG1BCJBPLHA、
 品名：BCJ-BPLHAを手配。
 2020/01/08 BCJ-BPLHAを入手。
 2020/01/14 動作確認してOK。</t>
  </si>
  <si>
    <t>CH17～20 12G-SDIストレスNG</t>
  </si>
  <si>
    <t>2020/09/11 IC187 品番：3QA6Z9GS12070、
 品名：GS12070-IBE3を出庫依頼。
 2020/09/14 MFGセンターへリワークを依頼。
 2020/10/05 MFGセンターよりリワーク品受取り。
 2020/10/23 動作確認してNG。
 2020/10/27 IC213 品番：3QA6ZL1219RTW、
 品名：LMH1219RTWTを出庫依頼。
 2020/10/30 MFGセンターへリワークを依頼。
 2020/11/17 MFGセンターよりリワーク品を受取り。
 八木さんへ動作確認を依頼。
 2021/01/26 動作確認してOK。</t>
  </si>
  <si>
    <t>R21974</t>
  </si>
  <si>
    <t>時刻設定ができない。
 常に初期化され、時刻も動作して
 いない。
 時刻に携わる水晶振動子が
 はんだ付けされていない可能性あり。</t>
  </si>
  <si>
    <t>2020/08/31 IC89 品番：3QA8C320D6487、
 品名：TMS320DM648ZUT7を出庫依頼。
 2020/09/01 MFGセンターへリワーク依頼。
 2020/09/16 MFGセンターよりリワーク品を受取り。
 2020/10/07 C1296 品番：3QCZECS0HD334、
 品名：EECS0HD 334Vを出庫依頼。
 2020/10/12 MFGセンターよりEECS0HD 334Vを受取り。
 2020/10/15 動作確認してNG。
 廃棄の方向で検討。
 2021/05/20 D21交換。時刻設定可能。
 半日以上電源OFFでも正常動作を確認。出荷へ。</t>
  </si>
  <si>
    <t>R21930</t>
  </si>
  <si>
    <t>STILL1 保存、キャプチャ不可</t>
  </si>
  <si>
    <t>2020/10/15 IC76、77、78 品番：3QA65M2135213、
 品名：M21352G-13を出庫依頼。
 2020/10/29 MFGセンターへリワークを依頼。
 2020/11/17 MFGセンターよりリワーク品を受取り。
 小川Sへ動作確認を依頼。
 2020/12/04 動作確認してOK。</t>
  </si>
  <si>
    <t>R21830</t>
  </si>
  <si>
    <t>OUT13 ステータスエラー</t>
  </si>
  <si>
    <t>OUT(11)エラー LED点滅</t>
  </si>
  <si>
    <t>2019/10/01 品番：3QA6Z6G2975A、品名：GS2975ACNE3を
 MFGセンターへ出庫依頼。
 2019/10/04 GS2975ACNE3を入手。MFGセンターへ
 リワーク依頼。
 MFGセンターよりリワーク品受取り。動作確認してOK。</t>
  </si>
  <si>
    <t>OUT(2)エラー LED点滅 発生頻度
 低い</t>
  </si>
  <si>
    <t>R21563</t>
  </si>
  <si>
    <t>石川拓</t>
  </si>
  <si>
    <t>CN8 BNC ネジ折れ</t>
  </si>
  <si>
    <t>2020/10/12 CN8 品番：3QG1B75PLRPC、
 品名：BNC(75)-PLR-PC-12G-1を手配。
 2020/11/05 MFGセンターへ交換を依頼。
 2020/11/ MFGセンターより交換品を受取り。
 2020/11/17 接続確認してOK。</t>
  </si>
  <si>
    <t>ロータリーエンコーダF1～F4
 回すと重く、数十回のうち一回押して
 元に戻らず、長押しの誤作動が
 発生する。</t>
  </si>
  <si>
    <t>2020/11/05 ENC1～4 品番：3QFZ16K25WH、
 品名：REC16K25-201 ｶﾅｸﾞﾂｷを出庫依頼。
 2020/11/09 MFGセンターへ交換を依頼。
 2020/11/17 MFGセンターより交換品を受取り。
 石黒さんへ動作確認を依頼。
 2020/11/27 動作確認してOK。</t>
  </si>
  <si>
    <t>IC153(+1.2V)出力ショート</t>
  </si>
  <si>
    <t>2020/10/07 IC45 品番：3QA7Z7V4852、
 品名：XC7VX485T-2FFG1157Cを手配。
 2020/10/30 MFGセンターへリワークを依頼。
 2020/11/17 MFGセンターよりリワーク品を受取り。
 坂下Kへ動作確認を依頼。
 動作確認してOK。</t>
  </si>
  <si>
    <t>R21969</t>
  </si>
  <si>
    <t>電源を入れなおしたら、前面ボタンが
 赤く点灯したまま立ち上がらなく
 なった。</t>
  </si>
  <si>
    <t>2021/09/3 現象再現せず。通常に起動を確認
 電源再起動繰り返し、Q-REIの実施
 2課へ返却し、組込依頼
 2021/9/21 ロット完了確認
 2022/3/1 R22241(S/N.18240149)へ組込し入庫完了</t>
  </si>
  <si>
    <t>OUT4 エラー
 LED点滅 発生頻度低い</t>
  </si>
  <si>
    <t>IN1 12G ストレス NG</t>
  </si>
  <si>
    <t>2020/12/14 IC175 品番：3QA6Z9GS12070、
 品名：GS12070-IBE3を出庫依頼。
 2020/12/17 MFGセンターへリワークを依頼。
 2021/01/13 MFGセンターよりリワーク品を受取り。
 坂下Kへ動作確認を依頼。
 2021/01/18 動作確認してOK。八木さんへ引き渡し。
 2021/01/26 動作確認してOK。</t>
  </si>
  <si>
    <t>R21852</t>
  </si>
  <si>
    <t>FA-95RU</t>
  </si>
  <si>
    <t>2課
 井上</t>
  </si>
  <si>
    <t>CN3(ERNI) LED付近の金具折れ</t>
  </si>
  <si>
    <t>2020/09/04 CN3 品番：3QE203211、品名：203211を手配。
 2020/10/15 203211を受取り。
 2020/10/15 MFGセンターへ交換を依頼。
 2020/10/26 MFGセンターより交換品受取り。
 井上さんへR番への投入を依頼。</t>
  </si>
  <si>
    <t>R21989</t>
  </si>
  <si>
    <t>アナログIN9～16が出力しない。
 （SDIはOK）
 TP16～25までは信号有。</t>
  </si>
  <si>
    <t>2021/07/16 八木さん現象確認中。
 2021/07/29 現象再現せず。出荷へ。</t>
  </si>
  <si>
    <t>R21935</t>
  </si>
  <si>
    <t>2020/10/08 通信に問題なし。</t>
  </si>
  <si>
    <t>①</t>
  </si>
  <si>
    <t>STILL、キャプチャ 不可（黒になる。）
 ロードは可。</t>
  </si>
  <si>
    <t>2020/12/07 IC76、77、78 品番：3QA65M2135213、
 品名：M21352G-13を出庫依頼。
 2020/12/09 MFGセンターへリワークを依頼。
 2021/01/05 MFGセンターよりリワーク品を受取り。
 齋藤さんへ動作確認を依頼。
 動作確認してOK。R番の生産に投入。</t>
  </si>
  <si>
    <t>中谷</t>
  </si>
  <si>
    <t>IN2 BNC破損（BNC入らない）</t>
  </si>
  <si>
    <t>2020/02/27 CN39 品番：3QG1BPLH3PA、
 品名：BCJ-BPLH3PAを手配。
 2020/03/12 BCJ-BPLH3PAを入手。
 2020/04/10 MFGセンターへ交換依頼。
 2020/04/24 MFGセンターより基板受取り。
 2020/07/03 BNC接続確認してOK。</t>
  </si>
  <si>
    <t>R22345</t>
  </si>
  <si>
    <t>メモリチェック NG:78</t>
  </si>
  <si>
    <t>2021/03/01 IC15 品番：3QA7D47H64S25、
 品名：MT47H64M16NF-25E:Mを手配。
 2021/03/15 MFGセンターへリワークを依頼。
 2021/03/29 MFGセンターよりリワーク品を受取り。
 2021/03/30 坂下Kへ動作確認を依頼。
 動作確認してOK。出荷へ。</t>
  </si>
  <si>
    <t>R20436</t>
  </si>
  <si>
    <t>MFR-3000</t>
  </si>
  <si>
    <t>CPU起動せず</t>
  </si>
  <si>
    <t>2021/01/15 坂下Kへ調査を依頼。
 2021/01/29 IC56 品番：3QJ0PV012A0X3、
 品名：PVX012A0X3-SRZを出庫依頼。
 2021/02/04 MFGセンターへリワークを依頼。
 2021/02/19 MFGセンターよりリワーク品を受取り。
 2021/02/22 門脇さんへ動作確認を依頼。
 2021/02/24 動作確認してOK。
 製造2課 吉田さんへ引き渡し。</t>
  </si>
  <si>
    <t>R21615</t>
  </si>
  <si>
    <t>HDMI OUT 出力せず。</t>
  </si>
  <si>
    <t>2020/10/05 IC56 品番：3QAZ9S9136、品名：SiI9136CTU-3を
 出庫依頼。
 2020/10/12 MFGセンターへリワークを依頼。
 2020/10/26 MFGセンターよりリワーク品を受取り。
 2020/11/25 動作確認してNG。
 L42 品番：3QE5BPNFM105、品名：NFM18PS105R0J3Dを
 出庫依頼。
 2020/12/01 石川Kへ取付けを依頼。
 2020/12/07 小川Sへ動作確認を依頼。
 2020/12/09 動作確認してOK。</t>
  </si>
  <si>
    <t>R22040</t>
  </si>
  <si>
    <t>チェンジオーバーNG
 IP. 10にチェンジした時、
 クロスポイントが切り換わらない。
 立ちゴケするときがある。</t>
  </si>
  <si>
    <t>2020/12/08 秦FBへ調査を依頼。
 2021/01/12 IC58 品番：3QA62L1963S8、
 品名：LT1963AES8#TRPBFを出庫依頼。
 2021/01/20 門脇Sへ動作確認を依頼。
 2021/01/25 製造2課 吉田さんへ引き渡し。</t>
  </si>
  <si>
    <t>R21947</t>
  </si>
  <si>
    <t>GENLOCK不良
 PAL SD信号ロックしない。
 ジッタ値オーバー。</t>
  </si>
  <si>
    <t>2021/6/25 C977 交換実施</t>
  </si>
  <si>
    <t>R21982</t>
  </si>
  <si>
    <t>OUT7 エラー LED点滅
 発生頻度はかなり低い
 電源ON直後が発生しやすい</t>
  </si>
  <si>
    <t>R21812</t>
  </si>
  <si>
    <t>TALLY CARD</t>
  </si>
  <si>
    <t>Connect me 通信せず。
 ※ CN3 交換必要</t>
  </si>
  <si>
    <t>2020/10/07 CN3 品番：3QJZDCMEY402C、
 品名：DC-ME-Y402-Cを出庫依頼。
 2020/10/09 MFGセンターへ交換を依頼。
 2020/10/26 MFGセンターより交換品を受取り。
 2020/10/28 動作確認してOK。</t>
  </si>
  <si>
    <t>R22303</t>
  </si>
  <si>
    <t>高橋広</t>
  </si>
  <si>
    <t>HD、SD共にNG。
 約5秒ごとにエラーが発生する。</t>
  </si>
  <si>
    <t>2020/12/04 C993を交換。
 岡野EXへ動作確認を依頼。
 2020/12/04 動作確認してOK。</t>
  </si>
  <si>
    <t>OUT3 エラー LED点滅
 発生頻度はかなり低い</t>
  </si>
  <si>
    <t>2020/04/20 IC5 品番：3QA6Z6G2975A、
 品名：GS2975ACNE3をMFGセンターへ出庫依頼。
 2020/04/24 GS2975ACNE3をMFGセンターより入手。
 2020/04/24 MFGセンターへリワーク依頼。
 2020/05/ MFGセンターよりリワーク品受取り。
 2020/07/10 動作確認してOK。</t>
  </si>
  <si>
    <t>R21849</t>
  </si>
  <si>
    <t>MICRO-SDより起動せず。
 BOOT書き込み不可</t>
  </si>
  <si>
    <t>2020/12/21 IC27 センター依頼
 2021/01/08 IC27 交換
 動作確認してOK。</t>
  </si>
  <si>
    <t>R22292</t>
  </si>
  <si>
    <t>MTX CARD</t>
  </si>
  <si>
    <t>IN31 12G-SDI エラーが出る。
 （ショート、ロング共にNG）</t>
  </si>
  <si>
    <t>2020/05/12 IC67 品番：3QA6Z6M23145G、
 品名：M23145G-14をMFGセンターへ出庫依頼。
 2020/05/14 MFGセンターへリワーク依頼。（M23145G-14を
 MFGセンターより入手せず、MFGセンターにて引き当て
 いただく。）
 2020/05/29 MFGセンターよりリワーク品受取り。
 2020/06/04 動作確認してOK。</t>
  </si>
  <si>
    <t>R22317</t>
  </si>
  <si>
    <t>TRANS I/F CD</t>
  </si>
  <si>
    <t>TP1とR218ショートでIC21
 （ACコンバータ）が壊れる。
 フェーダの電圧が動かなくなる。</t>
  </si>
  <si>
    <t>2020/08/26 IC21 品番：3QA66A7606Z4、
 品名：AD7606BSTZ-4を出庫依頼。
 2020/09/12 製造3課にて交換を実施。
 2課へ組配を依頼。
 2021/09/29 動作確認完了</t>
  </si>
  <si>
    <t>R22294</t>
  </si>
  <si>
    <t>OUTPUT CARD</t>
  </si>
  <si>
    <t>7出力しない。</t>
  </si>
  <si>
    <t>2020/06/10 IC24 品番：3QA6Z6G12281、
 品名：GS12281-INE3を出庫依頼。
 2020/06/15 MFGセンターへリワーク依頼。
 2020/06/26 MFGセンターよりリワーク品受取り。
 2020/07/10 動作確認してOK。</t>
  </si>
  <si>
    <t>R22159</t>
  </si>
  <si>
    <t>2020/12/21 IC32 品番：3QA6Z5L1983QE、
 品名：LMH1983SQE/NOPBを出庫依頼。
 2020/12/23 MFGセンターへリワークを依頼。
 2021/01/15 MFGセンターよりリワーク品を受取り。
 2021/01/18 坂下Kへ動作確認を依頼。
 2021/01/19 動作確認してOK。</t>
  </si>
  <si>
    <t>R22291</t>
  </si>
  <si>
    <t>SRC62 12Gがエラー（3GはOK）</t>
  </si>
  <si>
    <t>2020/05/15 MFGセンターへIC126 品番：3QA6Z6M23145G、
 品名：M23145G-14の出庫依頼とリワークを依頼。
 （M23145G-14をMFGセンターより入手せず、MFGセンターにて
 引き当ていただく。）
 2020/05/** IC181、C2037破損により、MFGセンターより返却。
 C2037は即日製造3課にて取り付け。
 2020/05/25 MFGセンターへIC181 品番：3QJ0UV020A0X3、
 品名：UVT020A0X3-SRZの出庫依頼とIC126と共にリワークを
 依頼。
 （UVT020A0X3-SRZをMFGセンターより入手せず、
 MFGセンターにて引き当ていただく。）
 2020/06/01 MFGセンターよりリワーク品受取り。
 2020/06/04 動作確認してOK。</t>
  </si>
  <si>
    <t>R21473</t>
  </si>
  <si>
    <t>KEYPAD CD</t>
  </si>
  <si>
    <t>表示不良 SW10</t>
  </si>
  <si>
    <t>2020/05/12 SW10 品番：3QF6IS15ESBRG、
 品名：IS-15ESBFP4RGBをMFGセンターへ交換依頼。
 2020/05/ MFGセンターよりリワーク品受取り。動作確認してOK。</t>
  </si>
  <si>
    <t>R22569</t>
  </si>
  <si>
    <t>RU_CPU CARD</t>
  </si>
  <si>
    <t>動作せず。 RN3 半田ブリッジ</t>
  </si>
  <si>
    <t>2020/05/12 MFGセンターへ修正依頼。
 2020/05/ MFGセンターよりリワーク品受取り。動作確認してOK。</t>
  </si>
  <si>
    <t>動作せず。 RN7 半田ブリッジ</t>
  </si>
  <si>
    <t>2020/05/12 MFGセンターへ修正依頼。
 2020/05/ MFGセンターよりリワーク品受取り。動作確認して
 OK。</t>
  </si>
  <si>
    <t>R22147</t>
  </si>
  <si>
    <t>IN9 12GパソロジNG</t>
  </si>
  <si>
    <t>2020/06/10 IC181 品番：3QA6Z9GS12070、
 品名：GS12070-IBE3を出庫依頼。
 2020/06/15 MFGセンターへリワーク依頼。
 2020/06/26 MFGセンターよりリワーク品受取り。
 八木さんへ動作確認を依頼。
 2021/02/12 動作確認してOK。出荷へ。</t>
  </si>
  <si>
    <t>R22440</t>
  </si>
  <si>
    <t>CPU CARD</t>
  </si>
  <si>
    <t>FRONT起動できない。
 （CPU基板についてくる問題。）
 IC54変形？</t>
  </si>
  <si>
    <t>2020/06/10 IC54 品番：3QA5AVC4T245、
 品名：SN74AVC4T245RGYRを出庫依頼。
 2020/06/15 MFGセンターへリワーク依頼。
 2020/06/26 MFGセンターよりリワーク品受取り。
 2020/07/06 動作確認してNG。（抵抗アレイ交換して確認中。）
 2020/07/16 RA32、RA35、RA24交換。動作確認してOK。</t>
  </si>
  <si>
    <t>出力2 EYEパターンレベルNG
 （12G：880以上 3G･HD：900以上）
 SDのみ正常</t>
  </si>
  <si>
    <t>2020/06/10 IC15 品番：3QA6Z6G12281、
 品名：GS12281-INE3を出庫依頼。
 2020/06/15 MFGセンターへリワーク依頼。
 2020/06/26 MFGセンターよりリワーク品受取り。
 2020/07/10 動作確認してOK。</t>
  </si>
  <si>
    <t>REAR CARD
 or
 REAR EXT CARD</t>
  </si>
  <si>
    <t>FAN5 WARNING ⇔ NORMALを繰り
 返す。</t>
  </si>
  <si>
    <t>2020/11/19 坂下Kへ調査を依頼。
 2020/11/25 渡部さんへ組配を依頼。
 2020/12/04 動作確認してOK。</t>
  </si>
  <si>
    <t>R22542</t>
  </si>
  <si>
    <t>電源を入れるたびに
 MEMORY CLEARの表示。Enterの
 ボタンがきかない。
 S7不良</t>
  </si>
  <si>
    <t>2020/06/11 S7 品番：3QF6AB15AV、品名：AB-15AVを交換。
 2020/06/18 動作確認してOK。</t>
  </si>
  <si>
    <t>R22471</t>
  </si>
  <si>
    <t>高野</t>
  </si>
  <si>
    <t>AES OUT 7/8、UBLC出力せず。
 UBLはOK。</t>
  </si>
  <si>
    <t>2020/08/13 L18 品番：3QE2NLV324R7J、
 品名：NLV32T-4R7J-EFを出庫依頼。
 2020/08/26 NLV32T-4R7J-EFをMFGセンターより入手、
 交換。
 動作確認してOK。</t>
  </si>
  <si>
    <t>R22297</t>
  </si>
  <si>
    <t>X1 実装向きが逆
 燃えた</t>
  </si>
  <si>
    <t>2020/06/10 MFGセンターへ修正依頼。
 2020/09/30 MFGセンターより修正品受取り。
 2020/10/14 動作確認してOK。</t>
  </si>
  <si>
    <t>R22244</t>
  </si>
  <si>
    <t>HVS-100PCO</t>
  </si>
  <si>
    <t>PC OUT CD</t>
  </si>
  <si>
    <t>SD(NTSC)時、SDTVフォーマットで、
 CH2のみ画と音が出力されない。
 それ以外の全フォーマット設定では
 出力される。</t>
  </si>
  <si>
    <t>2020/06/11 IC43 品番：3QAZ9A7513BSW、
 品名：ADV7513BSWZを出庫依頼。
 2020/06/15 MFGセンターへリワーク依頼。
 2020/06/26 MFGセンターよりリワーク品受取り。
 2020/07/30 動作確認してNG。
 2020/09/25 廃棄。</t>
  </si>
  <si>
    <t>R21904</t>
  </si>
  <si>
    <t>OU_CPU_CD</t>
  </si>
  <si>
    <t>ジョイスティック X、Y軸が正常に
 動作しない。Z軸は-方向へ
 振り切れる。</t>
  </si>
  <si>
    <t>2020/06/19 IC2 品番：3QA8CAM335280、
 品名：AM3352BZCZ80を出庫依頼。
 2020/06/22 MFGセンターへリワーク依頼。
 2020/07/06 MFGセンターよりリワーク品受取り。
 2020/07/06 動作確認してOK。</t>
  </si>
  <si>
    <t>R22255</t>
  </si>
  <si>
    <t>HVS-100</t>
  </si>
  <si>
    <t>MU FPGA GLのバージョン表示が
 異常。
 GLのアップデートを行っても直らず。
 （アップデート時、コンプリートも出る。）
 電圧チェックポイントはすべて正常。
 REF BBは出力されているが、3値に
 変更しても反映されない。</t>
  </si>
  <si>
    <t>2020/07/13 IC89 品番：3QA8C320D6487、
 品名：TMS320DM648ZUT7をMFGセンターより入手。
 2020/07/13 MFGセンターへリワーク依頼。
 2020/07/28 MFGセンターよりリワーク品受取り。
 2020/07/28 動作確認してOK。</t>
  </si>
  <si>
    <t>CPUが動作しない。
 FPGAコンフィグOK
 +5V、+3.3V、+2.5V、+1.8V、+1.2V OK
 RS-232通信 OK
 IC1不良？</t>
  </si>
  <si>
    <t>2020/07/06 IC1 品番：3QA8C4S76190、
 品名：R4S76190D125BGVを手配。
 2020/09/03 R4S76190D125BGVを入手。
 2020/09/04 MFGセンターへリワーク依頼。
 2020/09/25 MFGセンターよりリワーク品受取り。
 2020/09/30 動作確認してOK。</t>
  </si>
  <si>
    <t>R22564</t>
  </si>
  <si>
    <t>USF-212AS</t>
  </si>
  <si>
    <t>MOTHER CARD</t>
  </si>
  <si>
    <t>スロット10が通信しない。
 R10、R11、RA3 抵抗値OK</t>
  </si>
  <si>
    <t>2020/07/09 CN10 品番：3QG3MEC650LAK、
 品名：MEC6-150-02-L-DV-A-Kを手配。
 2020/09/03 MEC6-150-02-L-DV-A-Kを入手。
 2020/09/04 MFGセンターへリワーク依頼。
 2020/09/25 MFGセンターよりリワーク品受取り。
 2020/09/30 動作確認してOK。</t>
  </si>
  <si>
    <t>R22320</t>
  </si>
  <si>
    <t>IN2-OUT2a バイパスON時
 出力せず。（OFF時はOK。）
 RL3 or RL13がGNDとショート。</t>
  </si>
  <si>
    <t>2020/07/14 RL3交換。動作確認OK。</t>
  </si>
  <si>
    <t>R22445</t>
  </si>
  <si>
    <t>2020/07/22 PLS開発 近藤さんへ調査を依頼。
 2020/07/28 IC63 品番：3QA7ZKU0602、
 品名：XCKU060-2FFVA1156Eを手配。
 2020/10/14 MFGセンターへリワークを依頼。
 2020/11/04 MFGセンターよりリワーク品受取り。
 2020/11/24 動作確認してOK。</t>
  </si>
  <si>
    <t>「DISP」SW効かず。</t>
  </si>
  <si>
    <t>2020/07/31 D39交換。
 （井上さん組配中。）
 動作確認してOK。</t>
  </si>
  <si>
    <t>「FA-9600」から起動せず。</t>
  </si>
  <si>
    <t>2020/07/16 SDカード再書き込みでOK。</t>
  </si>
  <si>
    <t>SDカードより書き込みできず、
 起動しない。
 XILINXは書き込みOK。</t>
  </si>
  <si>
    <t>2020/10/16 調査の結果、問題なし。</t>
  </si>
  <si>
    <t>R22085</t>
  </si>
  <si>
    <t>MFR-PS</t>
  </si>
  <si>
    <t>途中で電源が入らなくなった。</t>
  </si>
  <si>
    <t>2020/07/28 品質異常報告書発行。
 2020/11/19 品番：3QJ0FPS1K48SF、
 品名：FPS1000-48/SFAを出庫依頼。
 2020/11/20 FPS1000-48/SFAを入手。</t>
  </si>
  <si>
    <t>R22153</t>
  </si>
  <si>
    <t>KEY8 CRCエラーとノイズ。
 IC1 NGか？</t>
  </si>
  <si>
    <t>2020/07/16 IC1 品番：3QA6ZG2984IN、
 品名：GS2984-INE3を出庫依頼。
 2020/07/20 MFGセンターへリワーク依頼。
 2020/08/04 MFGセンターよりリワーク品受取り。
 2020/08/04 動作確認してOK。</t>
  </si>
  <si>
    <t>R22609</t>
  </si>
  <si>
    <t>GENLOCKが一定間隔で外れる。</t>
  </si>
  <si>
    <t>2020/12/08 C992を交換。
 2020/12/10 岡野EXへ動作確認を依頼。
 2020/12/11 動作確認してOK。</t>
  </si>
  <si>
    <t>起動せず。何も表示されない。</t>
  </si>
  <si>
    <t>R22729</t>
  </si>
  <si>
    <t>SUB CD</t>
  </si>
  <si>
    <t>書き込みできない。</t>
  </si>
  <si>
    <t>2020/09/10 カメラシステム 広瀬さんへ調査を依頼。
 2020/09/16 カメラシステム 松本さんより返却。
 2020/11/20 プルアップ改造実施。
 2課へ組配を依頼。</t>
  </si>
  <si>
    <t>2020/11/20 プルアップ改造実施。
 2課へ組配を依頼。</t>
  </si>
  <si>
    <t>R22746</t>
  </si>
  <si>
    <t>2020/11/20 プルアップ改造実施。
 2課へ組配を依頼。
 2021/01/27 八木さんにより動作確認してOK。</t>
  </si>
  <si>
    <t>②</t>
  </si>
  <si>
    <t>④</t>
  </si>
  <si>
    <t>2020/11/20 プルアップ改造実施。
 2課へ組配を依頼。
 2021/02/16 八木さんにより動作確認してOK。</t>
  </si>
  <si>
    <t>⑥</t>
  </si>
  <si>
    <t>R22575</t>
  </si>
  <si>
    <t>FRONT SW CARD</t>
  </si>
  <si>
    <t>「LOCK」SW効かず。</t>
  </si>
  <si>
    <t>2020/07/29 D9交換。動作確認OK。</t>
  </si>
  <si>
    <t>R22584</t>
  </si>
  <si>
    <t>FA-96EX3G44-R</t>
  </si>
  <si>
    <t>SDI IO CARD</t>
  </si>
  <si>
    <t>SLOT A INFOに
 "FA-96EX3G44-R"と
 "R1.01.00"（バージョン）が
 表示されない。</t>
  </si>
  <si>
    <t>2020/10/16 イニシャルで復帰。</t>
  </si>
  <si>
    <t>R22418</t>
  </si>
  <si>
    <t>CN5 半田ブリッジ</t>
  </si>
  <si>
    <t>2020/07/31 MFGセンターへ修正依頼。
 2020/08/26 MFGセンターより修正品受取り。
 2020/11/16 動作確認してOK。</t>
  </si>
  <si>
    <t>R22571</t>
  </si>
  <si>
    <t>CN14 固い</t>
  </si>
  <si>
    <t>2020/08/04 CN14 品番：3QG3PCL712A、品名：PCL712Aを
 購買課より入手。
 動作確認してOK。</t>
  </si>
  <si>
    <t>R22108</t>
  </si>
  <si>
    <t>MOTHER BOARD</t>
  </si>
  <si>
    <t>CN103が取れた。</t>
  </si>
  <si>
    <t>2020/08/03 MFGセンターへ圧入を依頼。
 MFGセンターより圧入品受取り。
 2020/09/07 製造2課（渡部さん）に引き渡し。</t>
  </si>
  <si>
    <t>R22532</t>
  </si>
  <si>
    <t>コールドスタート時、正常に
 起動しない。
 （コンフィグ動作を何回も繰り返す。）
 基板が温まってくると通常動作。
 +5V、+3.3V、+1.8V、+1.2V出力OK。</t>
  </si>
  <si>
    <t>2020/08/26 IC1 品番：3QA8C320D6487、
 品名：TMS320DM648ZUT7を出庫依頼。
 2020/09/07 MFGセンターへリワーク依頼。
 2020/09/25 MFGセンターよりリワーク品受取り。
 2020/09/30 動作確認してOK。</t>
  </si>
  <si>
    <t>2020/09/30 IC1 品番：3QA8C320D6487、
 品名：TMS320DM648ZUT7を出庫依頼。
 2020/10/08 MFGセンターへリワーク依頼。
 2020/10/26 MFGセンターよりリワーク品を受取り。
 2020/10/28 動作確認してOK。</t>
  </si>
  <si>
    <t>R22552</t>
  </si>
  <si>
    <t>FRC-9100</t>
  </si>
  <si>
    <t>PROCESS CARD</t>
  </si>
  <si>
    <t>LANからのデータ書込みができない。
 USBブラスターの書込みはOK。
 CN24 半田ブリッジ</t>
  </si>
  <si>
    <t>2020/08/05 MFGセンターへ修正を依頼。
 2020/08/26 MFGセンターより修正品受取り。
 2020/10/26 動作確認してOK。</t>
  </si>
  <si>
    <t>起動不良。FAN1、2、STATUSが
 STOP。
 SDカード入換えでもNG。</t>
  </si>
  <si>
    <t>2020/09/07 何もせずに復帰。
 IF CN12、MAIN CN30接点洗浄剤にてクリーニング。</t>
  </si>
  <si>
    <t>R22016</t>
  </si>
  <si>
    <t>D51破損</t>
  </si>
  <si>
    <t>2020/08/31 D51 品番：3QB3SML512M、
 品名：SML-512MWT86を交換。
 2020/09/01 動作確認してOK。</t>
  </si>
  <si>
    <t>R22138</t>
  </si>
  <si>
    <t>ファン③ Warning表示が出ない時が
 ある。
 フロントパネルを付けると消える。）</t>
  </si>
  <si>
    <t>2020/08/26 品番：3QZ4P1430、
 品名：P-1430 (9GV0612P1M03)を手配。
 2020/10/14 P-1430 (9GV0612P1M03)を受取り。</t>
  </si>
  <si>
    <t>GENLOCKのみVER. UP不可の上、
 誤表示。
 3値OUT出ない。
 時刻設定不可能でカウントもしない。</t>
  </si>
  <si>
    <t>2020/08/31 IC89 品番：3QA8C320D6487、
 品名：TMS320DM648ZUT7を出庫依頼。
 2020/09/01 MFGセンターへリワーク依頼。
 2020/09/16 MFGセンターよりリワーク品を受取り。
 2020/07/28 動作確認してOK。</t>
  </si>
  <si>
    <t>R22321</t>
  </si>
  <si>
    <t>HD 100m AUX1、KEY4 OUT
 CRCエラー</t>
  </si>
  <si>
    <t>2020/09/01 IC55 品番：3QA6ZG2988、
 品名：GS2988-INE3を出庫依頼。
 2020/09/07 MFGセンターへリワーク依頼。
 2020/09/23 MFGセンターよりリワーク品受取り。
 2020/09/30 動作確認してOK。</t>
  </si>
  <si>
    <t>HD 100m KEY4-KEY CRCエラー
 (AUX1)</t>
  </si>
  <si>
    <t>R22679</t>
  </si>
  <si>
    <t>井伊</t>
  </si>
  <si>
    <t>SDの時にOUT 1aがNG→No Signal
 HDの時はOUT 1a OK</t>
  </si>
  <si>
    <t>2020/10/05 IC24 品番：3QA7Z10AX0662、
 品名：10AX066N2F40E2SGを手配。 → 余剰を引き当て。
 2020/10/15 MFGセンターへリワークを依頼。
 2020/11/04 MFGセンターよりリワーク品を受取り。
 2020/11/11 IC43 品番：3QA6ZL1218RTW、
 品名：LMH1218RTWTを出庫依頼。
 2020/11/17 MFGセンターへリワークを依頼。
 2020/11/30 MFGセンターよりリワーク品を受取り。
 岡野EXへ動作確認を依頼。
 2020/12/02 動作確認してOK。</t>
  </si>
  <si>
    <t>REAR CARD</t>
  </si>
  <si>
    <t>CN17破損</t>
  </si>
  <si>
    <t>2020/09/01 CN17 品番：3QG0182241、品名：5188224-1を
 出庫依頼。
 2020/09/09 MFGセンターへ圧入を依頼。
 2020/09/16 MFGセンターより圧入品を受取り。
 2020/10/27 動作確認してOK。</t>
  </si>
  <si>
    <t>CN15、CN16 ピン折れ</t>
  </si>
  <si>
    <t>2020/11/04 サービス（大西課代）へ修理を依頼。
 2020/11/17 MFGセンターへCN15、CN16の圧入を依頼。
 2020/11/27 MFGセンターより圧入品を受取り。
 サービス（大西課代）により、動作確認中。
 2020/12/01 動作確認してOK。</t>
  </si>
  <si>
    <t>R22408</t>
  </si>
  <si>
    <t>BKGD IN 3G 1080/59.94p
 パソロジ NG</t>
  </si>
  <si>
    <t>2020/09/04 IC1 品番：3QA6Z6G3440、品名：GS3440-INE3を
 出庫依頼。
 2020/09/11 MFGセンターへリワークを依頼。
 2020/09/25 MFGセンターよりリワーク品受取り。
 八木さんへ動作確認を依頼。
 2021/01/19 動作確認してOK。</t>
  </si>
  <si>
    <t>R22157</t>
  </si>
  <si>
    <t>MV-42HSA</t>
  </si>
  <si>
    <t>メモリチェック NG:08</t>
  </si>
  <si>
    <t>2020/09/11 IC16 品番：3QA7D47H64S25、
 品名：MT47H64M16NF-25E:Mを手配。
 2020/10/14 MFGセンターへリワークを依頼。
 2020/11/04 MFGセンターよりリワーク品を受取り。
 2020/12/14 2課 谷口Sへ組配を依頼。</t>
  </si>
  <si>
    <t>R22661</t>
  </si>
  <si>
    <t>MFR-16MADIPO</t>
  </si>
  <si>
    <t>IOEX CD</t>
  </si>
  <si>
    <t>2課
 渡部</t>
  </si>
  <si>
    <t>CN6破損（接続部が開いている。）</t>
  </si>
  <si>
    <t>2020/09/01 CN6 品番：3QG0204780、品名：204780を
 出庫依頼。
 2020/09/09 MFGセンターへ圧入を依頼。
 2020/09/25 MFGセンターより圧入品を受取り。
 2020/09/30 接続を確認してOK。</t>
  </si>
  <si>
    <t>R22580</t>
  </si>
  <si>
    <t>MV-32PCDO</t>
  </si>
  <si>
    <t>IC143 0.9V出力していない。</t>
  </si>
  <si>
    <t>2020/09/01 IC143 品番：3QJBK5306GQ、品名：EN5366QIを
 手配。
 2020/10/14 MFGセンターへリワークを依頼。
 2020/11/04 MFGセンターよりリワーク品を受取り。
 2020/12/02 動作確認してOK。</t>
  </si>
  <si>
    <t>DISP SW 効かず。</t>
  </si>
  <si>
    <t>2020/10/05 D39 品番：3QB2RBE05AS20、
 品名：RBE05AS20AT2Rを出庫依頼。
 2020/10/15 修理不能のため廃棄。</t>
  </si>
  <si>
    <t>R22114</t>
  </si>
  <si>
    <t>電源を入れても、FU1ポイント以外
 電圧が出力されない。
 テストポイントのショートチェックは
 異常なし。</t>
  </si>
  <si>
    <t>2020/09/14 IC13 1ピン 未半田（足の浮き）。半田付け。
 2020/09/14 動作確認してOK。</t>
  </si>
  <si>
    <t>R22039</t>
  </si>
  <si>
    <t>SW4、5、15、16、26、27、37、38、
 46、47の緑が点灯しない。</t>
  </si>
  <si>
    <t>2020/09/12 CN1の洗浄を実施。
 動作確認してOK。</t>
  </si>
  <si>
    <t>OUT1a･1bの12Gのみ出力しない。
 SD･HD･3G出力はOK。
 OUT2～4は12G出力もOK。
 IC4不良</t>
  </si>
  <si>
    <t>2020/09/14 IC4 品番：3QA6ZL1218RTW、
 品名：LMH1218RTWTを出庫依頼。
 2020/10/02 MFGセンターへリワークを依頼。
 2020/10/19 MFGセンターよりリワーク品を受取り。
 2020/10/21 動作確認してOK。</t>
  </si>
  <si>
    <t>OUT3a･3bの12Gのみ出力しない。
 SD･HD･3G出力はOK。
 OUT1、2、4は12G出力もOK。
 IC7不良</t>
  </si>
  <si>
    <t>2020/09/14 IC7 品番：3QA6ZL1218RTW、
 品名：LMH1218RTWTを出庫依頼。
 2020/10/02 MFGセンターへリワークを依頼。
 2020/10/19 MFGセンターよりリワーク品を受取り。
 2020/10/21 動作確認してOK。</t>
  </si>
  <si>
    <t>R22412</t>
  </si>
  <si>
    <t>HVS-100OU</t>
  </si>
  <si>
    <t>LEDSWのAUX1(SW40)が点灯しない。
 押して動作反応はする。
 ボトム側が原因。
 テスタで電流を流すと点灯する。</t>
  </si>
  <si>
    <t>2020/09/14 Q105 故障のため交換。
 動作確認してOK。</t>
  </si>
  <si>
    <t>12G以外のフォーマットでOUT1aが
 NG。</t>
  </si>
  <si>
    <t>2020/10/19 IC43 品番：3QA6ZL1218RTW、
 品名：LMH1218RTWTを出庫依頼。
 2020/10/30 MFGセンターへリワークを依頼。
 2020/11/17 MFGセンターよりリワーク品を受取り。
 岡野EXへ動作確認を依頼。
 2020/11/19 動作確認してOK。</t>
  </si>
  <si>
    <t>R20874</t>
  </si>
  <si>
    <t>FB9破損</t>
  </si>
  <si>
    <t>2020/09/14 FB9 品番：3QE5BPBLM221、
 品名：BLM18PG221SN1Dを出庫依頼。
 2020/09/25 MFGセンターよりBLM18PG221SN1Dを入手。
 2020/10/05 動作確認してOK。</t>
  </si>
  <si>
    <t>R22350</t>
  </si>
  <si>
    <t>マイクロSDより書き込みできず。
 テラターム通信せず。</t>
  </si>
  <si>
    <t>2020/09/14 SP開発部 岡田課長へ調査を依頼。
 2020/10/16 調査の結果、問題なし。</t>
  </si>
  <si>
    <t>NTSC系信号(SD･HD･3G)入力時、
 REFの有無に関係なくロックしない。
 PAL系信号はOK。
 ①IC48(AD8091)交換
 ②X2(148.35MHz)交換
 ③IC47交換</t>
  </si>
  <si>
    <t>2020/09/16 IC48 品番：3QA60AD8091R、
 品名：AD8091ARZ-REEL7を交換。動作確認してNG。
 2020/09/16 X2 品番：3QZ6CAP3L1483、
 品名：CAP30AXE-L148.352MHZを出庫依頼。
 2020/10/05 MFGセンターへリワークを依頼。
 2020/10/19 MFGセンターよりリワーク品を受取り。
 2020/10/21 動作確認してNG。
 2020/10/27 IC47 品番：3QA64BU2373FV、
 品名：BU2373FV-E2を出庫依頼。
 2020/10/30 MFGセンターよりBU2373FV-E2を入手。
 動作確認してNG。
 2020/11/13 X2を交換。動作確認してOK。</t>
  </si>
  <si>
    <t>1080/59.94i
 HD 100m KEY4-KEY AUX1OUT
 CRCエラー</t>
  </si>
  <si>
    <t>2020/09/28 IC55 品番：3QA6ZG2988、品名：GS2988-INE3を
 出庫依頼。
 2020/09/28 MFGセンターへリワークを依頼。
 2020/10/02 MFGセンターよりリワーク品受取り。
 2020/10/05 動作確認してNG。
 2020/10/05 IC10 品番：3QA6ZG2984IN、
 品名：GS2984-INE3を出庫依頼。
 2020/10/06 MFGセンターへリワークを依頼。
 2020/10/05 MFGセンターよりリワーク品を受取り。
 2020/10/20 動作確認してOK。</t>
  </si>
  <si>
    <t>RL19 不良</t>
  </si>
  <si>
    <t>2020/10/12 RL19 品番：3QF9ARS10Y03、品名：ARS10Y03を
 出庫依頼。
 2020/10/13 MFGセンターへ交換を依頼。
 2020/10/26 MFGセンターより交換品受取り。
 2020/10/28 動作確認してOK。</t>
  </si>
  <si>
    <t>REF OUT出力せず。（Ver.表示NG）
 時刻設定不可</t>
  </si>
  <si>
    <t>2020/10/12 IC89 品番：3QA8C320D6487、
 品名：TMS320DM648ZUT7を出庫依頼。
 2020/10/13 MFGセンターへリワークを依頼。
 2020/11/04 MFGセンターよりリワーク品を受取り。
 動作確認してOK。</t>
  </si>
  <si>
    <t>R22620</t>
  </si>
  <si>
    <t>REAR EXT CARD</t>
  </si>
  <si>
    <t>FANアラームの表示が実際と異なる。</t>
  </si>
  <si>
    <t>2020/10/07 IC1 品番：3QAAPM9842、
 品名：00 10M02SCE144C8Gを手配。
 2020/11/05 MFGセンターへリワークを依頼。
 2020/11/25 MFGセンターよりリワーク品を受取り。
 渡部さんへ組配を依頼。</t>
  </si>
  <si>
    <t>R22813</t>
  </si>
  <si>
    <t>VIDEO CARD</t>
  </si>
  <si>
    <t>画出ず。</t>
  </si>
  <si>
    <t>2020/10/05 IC20 品番：3QA6Z9B8316GW、
 品名：BD8316GWL-E2を出庫依頼。
 2020/10/12 MFGセンターへリワークを依頼。
 2020/10/26 MFGセンターよりリワーク品受取り。
 2020/10/20 動作確認してOK。</t>
  </si>
  <si>
    <t>R22544</t>
  </si>
  <si>
    <t>MV-12IF</t>
  </si>
  <si>
    <t>RS-232C 動作しない。</t>
  </si>
  <si>
    <t>坂下Kへ調査を依頼。
 2020/12/10 RL2-4ピン 未半田 修正
 動作確認してOK。出荷へ。</t>
  </si>
  <si>
    <t>R22757</t>
  </si>
  <si>
    <t>1080/59、50 3G ストレスNG IN2</t>
  </si>
  <si>
    <t>2020/10/07 IC11 品番：3QA6Z6G3440、
 品名：GS3440-INE3を出庫依頼。
 2020/10/09 MFGセンターへリワークを依頼。
 2020/10/26 MFGセンターよりリワーク品受取り。
 2020/11/05 動作確認してOK。</t>
  </si>
  <si>
    <t>R22533</t>
  </si>
  <si>
    <t>CODEC IF CARD</t>
  </si>
  <si>
    <t>OUT1のみ出力されず。
 （LMH1、2共に）</t>
  </si>
  <si>
    <t>2020/10/06 IC10 品番：3QA6ZG2988、品名：GS2988-INE3を
 出庫依頼。
 2020/10/08 MFGセンターへリワークを依頼。
 2020/10/26 MFGセンターよりリワーク品受取り。
 2020/10/29 動作確認してOK。</t>
  </si>
  <si>
    <t>R22751</t>
  </si>
  <si>
    <t>FA-AUX30</t>
  </si>
  <si>
    <t>CONNECT CD</t>
  </si>
  <si>
    <t>CN3（D-SUB25pinコネクタ）の16pinに
 半田ボールが詰まっている。</t>
  </si>
  <si>
    <t>2020/10/08 CN3 品番：3QG3DB25ST、
 品名：DB-25SF-T-Nを手配。
 2020/10/30 MFGセンターへ交換を依頼。
 2020/11/04 MFGセンターより交換品を受取り。
 2020/11/05 接続確認してOK。</t>
  </si>
  <si>
    <t>R22436</t>
  </si>
  <si>
    <t>SUB_MOTHER_BD</t>
  </si>
  <si>
    <t>2課
 滝沢</t>
  </si>
  <si>
    <t>コネクタ(CN1)不良
 接続したときの引っ掛かりがない。</t>
  </si>
  <si>
    <t>2020/10/07 CN1 品番：3QG3PCIH47F、
 品名：PCIH47F300A1/AA-246.0を手配。
 2020/11/11 MFGセンターへ交換を依頼。
 2020/11/17 MFGセンターより交換品を受取り。
 滝沢さんへ接続確認を依頼。
 2020/12/08 接続確認してOK。</t>
  </si>
  <si>
    <t>Cyclone立ち上がらない？
 各電源のSTATUS LEDはOK。</t>
  </si>
  <si>
    <t>動作確認してOK。</t>
  </si>
  <si>
    <t>R22491</t>
  </si>
  <si>
    <t>ENC2不良
 （カウントUP、DOWN共にしない。）</t>
  </si>
  <si>
    <t>2020/10/12 ENC2 品番：3QFZREC16B25C、
 品名：REC16B25-201-Cを出庫依頼。
 2020/10/13 MFGセンターへ交換を依頼。
 2020/10/26 MFGセンターより交換品受取り。
 2020/11/09 動作確認してOK。</t>
  </si>
  <si>
    <t>R22122</t>
  </si>
  <si>
    <t>CN1 不良</t>
  </si>
  <si>
    <t>2020/10/12 CN1 品番：3QG3512966094、
 品名：51296-6094を出庫依頼。
 2020/10/13 MFGセンターへリワークを依頼。
 2020/11/04 MFGセンターよりリワーク品を受取り。
 2020/11/05 接続確認してOK。</t>
  </si>
  <si>
    <t>時刻設定した後に電源を切ると、
 約10時間ほどで時刻が止まる。
 再び電源を入れると、止まっていた時間分ズレる。</t>
  </si>
  <si>
    <t>坂下Kへ調査を依頼。
 2021/03/19 C1296交換
 動作確認してNG。
 2021/03/29 R833交換
 動作確認してOK。
 2課 渡部さんへ引き渡し。</t>
  </si>
  <si>
    <t>R22360</t>
  </si>
  <si>
    <t>ディップスイッチ(S101)の8が破損</t>
  </si>
  <si>
    <t>2020/10/15 S101 品番：3QF0KHS08C、品名：KHS82Eを
 出庫依頼。
 2020/10/21 KHS82Eを入手。
 2020/10/28 動作確認してOK。</t>
  </si>
  <si>
    <t>CN228 ピン折れ</t>
  </si>
  <si>
    <t>2020/10/15 CN228 品番：3QG0EB0C0BA、
 品名：61-8071-133-300-007を出庫依頼。
 2020/10/19 MFGセンターへ圧入を依頼。
 2020/10/29 CN28 品番：3QG0923132、品名：923132を手配。
 2020/11/11 923132をMFGセンターへ発送。
 2020/12/07 2課滝沢さんへ引き渡し。</t>
  </si>
  <si>
    <t>R22070</t>
  </si>
  <si>
    <t>1080/59.94PでSTILLをキャプチャ
 すると、メモリのゴミのような何かが
 写る場合がある。再起動で復帰。
 M/E出力に異常なし。</t>
  </si>
  <si>
    <t>2020/10/20 SP開発部 岡田課長からのアドバイス待ち。
 2021/01/27 IC76、77、78 品番：3QA65M2135213、
 品名：M21352G-13を出庫依頼。
 2021/02/01 MFGセンターへリワークを依頼。
 2021/02/22 MFGセンターよりリワーク品を受取り。
 齋藤さんへ動作確認を依頼。
 動作確認してOK。R番の生産に投入。</t>
  </si>
  <si>
    <t>2020/10/19 IC20 品番：3QA6Z9B8316GW、
 品名：BD8316GWL-E2を出庫依頼。
 2020/10/29 MFGセンターへリワークを依頼。
 2020/11/17 MFGセンターよりリワーク品受取り。
 坂下Kへ動作確認を依頼。
 動作確認してOK。</t>
  </si>
  <si>
    <t>R22818</t>
  </si>
  <si>
    <t>2課
 山倉</t>
  </si>
  <si>
    <t>CN8 破損</t>
  </si>
  <si>
    <t>2020/10/19 CN8 品番：3QG3512966094、
 品名：51296-6094を出庫依頼。
 2020/10/29 MFGセンターへリワークを依頼。
 2020/11/17 MFGセンターよりリワーク品を受取り。
 谷口Sへ引き渡し。</t>
  </si>
  <si>
    <t>入力信号のキャプチャ、クリップが
 動作しない。
 インプットスチルは正常。
 SD等からの映像読み込みはOK。
 FS正常</t>
  </si>
  <si>
    <t>2020/10/28 IC74 品番：3QA7Z6VLX130T、
 品名：XC6VLX130T-1FFG1156Cを手配。
 2020/11/13 MFGセンターへリワークを依頼。
 2020/11/30 MFGセンターよりリワーク品を受取り。
 石黒さんへ動作確認を依頼。
 2021/01/25 動作確認した結果、NG。
 IC76、77、78 品番：3QA65M2135213、
 品名：M21352G-13を出庫依頼。
 2021/02/01 MFGセンターへリワークを依頼。
 2021/02/17 MFGセンターよりリワーク品を受取り。
 2021/02/22 石黒さんへ動作確認を依頼。
 2021/03/22 動作確認してOK。
 2021/03/25 坂下Kへ品質異常報告書の発行を依頼。
 製造2課 渡部さんに引き渡し。</t>
  </si>
  <si>
    <t>ファン4 Warning表示</t>
  </si>
  <si>
    <t>SP開発部 石井さんへ調査を依頼。
 2021/05/12 開発側にて対策完了。
 現品は製造2課 滝沢さんに引き渡し。</t>
  </si>
  <si>
    <t>R21991</t>
  </si>
  <si>
    <t>IN1 12G-SDI ストレスチェックNG
 HD、SD入力時はOK。</t>
  </si>
  <si>
    <t>2020/10/27 IC175 品番：3QA6Z9GS12070、
 品名：GS12070-IBE3を出庫依頼。
 2020/10/30 MFGセンターへリワークを依頼。
 2020/11/17 MFGセンターよりリワーク品を受取り。
 八木さんへ動作確認を依頼。
 2021/01/26 動作確認してOK。</t>
  </si>
  <si>
    <t>R20934</t>
  </si>
  <si>
    <t>リワークでCN39が溶けている。
 要交換。</t>
  </si>
  <si>
    <t>2020/12/17 CN39 品番：3QG1BPLH3PA、
 品名：BCJ-BPLH3PAを手配。
 2021/01/12 MFGセンターへ交換を依頼。
 2021/01/18 MFGセンターより交換品を受取り。
 製造2課 井上さんへR番への投入を依頼。</t>
  </si>
  <si>
    <t>IN22、26 100mパソロジノイズ</t>
  </si>
  <si>
    <t>2020/12/24 IC8、IC12 品番：3QA6Z6G3440、
 品名：GS3440-INE3を出庫依頼。
 2020/12/29 MFGセンターへリワークを依頼。
 2021/01/25 MFGセンターよりリワーク品を受取り。
 小川Sへ動作確認を依頼。
 2021/01/26 動作確認してOK。
 製造2課 渡部さんへ引き渡し。</t>
  </si>
  <si>
    <t>1 BNC 芯線変形</t>
  </si>
  <si>
    <t>2020/11/02 CN6 品番：3QG1B75LR1PC、
 品名：BNC75-LR1-PCEを出庫依頼。
 2020/11/09 MFGセンターへ交換を依頼。
 2020/11/25 MFGセンターより交換品を受取り。
 渡部さんへ組配を依頼。接続確認してOK。</t>
  </si>
  <si>
    <t>R22653</t>
  </si>
  <si>
    <t>LCD10、12、15、17が正常に
 表示しない。</t>
  </si>
  <si>
    <t>2020/11/05 IC23～25 品番：3QA5LVC245BT、
 品名：RD74LVC245BTELL-Eを出庫依頼。
 岡野EXへ動作確認を依頼。
 2021/02/08 CN4 品番：3QG3DF1520P32、
 品名：DF15(3.2)-20DP-0.65Vを出庫依頼。
 2021/02/15 MFGセンターへ交換を依頼。
 2021/02/19 MFGセンターより交換品を受取り。
 岡野EXへ動作確認を依頼。
 2021/06/23 動作確認してOK。製造2課 滝沢さんへ引き渡し。</t>
  </si>
  <si>
    <t>IN32(IN16) 100mノイズ</t>
  </si>
  <si>
    <t>2020/12/24 IC18 品番：3QA6Z6G3440、
 品名：GS3440-INE3を出庫依頼。
 2020/12/29 MFGセンターへリワークを依頼。
 2021/01/25 MFGセンターよりリワーク品を受取り。
 小川Sへ動作確認を依頼。
 2021/01/26 動作確認してOK。
 製造2課 渡部さんへ引き渡し。</t>
  </si>
  <si>
    <t>R22481</t>
  </si>
  <si>
    <t>MFR-30PS</t>
  </si>
  <si>
    <t>途中で電源が入らなくなった。
 リアLED AC点灯、DC消灯</t>
  </si>
  <si>
    <t>2020/11/02 品番：3QJ0DS760SL3、品名：DS760SL-3を
 出庫依頼。
 2020/11/04 DS760SL-3を入手。</t>
  </si>
  <si>
    <t>R22298</t>
  </si>
  <si>
    <t>ME1OUT DVE-ONでショックが出る。
 （BUS、KEYER共に）</t>
  </si>
  <si>
    <t>2020/11/09 半田面に半田が飛び散っていた。
 2020/11/10 MFGセンターへ修正を依頼。
 2020/11/11 MFGセンターより修正品を受取り。
 製造二課へ引き渡し。</t>
  </si>
  <si>
    <t>R22414</t>
  </si>
  <si>
    <t>ロータリーエンコーダF2押し、長押しで
 動作しない。</t>
  </si>
  <si>
    <t>2020/11/06 ENC2 品番：3QFZ16K25WH、
 品名：REC16K25-201 ｶﾅｸﾞﾂｷを出庫依頼。
 2020/11/11 MFGセンターへ交換を依頼。
 2020/11/17 MFGセンターより交換品を受取り。
 石黒さんへ動作確認を依頼。
 2020/11/24 動作確認してOK。</t>
  </si>
  <si>
    <t>エンコーダ 長押し反応せず</t>
  </si>
  <si>
    <t>2020/11/11 ENC3 品番：3QFZ16K25WH、
 品名：REC16K25-201 ｶﾅｸﾞﾂｷを出庫依頼。
 2020/11/17 MFGセンターへ交換を依頼。
 2020/11/25 MFGセンターより交換品を受取り。
 小川Sへ動作確認を依頼。
 2020/11/27 動作確認してOK。</t>
  </si>
  <si>
    <t>ACアダプタ刺さらない。</t>
  </si>
  <si>
    <t>2020/11/11 CN14 品番：3QG3PCL712A、品名：PCL712Aを
 購買課より入手。
 2020/11/19 交換を実施。
 2020/11/20 接続確認してOK。</t>
  </si>
  <si>
    <t>CN14 実装不良
 （ACアダプタが刺さらない。）</t>
  </si>
  <si>
    <t>ACアダプタが刺さらない。</t>
  </si>
  <si>
    <t>2020/11/13 CN15 品番：3QG3PCL712A、品名：PCL712Aを
 購買課より入手。
 2020/11/19 交換を実施。
 2020/11/20 接続確認してOK。</t>
  </si>
  <si>
    <t>R21533</t>
  </si>
  <si>
    <t>IC220 位置ズレ</t>
  </si>
  <si>
    <t>2020/11/17 IC220 品番：3QJ0BK5303GQ、
 品名：EN5336QIを手配。
 2020/12/02 MFGセンターへリワークを依頼。
 2020/12/22 MFGセンターよりリワーク品を受取り。
 坂下Kへ動作確認を依頼。
 動作確認してOK。</t>
  </si>
  <si>
    <t>R22695</t>
  </si>
  <si>
    <t>D1 破損</t>
  </si>
  <si>
    <t>2020/11/27 D1 品番：3QB3SMLD15D、
 品名：SML-D15DWT86を交換。
 2課 井上さんへ組配を依頼。</t>
  </si>
  <si>
    <t>D34 破損</t>
  </si>
  <si>
    <t>2020/11/27 D1 品番：3QB2RBE05AS20、
 品名：RBE05AS20AT2Rを交換。
 2課 井上さんへ組配を依頼。</t>
  </si>
  <si>
    <t>R22754</t>
  </si>
  <si>
    <t>IVS-710HS</t>
  </si>
  <si>
    <t>ロックしない</t>
  </si>
  <si>
    <t>2020/12/04 坂下Kへ調査を依頼。
 2020/12/15 問題なくロックする。</t>
  </si>
  <si>
    <t>ビット落ち</t>
  </si>
  <si>
    <t>2020/12/04 坂下Kへ調査を依頼。
 2020/12/15 現象再現せず。</t>
  </si>
  <si>
    <t>2021/03/19 C227、229 交換
 2021/03/23 八木さんにより動作確認してOK。出荷へ。</t>
  </si>
  <si>
    <t>R22833</t>
  </si>
  <si>
    <t>SDショート時、画出ず。
 200mは出る。</t>
  </si>
  <si>
    <t>2020/12/07 IC12 品番：3QA6Z6G3440、
 品名：GS3440-INE3を出庫依頼。
 2020/12/09 MFGセンターへリワークを依頼。
 2021/01/05 MFGセンターよりリワーク品を受取り。
 小川Sへ動作確認を依頼。
 2021/01/20 動作確認してOK。
 2021/01/21 製造2課 渡部さんへ引き渡し。</t>
  </si>
  <si>
    <t>Stillのキャプチャができない。</t>
  </si>
  <si>
    <t>R22130</t>
  </si>
  <si>
    <t>CN3とCN7に基板を入れると
 画が乱れる。</t>
  </si>
  <si>
    <t>2020/12/10 坂下Kへ調査を依頼。
 2020/12/14 CN7を洗浄。
 滝沢さんへ組配を依頼。</t>
  </si>
  <si>
    <t>L15 破損</t>
  </si>
  <si>
    <t>2020/12/10 L15 品番：3QE2NLV324R7J、
 品名：NLV32T-4R7J-EFを出庫依頼。
 2020/12/17 NLV32T-4R7J-EFを受取り。
 動作確認してOK。井上さんへ組配を依頼。</t>
  </si>
  <si>
    <t>OUT1a SD信号のみ出力しない。</t>
  </si>
  <si>
    <t>2020/12/14 井上さんへMAIN CARDの取外しを依頼。
 IC43 品番：3QA6ZL1218RTW、品名：LMH1218RTWTを
 出庫依頼。
 2020/12/17 MFGセンターへリワークを依頼。
 2021/01/13 MFGセンターよりリワーク品を受取り。
 2021/01/18 岡野EXへ動作確認を依頼。
 動作確認してOK。製造2課 井上さんへ引き渡し。</t>
  </si>
  <si>
    <t>IN15 CRCエラー (HD 100m)</t>
  </si>
  <si>
    <t>2020/12/10 IC16 品番：3QA6Z6G3440、
 品名：GS3440-INE3を出庫依頼。
 2020/12/14 MFGセンターへリワークを依頼。
 2021/01/05 MFGセンターよりリワーク品を受取り。
 小川Sへ動作確認を依頼。
 2021/01/19 動作確認してOK。
 HVS-490MF S/N:17140326に組込み。</t>
  </si>
  <si>
    <t>R21591</t>
  </si>
  <si>
    <t>IN13 パソロジNG 12Gのみ</t>
  </si>
  <si>
    <t>2020/12/14 IC184 品番：3QA6Z9GS12070、
 品名：GS12070-IBE3を出庫依頼。
 2020/12/17 MFGセンターへリワークを依頼。
 2021/01/13 MFGセンターよりリワーク品を受取り。
 坂下Kへ動作確認を依頼。
 2021/01/18 動作確認してOK。八木さんへ引き渡し。
 2021/01/26 動作確認してOK。</t>
  </si>
  <si>
    <t>R22420</t>
  </si>
  <si>
    <t>CPU SW CD</t>
  </si>
  <si>
    <t>SW21 高輝度で点灯しない。
 SW24 低輝度で点灯しない。
 ⇒ 外部抵抗で確認すると問題なし。
 ⇒ ALTERAの制御が異常？</t>
  </si>
  <si>
    <t>2020/12/16 IC21 品番：3QAAPM9157、
 品名：00 EPM7128AETC100-10Nを手配。
 2021/01/12 石川Kへ交換作業を依頼。
 2021/02/05 齋藤さんへ動作確認を依頼。
 2021/02/08 門脇Sが動作確認してOK。出荷へ。</t>
  </si>
  <si>
    <t>R22259</t>
  </si>
  <si>
    <t>起動せず。DL不可。
 IC33 pin10 出力なし
 IC12 2-3pin ショート</t>
  </si>
  <si>
    <t>2020/12/22 IC33 品番：3QJ0PV006A0X3、
 品名：PVX006A0X3-SRZを出庫依頼。
 2020/12/28 MFGセンターへリワークを依頼。
 2021/01/25 MFGセンターよりリワーク品を受取り。
 石黒さんへ動作確認を依頼。
 動作確認してNG。
 2021/02/02 MFGセンターへショートの修正を依頼。
 2021/02/08 MFGセンターより修正品を受取り。
 小川Sへ動作確認を依頼。
 動作確認してOK。出荷へ。</t>
  </si>
  <si>
    <t>3a、3bホットスタート時、
 12G信号のみ出力しない。
 IC8を冷却すると復帰。</t>
  </si>
  <si>
    <t>2020/12/24 IC8 品番：3QA6ZL1218RTW、
 品名：LMH1218RTWTを出庫依頼。
 2020/12/28 MFGセンターへリワークを依頼。
 2021/01/25 MFGセンターよりリワーク品を受取り。
 岡野EXへ動作確認を依頼。
 2021/01/29 動作確認してOK。
 （パネルの取り付けを製造2課 井上さんへ依頼する。）</t>
  </si>
  <si>
    <t>1a、1bホットスタート時、
 12G信号のみ出力しない。
 IC5を冷却すると復帰。</t>
  </si>
  <si>
    <t>2020/12/24 IC5 品番：3QA6ZL1218RTW、
 品名：LMH1218RTWTを出庫依頼。
 2020/12/28 MFGセンターへリワークを依頼。
 2021/01/25 MFGセンターよりリワーク品を受取り。
 岡野EXへ動作確認を依頼。
 2021/01/29 動作確認してOK。
 （パネルの取り付けを製造2課 井上さんへ依頼する。）</t>
  </si>
  <si>
    <t>R22829</t>
  </si>
  <si>
    <t>スチルNG 真っ黒</t>
  </si>
  <si>
    <t>2020/12/24 PLS開発 大場Kへ調査を依頼。
 2020/12/25 品番：3QJC1D424K16G、
 品名：D4N2400-B16GSCGを交換。
 2020/12/28 動作確認してOK。
 HVS-6000M S/N:18120014に組込み。</t>
  </si>
  <si>
    <t>SUB_SW CARD</t>
  </si>
  <si>
    <t>ラバースイッチ USER BUTTON 8で
 白点灯しない。
 LED99破損</t>
  </si>
  <si>
    <t>2021/01/08 LED99交換
 動作確認してOK。</t>
  </si>
  <si>
    <t>LEDSW AUX1が点灯しない。
 押して反応あり。</t>
  </si>
  <si>
    <t>2021/01/08 Q105交換
 2021/01/22 動作確認してOK。出荷へ。</t>
  </si>
  <si>
    <t>LEDSW AUX1が点灯せず。
 押すと反応あり。</t>
  </si>
  <si>
    <t>ロータリーエンコーダ F2
 押して反応しない。
 回しては問題なし。</t>
  </si>
  <si>
    <t>2021/01/08 ENC2 品番：3QFZ16K25WH、
 品名：REC16K25-201 ｶﾅｸﾞﾂｷを出庫依頼。
 2021/01/12 MFGセンターへ交換を依頼。
 2021/01/18 MFGセンターより交換品を受取り。
 石黒さんへ動作確認を依頼。
 2021/01/22 動作確認してOK。出荷へ。</t>
  </si>
  <si>
    <t>R22027</t>
  </si>
  <si>
    <t>0U2_SW12_CD</t>
  </si>
  <si>
    <t>LED SW KEY/AUX10を押しても
 反応しない。点灯はする。</t>
  </si>
  <si>
    <t>2021/01/22 SW149 品番：3QF6K9MKM、
 品名：K9M-KMを手配。
 2021/02/18 石川Kへ交換を依頼。
 石黒さんへ動作確認を依頼。
 2021/03/10 動作確認してOK。出荷へ。</t>
  </si>
  <si>
    <t>R22556</t>
  </si>
  <si>
    <t>X500(27.000MHz)から波形が
 出力されていない。
 X500へのVDD(3.3V)はOK。</t>
  </si>
  <si>
    <t>2020/12/28 X500 品番：3QZ6DUT3F2700、
 品名：DUT32FT 27.000MHZを出庫依頼。
 2021/01/05 MFGセンターへリワークを依頼。
 2021/01/25 MFGセンターよりリワーク品を受取り。
 岡野EXへ動作確認を依頼。
 2021/01/27 動作確認してOK。</t>
  </si>
  <si>
    <t>R22416</t>
  </si>
  <si>
    <t>18010062
 ↓
 18010075</t>
  </si>
  <si>
    <t>2160/59.94p MV1、MV2 時計の
 表示にグラデーションがかかって
 いない。Whiteに時計が見えてしまう。</t>
  </si>
  <si>
    <t>2021/01/07 SP開発部 岡田Kへ調査を依頼。
 2021/05/17 岡田Kより「QM評価中の最新版で対策できる。
 5月21日までに返却します。」との連絡あり。
 2021/05/26 開発で次期データでは不良が発生しないことを
 確認。齋藤さんへ動作確認を依頼。
 2021/06/11 動作確認してOK。出荷へ。</t>
  </si>
  <si>
    <t>R22510</t>
  </si>
  <si>
    <t>MFR-8AAI</t>
  </si>
  <si>
    <t>8AAI CARD</t>
  </si>
  <si>
    <t>入力11、12 → 出力せず。
 （IC51、56 ピン浮き）</t>
  </si>
  <si>
    <t>2021/01/13 MFGセンター 関Kへ修正を依頼。
 2021/01/18 MFGセンターより修正品を受取り。
 門脇さんへ動作確認を依頼。
 2021/01/19 動作確認してOK。</t>
  </si>
  <si>
    <t>R22832</t>
  </si>
  <si>
    <t>1080/59.94p ME2側
 DVE ONでYまたはY、Cb、Crが
 パタつく。(KEY1 or 2?)
 電源入切で改善する。（5回に1回は
 発生する。）
 CH1、CH2どちらで発生しているか
 不明。両方NGの時も有り。
 別のHVS-1200でも再現したため、
 基板に依存。</t>
  </si>
  <si>
    <t>2021/01/22 SP開発部 岡田課長、佐野さんへ連絡済み。
 2021/01/26 SP開発部 岡田課長へ調査を依頼。
 2021/05/17 岡田Kより「QM評価中の最新版で対策できる。
 5月21日までに返却します。」との連絡あり。
 2021/05/26 開発で次期データでは不良が発生しないことを
 確認。
 2021/06/11 HVS-490 17140319に組み込んで出荷予定。
 （HVS-490に組み込む場合、当問題は関係ない。）</t>
  </si>
  <si>
    <t>R19671</t>
  </si>
  <si>
    <t>IN②、④、⑥、⑧出力せず（温まると）</t>
  </si>
  <si>
    <t>2021/01/14 IC1 品番：3QA65M21141G3、
 品名：M21141G-24を出庫依頼。
 2021/01/18 MFGセンターへリワークを依頼。
 2021/02/02 MFGセンターよりリワーク品を受取り。
 門脇Sへ動作確認を依頼。
 2021/02/04 動作確認してOK。
 製造2課 吉田さんへ引き渡し。</t>
  </si>
  <si>
    <t>HD100m IN15 砂ノイズ</t>
  </si>
  <si>
    <t>2021/01/19 IC16 品番：3QA6Z6G3440、
 品名：GS3440-INE3を出庫依頼。
 2021/02/01 MFGセンターへリワークを依頼。
 2021/02/17 MFGセンターよりリワーク品を受取り。
 2021/02/22 小川Sへ動作確認を依頼。
 2021/04/15 動作確認してOK。出荷へ。</t>
  </si>
  <si>
    <t>R21862</t>
  </si>
  <si>
    <t>MFR-16MV</t>
  </si>
  <si>
    <t>MV MAIN CD</t>
  </si>
  <si>
    <t>GUI Ver. 表示されない。
 （F/W、FPGA）
 CPLDは表示される。
 DS2-2、3、4をONでダウンロードは
 できる。
 DS2-2、3、4をOFFにしてGUIで
 確認するとVer.表示が出ない。
 IC1 4-5pin、8-9pin ブリッジ</t>
  </si>
  <si>
    <t>2021/02/02 MFGセンターにてブリッジ修正。
 2021/02/03 門脇Sへ動作確認を依頼。
 動作確認してOK。門脇Sへ引き渡し。</t>
  </si>
  <si>
    <t>DS2-2、3、4をON
 ダウンロードできない。
 電源LED点灯する時と点灯しない
 時がある？点灯するときに
 ダウンロードできるが、GUI上で
 Ver.表示が出ない。
 IC1 4-5pin、8-9pin ブリッジ</t>
  </si>
  <si>
    <t>2021/01/21 R7(150kΩ)破損 ⇒ 交換
 動作確認してNG。
 2021/02/02 MFGセンターにてブリッジ修正。
 2021/02/03 門脇Sへ動作確認を依頼。
 動作確認してOK。門脇Sへ引き渡し。</t>
  </si>
  <si>
    <t>R22855</t>
  </si>
  <si>
    <t>IN4 アナログ出ない。
 RL4 接点不良</t>
  </si>
  <si>
    <t>2021/02/12 RL4 交換
 動作確認してOK。出荷へ。</t>
  </si>
  <si>
    <t>Q4の実装向きが逆。</t>
  </si>
  <si>
    <t>2021/01/25 Q4 品番：3QB1RW1C025ZP、
 品名：RW1C025ZPT2CRを出庫依頼。
 2021/02/01 石川Kへ交換を依頼。
 2021/02/17 岡野EXへ動作確認を依頼。
 2021/03/08 動作確認してOK。出荷へ。</t>
  </si>
  <si>
    <t>FRONT LCD CARD</t>
  </si>
  <si>
    <t>ENC1不良</t>
  </si>
  <si>
    <t>2021/01/25 ENC1 品番：3QFZREC16B25C、
 品名：REC16B25-201-Cを出庫依頼。
 2021/02/01 MFGセンターへ交換を依頼。
 2021/02/05 MFGセンターより交換品を受取り。
 岡野EXへ動作確認を依頼。
 2021/03/24 動作確認してOK。S/N:17241722に引き当て。</t>
  </si>
  <si>
    <t>AES OUT Ch1が出力しない。</t>
  </si>
  <si>
    <t>2021/01/27 L15交換
 岡野EXにより動作確認してOK。</t>
  </si>
  <si>
    <t>RL17(OUT 4a) 不良</t>
  </si>
  <si>
    <t>2021/01/25 RL17 品番：3QF9ARS10Y03、
 品名：ARS10Y03を出庫依頼。
 2021/02/01 坂下Kへ交換を依頼。
 2021/02/03 岡野EXへ動作確認を依頼。
 動作確認してOK。岡野EXへ引き渡し。</t>
  </si>
  <si>
    <t>OUT3(CN3)出力
 12G信号のときCRCエラー
 （20～30秒ごと）
 EzV-300-12Gチェック時に発生。
 MBP-344EX単品チェック時は
 問題なかった。</t>
  </si>
  <si>
    <t>2021/03/22 治具PCにて再チェック（単品）実施。→問題なし。
 2021/03/25 FV開発部 嶽野Kへ調査を依頼。
 → MBP-1000VS-12Gに組み込むよう指示あり。</t>
  </si>
  <si>
    <t>基板認識せず。
 Ver. FF-FF
 IC12 2-3pin ショート</t>
  </si>
  <si>
    <t>2021/02/02 MFGセンターへショートの修正を依頼。
 2021/02/08 MFGセンターより修正品を受取り。
 小川Sへ動作確認を依頼。
 動作確認してOK。出荷へ。</t>
  </si>
  <si>
    <t>CN5 浮いている。</t>
  </si>
  <si>
    <t>2021/02/01 MFGセンター 関Kへ修正を依頼。
 2021/02/03 MFGセンターより修正品を受取り。
 八木さんへ引き渡し。
 2021/03/01 動作確認してOK。出荷へ。</t>
  </si>
  <si>
    <t>R22185</t>
  </si>
  <si>
    <t>ALARM治具 赤点灯
 Q5 破損</t>
  </si>
  <si>
    <t>2021/02/03 石川Kへ取付けを依頼。
 2021/02/05 門脇Sへ動作確認を依頼。
 2021/02/08 動作確認してOK。
 製造2課 渡部さんへ引き渡し。</t>
  </si>
  <si>
    <t>R22666</t>
  </si>
  <si>
    <t>12GSDI OUT1-2共に温度上昇に
 伴い、アライメントジッタ値が0.3を
 オーバーする。（NTSC/PAL両方）</t>
  </si>
  <si>
    <t>2021/03/30 再組配（シールド板取付け）を行ったら、
 0.28付近まで落ちついた。
 4Kオプション無しの製品(S/N:0056)に引き当て。</t>
  </si>
  <si>
    <t>R21720</t>
  </si>
  <si>
    <t>OU2_TRANS</t>
  </si>
  <si>
    <t>LED SW AUX10が押しても
 反応しない。点灯はする。</t>
  </si>
  <si>
    <t>2021/02/17 坂下Kへ再半田を依頼。
 石黒さんへ動作確認を依頼。
 2021/02/24 動作確認してOK。
 製造2課 吉田さんへ引き渡し。</t>
  </si>
  <si>
    <t>R22930</t>
  </si>
  <si>
    <t>コンポジット出ない RL8 NG</t>
  </si>
  <si>
    <t>2021/02/08 RL8 品番：3QF9ARS30Y03、
 品名：ARS30Y03を出庫依頼。
 2021/02/16 MFGセンターへ交換を依頼。
 2021/03/15 MFGセンターより交換品を受取り。
 坂下Kへ動作確認を依頼。
 2021/04/16 八木さんにより動作確認してOK。出荷へ。</t>
  </si>
  <si>
    <t>コンポジット RL14 出ない</t>
  </si>
  <si>
    <t>2021/02/08 RL14 品番：3QF9ARS30Y03、
 品名：ARS30Y03を出庫依頼。
 2021/02/16 MFGセンターへ交換を依頼。
 2021/03/15 MFGセンターより交換品を受取り。
 坂下Kへ動作確認を依頼。
 2021/04/16 八木さんにより動作確認してOK。出荷へ。</t>
  </si>
  <si>
    <t>コンポジットNG RL13</t>
  </si>
  <si>
    <t>2021/02/08 RL13 品番：3QF9ARS30Y03、
 品名：ARS30Y03を出庫依頼。
 2021/02/16 MFGセンターへ交換を依頼。
 2021/03/05 MFGセンターより交換品を受取り。
 坂下Kへ動作確認を依頼。</t>
  </si>
  <si>
    <t>コンポジットNG RL9</t>
  </si>
  <si>
    <t>2021/02/08 RL9 品番：3QF9ARS30Y03、
 品名：ARS30Y03を出庫依頼。
 2021/02/16 MFGセンターへ交換を依頼。
 2021/03/05 MFGセンターより交換品を受取り。
 坂下Kへ動作確認を依頼。
 2021/03/11 動作確認してOK。出荷へ。</t>
  </si>
  <si>
    <t>R22209</t>
  </si>
  <si>
    <t>2021/02/05 坂下Kへ交換を依頼。
 坂下Kより交換品を受取り。
 2021/02/08 門脇Sへ接続確認を依頼。
 接続確認してOK。出荷へ。</t>
  </si>
  <si>
    <t>CN15 固い</t>
  </si>
  <si>
    <t>AC1 NG表示
 Q3 剥がれ</t>
  </si>
  <si>
    <t>2021/02/12 石川Kへ交換を依頼。
 2021/02/17 門脇Sへ動作確認を依頼。
 動作確認してOK。出荷へ。</t>
  </si>
  <si>
    <t>R22863</t>
  </si>
  <si>
    <t>HVS-AUX16A</t>
  </si>
  <si>
    <t>LED SW14が点灯しない。
 押すと反応はする。
 D39破損</t>
  </si>
  <si>
    <t>2021/02/17 石川Kへ交換を依頼。
 2021/02/18 石黒さんへ動作確認を依頼。
 2021/02/19 動作確認してOK。</t>
  </si>
  <si>
    <t>R22677</t>
  </si>
  <si>
    <t>CN14にACアダプタが刺さらない。</t>
  </si>
  <si>
    <t>2021/02/17 坂下Kへ交換を依頼。
 岡野EXが動作確認してOK。
 製造2課 滝沢さんへ引き渡し。</t>
  </si>
  <si>
    <t>CN15にACアダプタが刺さらない。</t>
  </si>
  <si>
    <t>IN5 コンポジット出ない。</t>
  </si>
  <si>
    <t>2021/02/25 RL5 品番：3QF9ARS30Y03、
 品名：ARS30Y03を出庫依頼。
 2021/03/03 MFGセンターへ交換を依頼。
 2021/03/08 MFGセンターより交換品を受取り。
 坂下Kへ動作確認を依頼。
 2021/03/16 動作確認してOK。出荷へ。</t>
  </si>
  <si>
    <t>R22860</t>
  </si>
  <si>
    <t>HD 100m ノイズ(IN8)</t>
  </si>
  <si>
    <t>2021/02/25 IC10 品番：3QA6ZG2984IN、
 品名：GS2984-INE3を出庫依頼。
 2021/03/03 MFGセンターへリワークを依頼。
 2021/03/24 MFGセンターよりリワーク品を受取り。
 2021/03/25 小川Sへ動作確認を依頼。
 動作確認してOK。出荷へ。</t>
  </si>
  <si>
    <t>2021/01/07
 R22416 HVS-1200 18010062
 に組み込まれている。</t>
  </si>
  <si>
    <t>リサイズ動作せず。（緑出力）</t>
  </si>
  <si>
    <t>2021/03/01 R260 品番：3QDX0HQE1211、
 品名：RK73H1ETTP1211Fを出庫依頼。
 動作確認してOK。出荷へ。</t>
  </si>
  <si>
    <t>IN10 コンポジット出ない。
 IN8 コンポジット出ない。
 （2021/03/29確認）</t>
  </si>
  <si>
    <t>2021/03/03 RL10 品番：3QF9ARS30Y03、
 品名：ARS30Y03を出庫依頼。
 2021/03/15 MFGセンターへ交換を依頼。
 2021/03/24 MFGセンターより交換品を受取り。
 2021/03/25 坂下Kへ動作確認を依頼。
 2021/04/01 RL8 品番：3QF9ARS30Y03、
 品名：ARS30Y03を出庫依頼。
 2021/04/05 坂下Kにより正常動作を確認。
 2021/04/07 八木さんにより正常動作を確認。出荷へ。</t>
  </si>
  <si>
    <t>IN1 コンポジット出ない。
 IN18 コンポジット出ない。
 （2021/03/29確認）</t>
  </si>
  <si>
    <t>2021/03/03 RL1 品番：3QF9ARS30Y03、
 品名：ARS30Y03を出庫依頼。
 2021/03/15 MFGセンターへ交換を依頼。
 2021/03/24 MFGセンターより交換品を受取り。
 2021/03/25 坂下Kへ動作確認を依頼。
 2021/04/01 RL18 品番：3QF9ARS30Y03、
 品名：ARS30Y03を出庫依頼。
 2021/04/16 MFGセンターへ交換を依頼。
 2021/04/30 MFGセンターより交換品を受取り。
 坂下Kへ動作確認を依頼。
 2021/05/17 動作確認してOK。出荷へ。</t>
  </si>
  <si>
    <t>R22709</t>
  </si>
  <si>
    <t>MFR-LAN(CPU2)点灯せず CN25
 通信はOK。</t>
  </si>
  <si>
    <t>2021/03/11 CN25 品番：3QE203211、品名：203211を手配。
 2021/03/31 MFGセンターへ交換を依頼。
 2021/04/09 MFGセンターより交換品を受取り。
 門脇Sへ動作確認を依頼。
 2021/4/26 動作確認してOK。出荷へ。</t>
  </si>
  <si>
    <t>MFR-LAN(CPU2) 通信せず</t>
  </si>
  <si>
    <t>2021/03/12 受入日：2021/03/10 R22709 MFR-5000
 REAR CARD の結果により、対応方法を判断する。
 2021/04/26 CN25 品番：3QE203211、品名：203211を手配。
 2021/05/19 MFGセンターへ交換を依頼。
 2021/06/04 MFGセンターより交換品を受取り。
 門脇Sへ動作確認を依頼。
 2021/07/21 動作確認してOK。
 製造2課 滝沢さんへ引き渡し。</t>
  </si>
  <si>
    <t>R22701</t>
  </si>
  <si>
    <t>D3 破損</t>
  </si>
  <si>
    <t>2021/03/12 岡野EXにD3の交換を依頼。
 2021/03/15 動作確認してOK。製造2課 井上さんへ引き渡し。</t>
  </si>
  <si>
    <t>CN30に接続するFANの1pinと3pinの
 配線がテレコになっていたため、
 DSP(IC3)が破損した。
 （FANアラームが出っ放しに）</t>
  </si>
  <si>
    <t>2021/03/15 IC3 品番：3QA8C320D6487、
 品名：TMS320DM648ZUT7を出庫依頼。
 2021/03/17 MFGセンターへリワークを依頼。
 2021/04/05 MFGセンターよりリワーク品を受取り。
 製造2課 井上さんへ組込みを依頼。
 岡野EXへ動作確認を依頼予定。
 2021/04/15 動作確認してOK。出荷へ。</t>
  </si>
  <si>
    <t>CRCエラー
 （ショートケーブルでもエラー）
 IC17をQ-REIで冷やすと一時的に
 良くなる。</t>
  </si>
  <si>
    <t>2021/03/16 IC17 品番：3QA65M2112512、
 品名：M21125G-12Pを出庫依頼。
 2021/03/29 MFGセンターへリワークを依頼。
 2021/04/13 MFGセンターよりリワーク品を受取り。
 門脇Sへ動作確認を依頼。
 動作確認してOK。製造2課 渡部さんへ引き渡し。</t>
  </si>
  <si>
    <t>CN2 ピン折れ（割れた）</t>
  </si>
  <si>
    <t>2021/03/17 CN2 品番：3QG046114424、
 品名：46114-4241を出庫依頼。
 2021/03/29 MFGセンターへ交換を依頼。
 2021/04/09 MFGセンターより交換品を受取り。
 山倉さんへ引き渡し。</t>
  </si>
  <si>
    <t>R22413</t>
  </si>
  <si>
    <t>時刻設定不可
 GENLOCK FPGA表示 異常</t>
  </si>
  <si>
    <t>2021/03/17 IC89 品番：3QA8C320D6487、
 品名：TMS320DM648ZUT7を出庫依頼。
 2021/03/29 MFGセンターへリワークを依頼。
 2021/04/13 MFGセンターよりリワーク品を受取り。
 小川Sへ動作確認を依頼。
 2021/04/15 動作確認してOK。出荷へ。</t>
  </si>
  <si>
    <t>R22460</t>
  </si>
  <si>
    <t>OU2 TRANS CARD</t>
  </si>
  <si>
    <t>SW5、13、21、･･･など、列にならんだ
 LED SWが、押しても反応しないか
 常に押しっぱなしの異常動作をする。
 点灯に問題なし。</t>
  </si>
  <si>
    <t>2021/03/18 RA012交換。復帰せず。
 IC3の交換で復帰。</t>
  </si>
  <si>
    <t>R22913</t>
  </si>
  <si>
    <t>MAIN ＣＤ</t>
  </si>
  <si>
    <t>起動せず（コンフィグしない？）</t>
  </si>
  <si>
    <t>2021/03/30 IC71 品番：3QJ0MPN12AD20、
 品名：MPN12AD20-TSを出庫依頼。
 2021/04/01 MFGセンターへリワークを依頼。
 2021/04/20 MFGセンターよりリワーク品を受取り。
 2021/04/26 小川Sへ動作確認を依頼。
 動作確認してOK。製造2課 渡部さんへ引き渡し。</t>
  </si>
  <si>
    <t>RL13 コンポジット出ない。</t>
  </si>
  <si>
    <t>2021/04/01 RL13 品番：3QF9ARS30Y03、
 品名：ARS30Y03を出庫依頼。
 2021/04/16 MFGセンターへ交換を依頼。
 2021/04/30 MFGセンターより交換品を受取り。
 坂下Kへ動作確認を依頼。
 2021/05/21 動作確認してOK。出荷へ。</t>
  </si>
  <si>
    <t>RL6 コンポジット出ない。</t>
  </si>
  <si>
    <t>2021/04/01 RL6 品番：3QF9ARS30Y03、
 品名：ARS30Y03を出庫依頼。
 2021/04/16 MFGセンターへ交換を依頼。
 2021/04/30 MFGセンターより交換品を受取り。
 坂下Kへ動作確認を依頼。
 2021/05/21 動作確認してOK。出荷へ。</t>
  </si>
  <si>
    <t>RL1 コンポジット出ない。</t>
  </si>
  <si>
    <t>2021/04/01 RL1 品番：3QF9ARS30Y03、
 品名：ARS30Y03を出庫依頼。
 2021/04/16 MFGセンターへ交換を依頼。
 2021/04/30 MFGセンターより交換品を受取り。
 坂下Kへ動作確認を依頼。
 2021/05/21 動作確認してOK。出荷へ。</t>
  </si>
  <si>
    <t>ENC3 不良</t>
  </si>
  <si>
    <t>2021/03/30 ENC3 品番：3QFZREC16B25C、
 品名：REC16B25-201-Cを出庫依頼。
 2021/04/01 MFGセンターへ交換を依頼。
 2021/04/13 MFGセンターより交換品を受取り。
 岡野EXへ動作確認を依頼。
 2021/05/11 製造2課 山倉さんによりS/N:17241866に
 組込み。
 2021/06/10 岡野EXにより動作確認してOK。出荷へ。</t>
  </si>
  <si>
    <t>OU-CPU-CD</t>
  </si>
  <si>
    <t>書き込みできず。</t>
  </si>
  <si>
    <t>2021/03/25 小川Sへ調査を依頼。
 2021/03/26 ダウンロードにて復帰。
 2021/03/30 2課 吉田さんへ引き渡し。</t>
  </si>
  <si>
    <t>R22365</t>
  </si>
  <si>
    <t>OUT16 出力が途切れる時がある。
 （CN16 破損）</t>
  </si>
  <si>
    <t>2021/03/30 CN16 品番：3QG1BCJBPLHA、
 品名：BCJ-BPLHAを手配。
 2021/04/16 MFGセンターへ交換を依頼。
 2021/04/28 MFGセンターより交換品を受取り。
 門脇Sへ動作確認を依頼。
 2021/05/06 動作確認してOK。出荷へ。</t>
  </si>
  <si>
    <t>IN2 5C-2V 200m、5C-FB 100m
 パソロジ出力しない。
 5C-2V 2m、5C-FB 2m はOK。</t>
  </si>
  <si>
    <t>2021/04/13 IC37 品番：3QA6Z6G3440、
 品名：GS3440-INE3を出庫依頼。
 2021/04/20 製造2課 井上さんへ基板の取外しを依頼。
 2021/04/26 MFGセンターへリワークを依頼。
 2021/05/21 MFGセンターよりリワーク品を受取り。
 2021/05/24 岡野EXへ動作確認を依頼。
 2021/05/25 動作確認してOK。製造2課 井上さんへ引き渡し。</t>
  </si>
  <si>
    <t>OUT 1b SDフォーマット出力せず</t>
  </si>
  <si>
    <t>2021/04/13 IC45 品番：3QA6ZL1218RTW、
 品名：LMH1218RTWTを出庫依頼。
 2021/04/20 製造2課 井上さんへ基板の取外しを依頼。
 2021/04/26 MFGセンターへリワークを依頼。
 2021/05/21 MFGセンターよりリワーク品を受取り。
 2021/05/24 岡野EXへ動作確認を依頼。
 2021/05/25 動作確認してOK。製造2課 井上さんへ引き渡し。</t>
  </si>
  <si>
    <t>R22086</t>
  </si>
  <si>
    <t>MU_CPU CARD</t>
  </si>
  <si>
    <t>CPU2単体では通信するが、CPU1を
 実装するとCPU2側が認識せず。
 （Not Installed表示）
 CN3 21f ピンが曲がっている。</t>
  </si>
  <si>
    <t>2021/03/31 MFGセンターへ修正を依頼。
 2021/04/09 MFGセンターより修正品を受取り。
 門脇Sへ動作確認を依頼。
 2021/04/14 動作確認してOK。
 製造2課 吉田さんへ引き渡し。</t>
  </si>
  <si>
    <t>タッチパネル表示不良
 （バックライトしか点灯しない。）</t>
  </si>
  <si>
    <t>2021/03/30 Q2 品番：3QA65TP22920L、
 品名：TPS22920LYZPTを出庫依頼。
 2021/04/01 MFGセンターへ交換を依頼。
 2021/04/20 MFGセンターより交換品を受取り。
 2021/04/26 吉田さんへ動作確認を依頼。
 動作確認してOK。そのまま引き渡し。</t>
  </si>
  <si>
    <t>R22856</t>
  </si>
  <si>
    <t>OUT4 画出ず
 IC25 実装向き違い</t>
  </si>
  <si>
    <t>2021/04/05 MFGセンターへ修正を依頼。
 2021/04/23 MFGセンターより修正品を受取り。
 2021/04/26 松井さんへ動作確認を依頼。
 動作確認してOK。出荷へ。</t>
  </si>
  <si>
    <t>RL14不良
 RL8不良(2021/06/04)</t>
  </si>
  <si>
    <t>2021/04/13 RL14 品番：3QF9ARS10Y03、
 品名：ARS10Y03を出庫依頼。
 2021/05/11 MFGセンターへ交換を依頼。
 2020/05/21 MFGセンターより交換品を受取り。
 2021/05/24 岡野EXへ動作確認を依頼。
 2021/06/04 RL14の動作はOK。RL8 不良のまま
 製造2課 山倉さんへFA-505への引き当てを依頼。</t>
  </si>
  <si>
    <t>RL11 不良</t>
  </si>
  <si>
    <t>2021/04/09 RL11 品番：3QF9ARS10Y03、
 品名：ARS10Y03を出庫依頼。
 2021/04/20 MFGセンターへ交換を依頼。
 2020/04/28 MFGセンターより交換品を受取り。
 岡野EXへ動作確認を依頼。
 2021/05/07 動作確認してOK。岡野EXへ引き渡し。
 （FA-505 S/N:15781224 に引き当て）</t>
  </si>
  <si>
    <t>R22846</t>
  </si>
  <si>
    <t>SDフォーマットにて
 アイパターンレベルが670mVより
 上に上げられない。
 (OUT 1a)</t>
  </si>
  <si>
    <t>2021/04/08 製造2課 井上さんへ基板の交換を依頼。
 2021/04/13 IC43 品番：3QA6ZL1218RTW、
 品名：LMH1218RTWTを出庫依頼。
 2021/04/20 MFGセンターへリワークを依頼。
 2021/05/06 MFGセンターよりリワーク品を受取り。
 2021/05/10 岡野EXへ動作確認を依頼。
 2021/05/14 動作確認してNG。
 C780 品番：3QCX7B0G475、品名：GRM155B30G475ME87Dの
 交換を石川Kへ依頼。
 2021/05/17 動作確認してOK。製造2課 井上さんへ引き渡し。</t>
  </si>
  <si>
    <t>Slot A 送信（出力）ライン不良
 受信（入力）ラインはOK</t>
  </si>
  <si>
    <t>2021/04/09 製造2課 井上さんへ基板の交換を依頼。
 2021/04/13 坂下Kへ調査を依頼。
 2021/06/16 CN33 品番：3QG0SEAF20S05、
 品名：SEAF-20-05.0-S-05-2を手配。
 2021/07/12 MFGセンターへリワークを依頼。
 2021/07/28 MFGセンターよりリワーク品を受取り。
 岡野EXへ動作確認を依頼。</t>
  </si>
  <si>
    <t>R22719</t>
  </si>
  <si>
    <t>3枚</t>
  </si>
  <si>
    <t>10枚中3枚 SSDが正常に
 動作しない。
 （何回コピーしてもWindowsが
 起動しない。）</t>
  </si>
  <si>
    <t>2021/05/12 カメラシステム開発部 川原さんへ調査を依頼。
 2021/05/14 川原さんより返却。製造2課 滝沢さんへ引き渡し。</t>
  </si>
  <si>
    <t>RL20 不良</t>
  </si>
  <si>
    <t>2021/05/07 RL20 品番：3QF9ARS10Y03、
 品名：ARS10Y03Zを出庫依頼。
 2021/05/11 MFGセンターへ交換を依頼。
 2020/05/21 MFGセンターより交換品を受取り。
 2021/05/24 岡野EXへ動作確認を依頼。
 2021/06/02 動作確認してOK。
 製造2課 山倉さんへ引き渡し。</t>
  </si>
  <si>
    <t>③</t>
  </si>
  <si>
    <t>RL5 不良</t>
  </si>
  <si>
    <t>2021/05/07 RL5 品番：3QF9ARS30Y03、
 品名：ARS30Y03Zを出庫依頼。
 2021/05/11 MFGセンターへ交換を依頼。
 2020/05/21 MFGセンターより交換品を受取り。
 2021/05/24 岡野EXへ動作確認を依頼。
 2021/06/02 動作確認してOK。
 製造2課 山倉さんへ引き渡し。</t>
  </si>
  <si>
    <t>RL12 不良</t>
  </si>
  <si>
    <t>2021/05/07 RL12 品番：3QF9ARS10Y03、
 品名：ARS10Y03Zを出庫依頼。
 2021/05/11 MFGセンターへ交換を依頼。
 2020/05/21 MFGセンターより交換品を受取り。
 2021/05/24 岡野EXへ動作確認を依頼。
 2021/06/02 動作確認してOK。
 製造2課 山倉さんへ引き渡し。</t>
  </si>
  <si>
    <t>RL4、RL18、RL20 不良
 RL6 不良(2021/05/27)</t>
  </si>
  <si>
    <t>2021/05/07 RL4 品番：3QF9ARS30Y03、
 品名：ARS30Y03Zを出庫依頼。
 RL18、RL20 品番：3QF9ARS10Y03、
 品名：ARS10Y03Zを出庫依頼。
 2021/05/11 MFGセンターへ交換を依頼。
 2020/05/21 MFGセンターより交換品を受取り。
 2021/05/24 岡野EXへ動作確認を依頼。
 2021/05/27 RL4、RL18、RL20の動作はOK。RL6 不良のまま
 製造2課 山倉さんへFA-505への引き当てを依頼。</t>
  </si>
  <si>
    <t>X500不良</t>
  </si>
  <si>
    <t>2021/05/12 X500 品番：3QZ6DUT3F2700、
 品名：DUT32FT 27.000MHZを出庫依頼。
 2021/05/19 MFGセンターへリワークを依頼。
 2021/06/04 MFGセンターよりリワーク品を受取り。
 岡野EXへ動作確認を依頼。
 動作確認してOK。出荷へ。</t>
  </si>
  <si>
    <t>2021/05/26 RL11 品番：3QF9ARS10Y03、
 品名：ARS10Y03Zを出庫依頼。
 2021/06/04 MFGセンターへ交換を依頼。
 2020/06/15 MFGセンターより交換品を受取り。
 岡野EXへ動作確認を依頼。
 2021/06/16 動作確認してOK。
 製造2課 山倉さんへ返却。</t>
  </si>
  <si>
    <t>RL1 不良</t>
  </si>
  <si>
    <t>2021/05/26 RL1 品番：3QF9ARS30Y03、
 品名：ARS30Y03Zを出庫依頼。
 2021/07/13 MFGセンターへ交換を依頼。
 2021/07/27 MFGセンターより交換品を受取り。
 岡野EXへ動作確認を依頼。</t>
  </si>
  <si>
    <t>時刻設定後、電源を切ってから
 2時間以上たつと時刻が更新されなく
 なる。（2回発生）</t>
  </si>
  <si>
    <t>2021/05/31 C1296交換（部品不良？極性逆？）
 坂下Kにより動作確認してOK。
 2021/06/04 製造2課 渡部さんへ引き渡し。</t>
  </si>
  <si>
    <t>R23057</t>
  </si>
  <si>
    <t>CN13 破損</t>
  </si>
  <si>
    <t>2021/06/03 CN13 品番：3QG1BCJBPLHA、
 品名：BCJ-BPLHAを手配。
 2021/06/23 MFGセンターへ交換を依頼。
 2021/06/25 MFGセンターより交換品を受取り。
 2021/06/30 製造3課 門脇Sへ接続確認を依頼。
 接続確認してOK。出荷へ。</t>
  </si>
  <si>
    <t>R21275</t>
  </si>
  <si>
    <t>PANEL_IF CD</t>
  </si>
  <si>
    <t>棚A1</t>
  </si>
  <si>
    <t>2021/06/16 小川Sへ不良内容の確認を依頼。
 2021/06/17 石黒さんにより正常動作を確認。
 製造2課 渡部さんへ引き渡し。</t>
  </si>
  <si>
    <t>R22983</t>
  </si>
  <si>
    <t>300m F特 レベル合わない。</t>
  </si>
  <si>
    <t>2021/06/09 坂下Kへ調査を依頼。</t>
  </si>
  <si>
    <t>2021/06/21 RL1 品番：3QF9ARS30Y03、
 品名：ARS30Y03Zを出庫依頼。
 2021/07/13 MFGセンターへ交換を依頼。
 2021/07/27 MFGセンターより交換品を受取り。
 岡野EXへ動作確認を依頼。</t>
  </si>
  <si>
    <t>R22756</t>
  </si>
  <si>
    <t>抵抗値 0.4MΩ
 （RS-422 110Ω±5.5Ω OK）
 RL10の2ピンと5ピン</t>
  </si>
  <si>
    <t>2021/06/21 RL12動作不良 ⇒ 交換</t>
  </si>
  <si>
    <t>R23091</t>
  </si>
  <si>
    <t>NTSC/PAL B.B.のGENLOCKが
 定期的に外れる。
 3値信号はOK。</t>
  </si>
  <si>
    <t>2021/07/01 坂下Kへ調査を依頼。
 C993 交換</t>
  </si>
  <si>
    <t>R23018</t>
  </si>
  <si>
    <t>CN9、13 交換</t>
  </si>
  <si>
    <t>2021/06/30 CN9、13 品番：3QG1BCJBPLHA、
 品名：BCJ-BPLHAを手配。
 2021/07/14 MFGセンターへ交換を依頼。
 2021/07/19 MFGセンターより交換品を受取り。
 2021/07/21 門脇Sへ動作確認を依頼。
 動作確認してOK。出荷へ。</t>
  </si>
  <si>
    <t>SW6 緑が点灯しない。
 → R70に抵抗が付いていない。</t>
  </si>
  <si>
    <t>2021/06/30 R70 品番：3QDX0CQE152、
 品名：RK73B1ETTP152Jを出庫依頼。
 2021/07/12 石川Kへ取付けを依頼。
 2021/07/13 齋藤さんにより動作確認してOK。</t>
  </si>
  <si>
    <t>R22466</t>
  </si>
  <si>
    <t>FPGA(IC51) ⇔ メモリ(IC72～77)間の
 データのやり取りが行えていない。
 （メモリテスト全NG）
 FPGAコンフィグ、ネットワーク通信は
 OK</t>
  </si>
  <si>
    <t>2021/07/02 坂下Kへ調査を依頼。
 2021/07/26 X14の出力無し。交換後、100MHzの波形を確認。
  岡野EXへ動作確認依頼 ⇒ 正常動作(仕掛へ)</t>
  </si>
  <si>
    <t>LED SWで、ある箇所は押しても
 反応しない。また、限定した箇所で
 押しっぱなしになる異常動作あり。</t>
  </si>
  <si>
    <t>2021/07/09 IC3 品番：3QA5LVC245BT、
 品名：RD74LVC245BTELL-Eを出庫依頼。
 2021/07/12 石黒さんにより動作確認してOK。出荷へ。</t>
  </si>
  <si>
    <t>DSP 起動せず</t>
  </si>
  <si>
    <t>2021/07/14 坂下Kへ調査を依頼。
 2021/07/15 小川Sへ動作確認を依頼。
 動作確認してOK。製造2課 渡部さんへ引き渡し。</t>
  </si>
  <si>
    <t>D2 破損</t>
  </si>
  <si>
    <t>2021/07/13 D2 交換
 製造2課 井上さんへ引き渡し。</t>
  </si>
  <si>
    <t>SW2 グリーン点灯せず
 IC8-Q39間 GNDショート？</t>
  </si>
  <si>
    <t>2021/07/14 Q39削除
 2021/07/16 坂下Kへ調査を依頼。
 2021/07/21 Q39交換
 小川Sへ動作確認を依頼。
 動作確認してOK。製造2課 吉田さんへ引き渡し。</t>
  </si>
  <si>
    <t>DISP CARD</t>
  </si>
  <si>
    <t>LCD4 縦線</t>
  </si>
  <si>
    <t>2021/07/14 坂下Kへ品質異常報告書の発行を依頼。
 品質異常報告書発行済（H50-053 代替品 要求)
 2021/08/25 部品交換後復旧</t>
  </si>
  <si>
    <t>R22386</t>
  </si>
  <si>
    <t>MV-3200MF</t>
  </si>
  <si>
    <t>CN12圧入不良</t>
  </si>
  <si>
    <t>2021/7/28 MFGｾﾝﾀｰへ修理依頼 石川(拓)
 2021/09/15 受取し、2課へ</t>
  </si>
  <si>
    <t>R23088</t>
  </si>
  <si>
    <t>IN12 ｱﾅﾛｸﾞ信号が出力されない</t>
  </si>
  <si>
    <t>ﾘﾚｰ(ARS30Y03)動作不良 ⇒ 部品出庫依頼(8/5)
  ⇒ 調査の為、MFGセンターへ(8/6)
 2021/08/30 再半田 改善
 2021/09/08 稀に発生するため、部品交換</t>
  </si>
  <si>
    <t>ｱﾅﾛｸﾞ信号が出力されない。切替操作で時々出力する</t>
  </si>
  <si>
    <t>ﾘﾚｰ(ARS30Y03)動作不良 ⇒ 部品出庫依頼(8/5)
 2021/09/01 動作改善 製造2課へ</t>
  </si>
  <si>
    <t>RL17動作不良</t>
  </si>
  <si>
    <t>2021/09/15 RL17交換 ⇒ 動作確認OK</t>
  </si>
  <si>
    <t>R23198</t>
  </si>
  <si>
    <t>IC13(+6.1VA、-6.2VA)出力無し</t>
  </si>
  <si>
    <t>2021/0/20 IC13 交換部品手配 (BD8316GWL-E2)
 2021/09/02 ﾘﾜｰｸ依頼
 2021/09/20 動作確認完了 2課へ</t>
  </si>
  <si>
    <t>IN9Analog入力が出力しない
 時々、動作不良、切替音がしない</t>
  </si>
  <si>
    <t>ﾘﾚｰ(ARS30Y03)動作不良 ⇒ 部品交換完了
 2021/08/31 動作改善 製造2課へ</t>
  </si>
  <si>
    <t>MAIN（R21019）</t>
  </si>
  <si>
    <t>RL1動作不良(ﾊﾞｲﾊﾟｽのみ OK)
 Genlock動作不良 B.B入力の挿抜でロックしない事がある</t>
  </si>
  <si>
    <t>2021/09/06 MFGセンターへRL1交換依頼
 2021/09/20 交換完了 2課へ
 2021/09/21 EL4511交換実施 ⇒ 改善を確認</t>
  </si>
  <si>
    <t>R21604</t>
  </si>
  <si>
    <t>OU_SW12_CD</t>
  </si>
  <si>
    <t>電源回路が燃える。
 Q8、Q10が燃える。</t>
  </si>
  <si>
    <t>2020/12/04 IC25 品番：3QA6Z9B9851E2、
 品名：BD9851EFV-E2のリワークをMFGセンターへ依頼。
 2020/12/22 MFGセンターよりリワーク品を受取り。
 坂下Kへ動作確認を依頼。
 2020/12/24 動作確認してOK。2課 吉田さんへR番への
 投入をを依頼。</t>
  </si>
  <si>
    <t>R22200</t>
  </si>
  <si>
    <t>画が出ない。
 LANはつながる。</t>
  </si>
  <si>
    <t>2021/07/16 八木さん現象確認中。</t>
  </si>
  <si>
    <t>IN17 映像が出ない
 IC231に半田ﾌﾞﾘｯｼﾞがある</t>
  </si>
  <si>
    <t>2021/10/11 半田修正し、動作確認OK</t>
  </si>
  <si>
    <t>FA-505</t>
  </si>
  <si>
    <t>RL5動作不良、振動/押下で一時動作する</t>
  </si>
  <si>
    <t>2021/10/11 部品交換実施、改善 製造2課へ</t>
  </si>
  <si>
    <t>D28 破損</t>
  </si>
  <si>
    <t>2021/06/21 岡野EXへ交換を依頼。
 動作確認してOK。製造2課 井上さんへ引き渡し。</t>
  </si>
  <si>
    <t>R23104</t>
  </si>
  <si>
    <t>DISP4に縦線ノイズ</t>
  </si>
  <si>
    <t>2021/09/28 MFGセンターへ交換依頼
 2021/10/4 交換完了し、2課へ
 2021/10/14 動作確認、入庫完了</t>
  </si>
  <si>
    <t>DISP17に縦線ノイズ</t>
  </si>
  <si>
    <t>R20180</t>
  </si>
  <si>
    <t>Xilinxアップデートできず。
 ツールは立ち上がるが、
 書き込み時にエラーメッセージが
 出てくる。</t>
  </si>
  <si>
    <t>2020/09/10 IC86 品番：3QA7E28GU512A、
 品名：MT28GU512AAA1EGC-OSITをMFGセンターより入手。
 2020/09/11 MFGセンターへリワークを依頼。
 2020/09/25 MFGセンターよりリワーク品受取り。
 2020/10/05 動作確認してNG。
 2020/10/05 IC99 品番：3QJ0EN5396QI、品名：EN5396QIを
 出庫依頼。
 2020/10/09 MFGセンターへリワークを依頼。
 2020/10/26 MFGセンターよりリワーク品受取り。
 廃棄の方向で検討。 ⇒ 廃棄
 2022/04/04 電脳にてロット完了確認</t>
  </si>
  <si>
    <t>E03902-3</t>
  </si>
  <si>
    <t>IC99</t>
  </si>
  <si>
    <t>3QJ0EN5396QI</t>
  </si>
  <si>
    <t>R20684</t>
  </si>
  <si>
    <t>IVS-710IF</t>
  </si>
  <si>
    <t>八木
 棚B2</t>
  </si>
  <si>
    <t>RS-422切り換わらない。
 （リレーきかない。）</t>
  </si>
  <si>
    <t>2020/09/10 IC86 品番：3QA7E28GU512A、
 品名：MT28GU512AAA1EGC-OSITをMFGセンターより入手。
 2020/09/11 MFGセンターへリワークを依頼。
 2020/09/25 MFGセンターよりリワーク品受取り。
 2020/10/05 動作確認してNG。
 2020/10/05 IC99 品番：3QJ0EN5396QI、品名：EN5396QIを
 出庫依頼。
 2020/10/09 MFGセンターへリワークを依頼。
 2020/10/26 MFGセンターよりリワーク品受取り。
 廃棄の方向で検討。
 2022/04/04 電脳では入庫完了している？</t>
  </si>
  <si>
    <t>E04018</t>
  </si>
  <si>
    <t>3QA7E28GU512A</t>
  </si>
  <si>
    <t>〇？</t>
  </si>
  <si>
    <t>R20447</t>
  </si>
  <si>
    <t>棚B4</t>
  </si>
  <si>
    <t>立ち上がらない。
 LANつながらない。</t>
  </si>
  <si>
    <t>2022/04/04 電脳にてロット完了確認</t>
  </si>
  <si>
    <t>基板認識されず。
 IC68 電圧出力はOK。</t>
  </si>
  <si>
    <t>2020/11/19 SP岡田Kの指示により、小川Sが電源電圧を
 確認中。
 2020/11/25 IC74 品番：3QA6Z9LXDC55、
 品名：LXDC55KAAA-205を出庫依頼。
 2020/11/27 MFGセンターへリワークを依頼。
 2020/12/14 MFGセンターよりリワーク品を受取り。
 小川Sへ動作確認を依頼。
 2020/12/16 動作確認の結果、NG。
 2020/12/21 IC71 品番：3QJ0MPN12AD12、
 品名：MPN12AD12-TSを出庫依頼。
 2020/12/23 MFGセンターへリワークを依頼。
 2021/01/15 MFGセンターよりリワーク品を受取り。
 2021/01/18 小川Sへ動作確認を依頼。
 2021/01/25 動作確認の結果、NG。廃棄の方向で検討。
 2022/04/04 電脳にてロット完了を確認</t>
  </si>
  <si>
    <t>E04389-2</t>
  </si>
  <si>
    <t>IC71</t>
  </si>
  <si>
    <t>3QJ0MPN12AD12</t>
  </si>
  <si>
    <t>2018/07/09 部品欠落多数（裏）
 廃棄の方向で検討。
 2022/04/04 電脳にてロット完了を確認</t>
  </si>
  <si>
    <t>R20894</t>
  </si>
  <si>
    <t>MFR-16AMF</t>
  </si>
  <si>
    <t>LAN CARD</t>
  </si>
  <si>
    <t>LAN 通信しない。</t>
  </si>
  <si>
    <t>2018/9/19 Connect ME 交換
 2023/9/26 MFR-1616Aに組込し動作確認</t>
  </si>
  <si>
    <t>Q-LAN
 E03900A</t>
  </si>
  <si>
    <t>DC-ME-Y402-C</t>
  </si>
  <si>
    <t>R21151</t>
  </si>
  <si>
    <t>八木
 棚B4</t>
  </si>
  <si>
    <t>DVI OUT 1 アナログ縦線入る。</t>
  </si>
  <si>
    <t>2021/3/2 坂下Kへ調査を依頼。
 2022/3/16 IC32の28ピン(BLUE)、29ピン(+3.3V)に半田くず
 半田くず除去後、正常動作。八木社員へ
  IC32後付け実装の形跡あり</t>
  </si>
  <si>
    <t>E03561-2</t>
  </si>
  <si>
    <t>IC32</t>
  </si>
  <si>
    <t>ADV7125</t>
  </si>
  <si>
    <t>R21020</t>
  </si>
  <si>
    <t>齋藤
 棚B3</t>
  </si>
  <si>
    <t>IN3 HD 100m NG</t>
  </si>
  <si>
    <t>2022/3/23 入庫履歴を確認したところ、2021/8/26に入庫済</t>
  </si>
  <si>
    <t>R20614
 作番完了</t>
  </si>
  <si>
    <t>UFM-30FRC</t>
  </si>
  <si>
    <t>棚B3</t>
  </si>
  <si>
    <t>インシンク
 熱ストレスにより、FPGA破損
 修理 350ポンド
 （保証期間が過ぎていた。）</t>
  </si>
  <si>
    <t>2021/9/30 廃棄完了</t>
  </si>
  <si>
    <t>R21947
 (作番完了)</t>
  </si>
  <si>
    <t>棚B1</t>
  </si>
  <si>
    <t>SDI OUT1～3 正常に出力しない。
 OUT4はOK。メモリテスト OK</t>
  </si>
  <si>
    <t>2021/06/16 岡野EXへ不良内容の確認を依頼。
 2021/11/02 SDIOUT1~4の出力確認
 2022/5/17 2課へ返却(石川K)
 2024/2/20 廃棄完了(2021/3/31)を確認</t>
  </si>
  <si>
    <t>E03661A</t>
  </si>
  <si>
    <t>R21894
 作番完了</t>
  </si>
  <si>
    <t>MBP-10IO</t>
  </si>
  <si>
    <t>GPIO CD
 IO CTRL CARD</t>
  </si>
  <si>
    <t>GPI検査時にカウントが止まる。
 （2、3秒程でエラーになる。）</t>
  </si>
  <si>
    <t>2019/03/06 GPIO CDのIC19 半田ボール除去
 2019/08/22 GPIO CDのIC21、23 交換
 復帰せず。（FV開発部 嶽野K確認）
 廃棄予定 ⇒ 2019/5/18に全数入庫完了</t>
  </si>
  <si>
    <t>E04644</t>
  </si>
  <si>
    <t>IC21
 IC23</t>
  </si>
  <si>
    <t>R21476
 作番完了</t>
  </si>
  <si>
    <t>岡野
 棚B2</t>
  </si>
  <si>
    <t>2020/4/26 廃棄完了</t>
  </si>
  <si>
    <t>R21019
 作番完了</t>
  </si>
  <si>
    <t>QSPI 起動しない</t>
  </si>
  <si>
    <t>2021/12/17 全数入庫完了</t>
  </si>
  <si>
    <t>R21750</t>
  </si>
  <si>
    <t>2021/05/24 ICリワーク実施
  リワーク後の動作確認で改善せず
 2021/11/10 再確認実施、電磁波抑制材を貼付け依頼中
 2022/5/9 改善確認し、3課仕掛へ(接触不良？)</t>
  </si>
  <si>
    <t>3QA6ZL1219RTW
 LMH1219RTWT</t>
  </si>
  <si>
    <t>R21477
 作番完了</t>
  </si>
  <si>
    <t>USF-212SC</t>
  </si>
  <si>
    <t>NETWORK CARD</t>
  </si>
  <si>
    <t>DSPが起動しない。</t>
  </si>
  <si>
    <t>川田様
 2019/2/27 全数入庫完了</t>
  </si>
  <si>
    <t>2019/2/27 全数入庫完了</t>
  </si>
  <si>
    <t>R21852
 (R22356)</t>
  </si>
  <si>
    <t>岡野
 棚B1</t>
  </si>
  <si>
    <t>CCSにてFLASHにデータを
 書き込み時、消去エラーが出る。</t>
  </si>
  <si>
    <t>2021/09/24 IC1 リワーク完了(受取し、岡野Exへ )</t>
  </si>
  <si>
    <t>3QJ0BK2130LQI</t>
  </si>
  <si>
    <t>R21746</t>
  </si>
  <si>
    <t>HVS-390HS</t>
  </si>
  <si>
    <t>1080/50iで2回電源入り切り後、M/E1のKEY2、KEY4で立ちゴケ発生</t>
  </si>
  <si>
    <t>2019/10/07 品番：3QA7Z6VLX130T、
 品名：XC6VLX130T-1FFG1156Cを手配。
 2019/12/09 XC6VLX130T-1FFG1156Cを入手。
 MFGセンターへリワーク依頼。
 2024/4/9 作番完了(221/3/31 処理済)</t>
  </si>
  <si>
    <t>3QA7Z6VLX130T</t>
  </si>
  <si>
    <t>R22303(完)
 ⇒
 R23091</t>
  </si>
  <si>
    <t>棚B5</t>
  </si>
  <si>
    <t>15秒ごとにREFのロックが乱れる。
 温度上昇で現象が出なくなる。</t>
  </si>
  <si>
    <t>2021/07/02 C993 交換
 2021/07/06 筐体組配、1Hヒートラン後再発。
 2021/07/15 FPS開発部 小林さんへ調査を依頼。
 2021/07/21 IC87 品番：3QA6Z5L1982QE、
 品名：LMH1982SQEを出庫依頼。
 2021/11/18 CN21破損、交換依頼
 2021/11/24 交換完了、2課へ。組込後動作確認。</t>
  </si>
  <si>
    <t>CN21</t>
  </si>
  <si>
    <t>3QG3526102071</t>
  </si>
  <si>
    <t>R21967
 作番完了</t>
  </si>
  <si>
    <t>起動しない。</t>
  </si>
  <si>
    <t>廃棄申請
 2024/2/20 廃棄完了(2022/3/31)を確認</t>
  </si>
  <si>
    <t>IN14 画が出ない。
 ｱﾅﾛｸﾞは出る。</t>
  </si>
  <si>
    <t>2020/09/14 IC43 品番：3QA6Z6G3440、
 品名：GS3440-INE3を出庫依頼。
 2020/10/05 MFGセンターへリワークを依頼。
 2020/10/19 MFGセンターよりリワーク品を受取り。
 八木さんへ動作確認を依頼。
 2020/12/16 動作確認してNG。再度IC43を出庫依頼。
 2020/12/17 MFGセンターへリワークを依頼。
 2021/01/13 MFGセンターよりリワーク品を受取り。
 坂下Kへ動作確認を依頼。
 2021/02/04 動作確認してNG。
 IC65 品番：3QA65M2112512、品名：M21125G-12Pを
 出庫依頼。
 2021/02/16 MFGセンターへリワークを依頼。
 2021/03/10 MFGセンターよりリワーク品を受取り。
 坂下Kへ動作確認を依頼。
 2021/03/16 リワーク（実装）の向き間違い。修正を依頼。
 2021/03/24 MFGセンターより修正品を受取り。
 2021/05/11 動作確認してNG。廃棄の方向で検討。
 2024/2/20 廃棄完了(2022/3/31)を確認</t>
  </si>
  <si>
    <t>E04078-1</t>
  </si>
  <si>
    <t>3QA65M2112512</t>
  </si>
  <si>
    <t>R22388</t>
  </si>
  <si>
    <t>LAN つながらなくて書き込み
 できない。
 LANコネクタ 点滅しない。</t>
  </si>
  <si>
    <t>2021/3/2 坂下Kへ調査を依頼。
 2022/3/14 FIL16 半田不良。 八木社員へ</t>
  </si>
  <si>
    <t>R21315
 (作番完了)</t>
  </si>
  <si>
    <t>MFR-30FP</t>
  </si>
  <si>
    <t>FRT CTL CARD</t>
  </si>
  <si>
    <t>門脇
 棚A2</t>
  </si>
  <si>
    <t>MACアドレス 登録できない。</t>
  </si>
  <si>
    <t>2024/2/8 作番完了確認
 52期上期の廃棄</t>
  </si>
  <si>
    <t>R22200
 (作番完了)</t>
  </si>
  <si>
    <t>ジッタ値 大</t>
  </si>
  <si>
    <t>R22040
 作番完了</t>
  </si>
  <si>
    <t>立ち上がりがおかしい。
 LED9 点滅したり、点灯、消灯したり
 立ち上がりの挙動を繰り返して
 いるような状態。</t>
  </si>
  <si>
    <t>2020/12/08 秦FBへ調査を依頼。
 2021/01/12 IC58 品番：3QA62L1963S8、
 品名：LT1963AES8#TRPBFを出庫依頼。
 2021/01/20 門脇Sへ動作確認を依頼。
 動作確認してNG。
 2021/02/03 開発からの指示により、IC58出力電圧の確認を
 門脇Sへ依頼。
 2021/02/12 IC31、32 品番：3QA7DV32M165S、
 品名：MT46V32M16P-5Bを手配。
 2021/03/09 石川Kへ交換を依頼。
 動作確認してNG。
 2021/03/10 IC22 品番：3QA8C8A77800、
 品名：R8A77800BDBGVを手配。
 2021/06/04 MFGセンターへ改造を依頼。
 2021/09/07 MFGセンターより戻り、2課へ引渡</t>
  </si>
  <si>
    <t>E04207-1</t>
  </si>
  <si>
    <t>IC22</t>
  </si>
  <si>
    <t>3QA8C8A77800</t>
  </si>
  <si>
    <t>R22293
 (作番完了)</t>
  </si>
  <si>
    <t>セットアップ時にFPGAの
 データ書込みエラー
 「flash erace ･･･ 43% ･･･ 」</t>
  </si>
  <si>
    <t>2020/05/20 SP開発部へ調査依頼。
 （2021/01/06 板金のみ不良棚に有り。）
 2022/1/31 RS開発部より返却(石川K 受取)。IC16が原因か？
 2024/2/8 作番完了を確認
 2024/2/9 52期上期に廃棄</t>
  </si>
  <si>
    <t>E04783</t>
  </si>
  <si>
    <t>IC16？</t>
  </si>
  <si>
    <t>3QAAPM9812-02)
 (MT28EW01GABA1HJS</t>
  </si>
  <si>
    <t>IN9のロングケーブル受信エラー。</t>
  </si>
  <si>
    <t>（2021/01/06 不良棚に有り。）
 仕掛週報に記載無し。
 2024/2/9 52期上期に廃棄</t>
  </si>
  <si>
    <t>R21577
 (作番完了)</t>
  </si>
  <si>
    <t>岡野
 棚B5</t>
  </si>
  <si>
    <t>一定間隔でGENLOCKが外れる。
 InternalはOK。Ref inで発生する。</t>
  </si>
  <si>
    <t>2022/5/17 C978交換履歴有り⇒ 改善せず。
 IC87-16(No_Lock)定期的に外れるため、C993交換し改善を確認。2課へ返却(石川K)
 2024/2/20 廃棄完了を確認</t>
  </si>
  <si>
    <t>R22376
 作番完了</t>
  </si>
  <si>
    <t>電源ショートでIC31破損。
 （延長基板使用時）
 2回目の電源を入れたときに発生。
 1回目のDL作業時は問題なし。</t>
  </si>
  <si>
    <t>2020/09/16 IC27、IC31 品番：3QA62L38852A、
 品名：LP38852MR-ADJを出庫依頼。
 2020/10/05 MFGセンターへリワークを依頼。
 2020/10/19 MFGセンターよりリワーク品を受取り。
 坂下K確認中。
 2021/01/15 IC6 品番：3QA7Z6VLX130T、
 品名：XC6VLX130T-1FFG1156Cを手配。
 2021/02/01 MFGセンターへリワークを依頼。
 2021/02/18 MFGセンターよりリワーク品を受取り。
 2021/02/19 石黒さんへ動作確認を依頼。
 2021/03/19 動作確認してNG。
 廃棄の方向で検討。
 52期下期 廃棄済</t>
  </si>
  <si>
    <t>E03973-2</t>
  </si>
  <si>
    <t>XC6VLX130T-1FFG1156C</t>
  </si>
  <si>
    <t>R22409</t>
  </si>
  <si>
    <t>八木
 棚B6</t>
  </si>
  <si>
    <t>ジッタ アライメント高い 0.2以上
 タイミング 0.4くらい</t>
  </si>
  <si>
    <t>2020/12/16 坂下K調査中。
 X2(27MHz)、C477、C478(ﾙｰﾌﾟﾌｨﾙﾀ定数)、C1185、C1186(ｶｯﾌﾟﾘﾝｸﾞ)交換 ⇒ 改善せず
 仕掛週報に無し。
 2024/2/9 52期上期に廃棄</t>
  </si>
  <si>
    <t>USF-UDC12G-RC</t>
  </si>
  <si>
    <t>REAR A CARD</t>
  </si>
  <si>
    <t>CN1 ピン折れ</t>
  </si>
  <si>
    <t>2020/11/09 CN1 品番：3QG0HSEC81401、
 品名：HSEC8-140-01-L-DV-Aを出庫依頼。
 2020/11/11 MFGセンターへリワークを依頼。
 2020/11/25 MFGセンターよりリワーク品を受取り。
 岡野EXへ接続確認を依頼。
 RK作番
 2024/2/15 入庫完了(2018/7/10)</t>
  </si>
  <si>
    <t>E04592-2</t>
  </si>
  <si>
    <t>3QG0HSEC81401</t>
  </si>
  <si>
    <t>R21999</t>
  </si>
  <si>
    <t>八木
 棚B1</t>
  </si>
  <si>
    <t>MV-12SDOに出力を入れて、IN4の
 ストレスを見てしまったとき、エラーが
 出た。</t>
  </si>
  <si>
    <t>2020/12/16 坂下K調査中。
 仕掛週報に無し。
 2024/2/9 廃棄済(2021/9/30)</t>
  </si>
  <si>
    <t>R22839
 ⇒ R22936へ</t>
  </si>
  <si>
    <t>小川
 棚B3</t>
  </si>
  <si>
    <t>不定期に出力が無くなる。
 （EYEパターン無し）
 しばらくすると復帰してを繰り返す。</t>
  </si>
  <si>
    <t>2020/11/27 坂下Kへ調査を依頼。
 現象再現せず。仕掛へ(2課)</t>
  </si>
  <si>
    <t>R22190</t>
  </si>
  <si>
    <t>パラメータ設定時、画が止まることが
 ある。
 （アナログとSDIの切り替えや
 時計など。）</t>
  </si>
  <si>
    <t>坂下Kへ調査を依頼。
 2021/9/24 廃棄申請</t>
  </si>
  <si>
    <t>R22470</t>
  </si>
  <si>
    <t>電源をONしてしばらくすると、
 クロスポイントが切り替えられなくなる。（1分～30分くらい）
 GUI → クロスポイントエラー NG表示
 30CPUを使用すると、正常に
 使用できた。</t>
  </si>
  <si>
    <t>2020/12/10 秦FBへ調査を依頼。
 2021/01/12 IC58 品番：3QA62L1963S8、
 品名：LT1963AES8#TRPBFを出庫依頼。
 2021/01/20 門脇Sへ動作確認を依頼。
 動作確認してNG。
 2021/02/03 開発からの指示により、IC58出力電圧の確認を
 門脇Sへ依頼。
 2021/02/12 IC31、32 品番：3QA7DV32M165S、
 品名：MT46V32M16P-5Bを手配。
 2021/03/09 石川Kへ交換を依頼。
 動作確認してNG。
 2021/03/10 SP開発部 中島さんへ調査を依頼。
 2021/03/22 IC54 品番：3QJ0PV006A0X3、
 品名：PVX006A0X3-SRZを出庫依頼。
 MFGセンターへリワークを依頼。
 2021/03/29 MFGセンターよりリワーク品を受取り。
 SP開発部 中島さんへ調査を依頼。
 2021/05/12 対策完了。評価予定。
 2021/6/3 RS開発部より対策指示(変通No.5181)にて対応
 2021/07/02 開発 横井（深山）さんより石川Kへ返却を確認。
 改造状態の確認要。</t>
  </si>
  <si>
    <t>IC54</t>
  </si>
  <si>
    <t>PVX006A0X3-SRZ</t>
  </si>
  <si>
    <t>AUDIOコネクタ 入らない
 立ち上がらない。</t>
  </si>
  <si>
    <t>AUDIOコネクタ交換済み
 2021/07/16 坂下Kにより調査中。
 2021/9/24 廃棄申請済</t>
  </si>
  <si>
    <t>R22674</t>
  </si>
  <si>
    <t>OLED(LCD6)に横線のドット抜け</t>
  </si>
  <si>
    <t>2021/02/17 石黒さんへ製品への組込みを依頼。
 部品交換？</t>
  </si>
  <si>
    <t>LCD6</t>
  </si>
  <si>
    <t>R22760
 ロット完了</t>
  </si>
  <si>
    <t>画が出ない。（OPEモード）</t>
  </si>
  <si>
    <t>2021/02/18 IC10 品番：3QA7Z1AGX60F6、
 品名：EP1AGX60EF1152C6Nを手配。
 2021/03/12 MFGセンターへリワークを依頼。
 2021/03/30 MFGセンターよりリワーク品を受取り。
 2021/04/16 石川Kへバッテリーホルダーの取付けを依頼。
 2021/09/24 石川課長が廃棄申請用として使用(4月より放置 の状態）
 6式 廃棄完了</t>
  </si>
  <si>
    <t>E03603-4</t>
  </si>
  <si>
    <t>3QA7Z1AGX60F6</t>
  </si>
  <si>
    <t>1080/59.94p ME1 KEY3のDVEを
 ONにするとビット落ちのような
 現象が発生する。
 REF抜き差しで復旧した。</t>
  </si>
  <si>
    <t>2021/02/19 SP開発部 岡田Kへ調査を依頼。
 2021/05/17 岡田Kより「QM評価中の最新版で対策できる。
 5月21日までに返却します。」との連絡あり。
 2021/05/26 開発で次期データでは不良が発生しないことを
 確認。齋藤さんへ動作確認を依頼。（製造2課 渡部さんにより
 HVS-1200へ組込み。）</t>
  </si>
  <si>
    <t>3Gフォーマット IN16で画が出ない。
 1.5Gは問題なし。</t>
  </si>
  <si>
    <t>2021/03/03 IC7 品番：3QA65M21161G4、
 品名：M21161G-25を出庫依頼。
 MFGセンターへリワークを依頼。
 2021/03/08 MFGセンターよりリワーク品を受取り。
 小川Sへ動作確認を依頼。
 動作確認してNG。
 2021/03/12 濱口Bへ調査を依頼。
 2021/11/04 C403がショートしている(ACカップリング)</t>
  </si>
  <si>
    <t>3QA65M21161G4</t>
  </si>
  <si>
    <t>D48交換（押しボタン反応せず）</t>
  </si>
  <si>
    <t>2021/03/10 交換困難。（石川Kに確認。）保留。
 2021/12/17 全数入庫完了</t>
  </si>
  <si>
    <t>D48</t>
  </si>
  <si>
    <t>電源ONでしばらくすると映像が
 消える。（2～30分後くらいで発生。）
 30CPU側はOK。3000CPU側で立ち上げたとき、クロスポイントが
 切り換わらない。しばらくすると映像が
 出る。</t>
  </si>
  <si>
    <t>2021/3/10 SP開発部 中島さんへ調査を依頼。
 2021/05/12 対策完了。評価予定。
 2021/07/02 開発 横井（深山）さんより石川Kへ返却を確認。
 改造状態の確認要。
 2021/6/3 RS開発部より対策指示(変通No.5181)にて対応</t>
  </si>
  <si>
    <t>R22050</t>
  </si>
  <si>
    <t>PC LAN(CPU2)、MFR LAN(CPU2)
 通信せず</t>
  </si>
  <si>
    <t>2021/03/12 坂下Kへ調査を依頼。
 仕掛週報に無し。
 2024/2/9 作番完了(2022/5/2)</t>
  </si>
  <si>
    <t>RL4、2回SDIとｱﾅﾛｸﾞの切り換えで、
 ｱﾅﾛｸﾞが出ない。</t>
  </si>
  <si>
    <t>2021/03/15 RL4 品番：3QF9ARS30Y03、
 品名：ARS30Y03を出庫依頼。
 2021/03/17 MFGセンターへ交換を依頼。
 2021/03/24 MFGセンターより交換品を受取り。
 2021/03/25 坂下Kへ動作確認を依頼。</t>
  </si>
  <si>
    <t>R22541</t>
  </si>
  <si>
    <t>時刻が進まない。</t>
  </si>
  <si>
    <t>2021/01/07 X3の交換で復帰。</t>
  </si>
  <si>
    <t>X3</t>
  </si>
  <si>
    <t>3QZ6DS32KHZSN</t>
  </si>
  <si>
    <t>R22938</t>
  </si>
  <si>
    <t>100m 画が出ない。（ショートOK）</t>
  </si>
  <si>
    <t>2021/04/14 カメラシステム開発部 宮崎Kへ調査を依頼。
 （GND強化改造必要）
 2021/11/08 R14の導通無し。改造個所の電極が欠損。
 2021/11/09 R14交換実施、動作確認OK</t>
  </si>
  <si>
    <t>R14</t>
  </si>
  <si>
    <t>HD パソロジ 50秒過ぎにNG</t>
  </si>
  <si>
    <t>2021/04/14 カメラシステム開発部 宮崎Kへ調査を依頼。
 （GND強化改造必要）
 2021/11/18 内部配線引き回し訂正</t>
  </si>
  <si>
    <t>R22417</t>
  </si>
  <si>
    <t>12G 59.94p IN10 パソロジ ショート、
 ロング共にANC、Embにエラー
 CBだとでない。</t>
  </si>
  <si>
    <t>2021/03/31 坂下Kへ調査を依頼。
 SP開発部 岡田Kへ調査を依頼。
 2021/05/17 未着手。今月中に着手予定。（岡田Kに確認。）
 2021/05/26 製造2課 渡部さんによりガスケットを張り替え。
 齋藤さんへ動作確認を依頼。
 2021/05/27 動作確認した結果NG。
 PLS開発部 石井（竜）さんへ調査を依頼。
 2021/10/12 PLS開発部より、対策プログラム発行
 OUTPUT1/2：V01-07(MFOTA1200v010701.mfb）</t>
  </si>
  <si>
    <t>R22831</t>
  </si>
  <si>
    <t>SDフォーマット（NTSC、PAL）時、
 電源入切するとアイパターンが乱れて
 画が出ない（全OUT）、バージョンが
 HDになる。リブート及びフォーマット切り換えで直るが、電源入切で
 再発する。MU_CPU CDが原因。</t>
  </si>
  <si>
    <t>2021/04/14 SP開発部 岡田Kへ調査を依頼。
 2021/05/17 未着手。今月中に着手予定。（岡田Kに確認。）
 2021/05/26 石井竜也さん所持。
 仕掛週報に無し。
 2024/2/9 作番完了(2021/7/21)</t>
  </si>
  <si>
    <t>2021/04/09 製造2課 井上さんへ基板の交換を依頼。
 2021/04/13 坂下Kへ調査を依頼。
 2021/10/14 CN33交換依頼(14-6)
 2021/11/04 製造2課へ引渡
 2021/11/10 製造3課にて動作確認済、CN33は問題なし</t>
  </si>
  <si>
    <t>OU2_SW12_CD</t>
  </si>
  <si>
    <t>9mm角SW 反応悪い(時々)</t>
  </si>
  <si>
    <t>2021/09/21 放置状態の基板を2課より預かり、改修作業要
 2022/07/21 2課で組直して確認する 
 仕掛週報に無し。
 2024/2/9 作番完了(2024/1/12)</t>
  </si>
  <si>
    <t>R22701(完)</t>
  </si>
  <si>
    <t>RL7 不良
 (AES OUT 3、4が出力しない。）</t>
  </si>
  <si>
    <t>2021/04/20 岡野EXへ調査を依頼。（高橋広所持）
 2021/05/14 RL7 品番：3QF9G6K2FY5、
 品名：G6K-2F-Y-TR DC5Vを出庫依頼。
 2021/05/19 MFGセンターへ交換を依頼。</t>
  </si>
  <si>
    <t>12G パソロジ IN10 ショート、
 ロング共にAUDIOにエラー</t>
  </si>
  <si>
    <t>2021/04/15 SP開発部 岡田Kへ連絡済み。（高橋広所持）
 2021/05/17 未着手。今月中に着手予定。（岡田Kに確認。）
 2021/05/26 18020135のガスケット張り替えで改善されたら
 同じ対応をする。
 2021/07/07 シールド板を製造2課 山倉さんへ引き渡し。
 2021/07/12 PLS開発部 佐野さんに調査依頼。
 2021/10/12 PLS開発部より、対策プログラム発行
   OUTPUT1/2：V01-07(MFOTA1200v010701.mfb）</t>
  </si>
  <si>
    <t>R22938
 ロット完了</t>
  </si>
  <si>
    <t>画が出ない</t>
  </si>
  <si>
    <t>2021/04/20 坂下Kへ調査を依頼。
 2021/05/07 IC10 品番：3QA7Z1AGX60F6、
 品名：EP1AGX60EF1152C6Nを出庫依頼。
 2021/05/10 MFGセンターへリワークを依頼。
 2021/05/21 MFGセンターよりリワーク受取り。
 2021/05/24 坂下Kへ動作確認を依頼。⇒ 復帰せず
 2022/3/31 廃棄完了</t>
  </si>
  <si>
    <t>R21658
 (作番完了)</t>
  </si>
  <si>
    <t>2021/10/06 +3.3Vﾗｲﾝのショート
 2022/3/31 廃棄完了</t>
  </si>
  <si>
    <t>スロットA 送信側（Tx1～4）
 信号出力せず。</t>
  </si>
  <si>
    <t>2021/05/17 坂下Kへ調査を依頼。
 2021/05/18 製造2課 井上さんへ基板の取外しを依頼。
 2021/05/21 記載のS/Nは入庫済
 2021/10/14 CN33交換依頼(14-7)
 2021/11/04 製造2課へ引渡
 2021/11/10 製造3課にて動作確認済、CN33は問題なし</t>
  </si>
  <si>
    <t>スロットA 出力NG
 （SFPC4でTXポートから信号なし。）
 （RXポートの受信はOK。）</t>
  </si>
  <si>
    <t>2021/05/17 坂下Kへ調査を依頼。
 2021/10/14 CN33交換依頼(14-5)
 2021/11/04 製造2課へ引渡
 2021/11/10 製造3課にて動作確認済、CN33は問題なし</t>
  </si>
  <si>
    <t>スロットA 出力2 ステータスエラー
 EX3Gオプションのみ発生</t>
  </si>
  <si>
    <t>2021/05/18 坂下Kへ調査を依頼。
 製造2課 井上さんへ基板の取外しを依頼。
 2021/05/21 記載のS/Nは入庫済
 仕掛週報に無し。
 2024/2/9 廃棄済(51期下期)</t>
  </si>
  <si>
    <t>D41 破損</t>
  </si>
  <si>
    <t>2021/05/26 製造2課 井上さんへ基板の取外しを依頼。
 2021/11/4 部品交換実施</t>
  </si>
  <si>
    <t>D41</t>
  </si>
  <si>
    <t>R22963</t>
  </si>
  <si>
    <t>RL4 コンポジット出ない。</t>
  </si>
  <si>
    <t>2021/05/26 RL4 品番：3QF9ARS30Y03、
 品名：ARS30Y03Zを出庫依頼。
 2021/07/13 MFGセンターへ交換を依頼。
 2021/07/27 MFGセンターより交換品を受取り。
 2021/08/20 八木さんへ動作確認を依頼。</t>
  </si>
  <si>
    <t>RL3 コンポジット出ない。</t>
  </si>
  <si>
    <t>2021/05/26 RL3 品番：3QF9ARS30Y03、
 品名：ARS30Y03Zを出庫依頼。
 2021/07/13 MFGセンターへ交換を依頼。
 2021/07/27 MFGセンターより交換品を受取り。
 2021/08/20 八木さんへ動作確認を依頼。
  ⇒ 項番 244へ</t>
  </si>
  <si>
    <t>R23021</t>
  </si>
  <si>
    <t>ノイズが出る。</t>
  </si>
  <si>
    <t>2021/05/26 坂下Kへ調査を依頼。
 2021/06/03 MM2-CKp/MM2-CKn 終端抵抗 交換。
 2021/06/04 八木さんへ引き渡し。出荷へ。</t>
  </si>
  <si>
    <t>IN4 コンポジット出ない。</t>
  </si>
  <si>
    <t>2021/06/03 RL4 品番：3QF9ARS30Y03、
 品名：ARS30Y03Zを出庫依頼。
 2021/07/13 MFGセンターへ交換を依頼。
 2021/07/27 MFGセンターより交換品を受取り。
 2021/08/20 八木さんへ動作確認を依頼。</t>
  </si>
  <si>
    <t>センター責
 実装？</t>
  </si>
  <si>
    <t>R22746
 作番完了</t>
  </si>
  <si>
    <t>SUB CARD</t>
  </si>
  <si>
    <t>⑦</t>
  </si>
  <si>
    <t>棚B2</t>
  </si>
  <si>
    <t>廃棄</t>
  </si>
  <si>
    <t>⑧</t>
  </si>
  <si>
    <t>R22148</t>
  </si>
  <si>
    <t>2021/06/16 八木さんへ不良内容の確認を依頼。</t>
  </si>
  <si>
    <t>R22995</t>
  </si>
  <si>
    <t>KEY、DSK 2D-DVE時 横引きノイズ
 （CB、スイープよくわかる。）</t>
  </si>
  <si>
    <t>2021/06/21 岡田Kへ調査を依頼。
 初期化(ファクトリーデフォルト)実行？現象改善
 2021/06/25 岡田Kより引き取り。
 2021/07/14 岡田Kからのアドバイスに基づいて小川Sへ
 調査を依頼。
 2022/03/03 現象再現せず。入庫へ</t>
  </si>
  <si>
    <t>100m 画が出ない。</t>
  </si>
  <si>
    <t>2021/06/21 石川KへGND強化改造を依頼。
 2021/11/08 R14の導通無し。改造個所の電極が欠損？
 2021/11/18 R14交換、内部配線引き回し訂正</t>
  </si>
  <si>
    <t>3QA6ZG2984IN</t>
  </si>
  <si>
    <t>センター責
 実装</t>
  </si>
  <si>
    <t>2021/06/21 石川KへGND強化改造を依頼。
 2021/11/08 R14導通無し
 2021/11/09 R14交換実施、動作確認OK</t>
  </si>
  <si>
    <t>IN13 ケーブルを動かすと画が
 乱れる。</t>
  </si>
  <si>
    <t>2021/06/25 八木さんへ筐体への組込みを依頼。</t>
  </si>
  <si>
    <t>R22961
 ﾛｯﾄ完了</t>
  </si>
  <si>
    <t>OU2_BUS22_CD</t>
  </si>
  <si>
    <t>押しボタン反応せず。（点灯はする。）
 特定ボタン</t>
  </si>
  <si>
    <t>2021/07/12 石川Kへ調査（修正）を依頼。
 2022/1/18 入庫完了(修理完了)</t>
  </si>
  <si>
    <t>IN17 12Gパソロジ 50秒くらいでNG</t>
  </si>
  <si>
    <t>2021/06/25 IC187 品番：3QA6Z9GS12070、
 品名：GS12070-IBE3を出庫依頼。
 2021/07/01 MFGセンターへリワークを依頼。
 2021/07/21 MFGセンターよりリワーク品受取り。
 八木さんへ動作確認を依頼。</t>
  </si>
  <si>
    <t>IC187</t>
  </si>
  <si>
    <t>3QA6Z9GS12070、</t>
  </si>
  <si>
    <t>R22555</t>
  </si>
  <si>
    <t>検査中に映像出力が無くなった。
 F2が切れている。IC70出力が
 ショートしている。
 調査のため、R1034、R1088、
 R1103取り外し。</t>
  </si>
  <si>
    <t>2021/06/30 PLS開発部 岡田Kに連絡済み。（高橋広所持）
 IC70( MPN12AD12-TS)による故障現象
 ⇒ 出力に接続されたICが故障する(電源がGNDへ短絡）
 後段のFPGAが高額な為、廃棄申請 (HVS-490と同現象）
 2024/2/9 52期上期に廃棄</t>
  </si>
  <si>
    <t>IC70</t>
  </si>
  <si>
    <t>申請予定</t>
  </si>
  <si>
    <t>R22491
 (作番完了)</t>
  </si>
  <si>
    <t>2021/07/02 Q40 品番：3QB1RRH040P03、
 品名：RRH040P03TB1を出庫依頼。
 2021/07/28 石川Kへ交換を依頼。
 2021/11/4 動作確認し問題無し
 2021/11/12 Analog信号がNG、+5VBがGNDに短絡
 2022/10/17 入庫完了</t>
  </si>
  <si>
    <t>Q40</t>
  </si>
  <si>
    <t>3QB1RRH040P03</t>
  </si>
  <si>
    <t>IN10 12Gパソロジ
 ショート、ロング共にAUDIOにエラー。
 CBでは出ない。</t>
  </si>
  <si>
    <t>（高橋広所持）
 2021/07/07 シールド板を製造2課 山倉さんへ引き渡し。
 2021/07/12 PLS開発部 佐野さんに調査依頼。
 2021/10/12 PLS開発部より、対策プログラム発行
 OUTPUT1/2：V01-07(MFOTA1200v010701.mfb）</t>
  </si>
  <si>
    <t>IN15 、ｱﾅﾛｸﾞ入力が出力しない。</t>
  </si>
  <si>
    <t>2021/07/02 八木さんへ調査を依頼。
 2021/07/14 RL15 品番：3QF9ARS30Y03、
 品名：ARS30Y03を出庫依頼。
 2021/09/14 交換実施 八木さんへ確認依頼</t>
  </si>
  <si>
    <t>センター責
 部品？</t>
  </si>
  <si>
    <t>CN33 実装不良</t>
  </si>
  <si>
    <t>2021/09/07 部品出庫依頼
 2021/10/14 CN33交換依頼(14-2)
 2021/11/04 製造2課へ引渡
 2021/11/05 製造3課にて動作確認済、CN33は問題なし</t>
  </si>
  <si>
    <t>R22852</t>
  </si>
  <si>
    <t>FA-96DIN4-CBL</t>
  </si>
  <si>
    <t>DIN 4 CD</t>
  </si>
  <si>
    <t>CN2の信号ラインがGNDとショート</t>
  </si>
  <si>
    <t>2021/07/14 CN2 品番：3QG1DCJLR、
 品名：DCJ-LRを出庫依頼。
 2021/07/21 MFGセンターへ交換を依頼。
 2021/07/27 MFGセンターより交換品を受取り。
 岡野EXへ動作確認を依頼。
 2021/09/28 CN1取り外し、改善
 2021/10/4 石川課長へ部品取り付け完了 ⇒ 岡野EXへ</t>
  </si>
  <si>
    <t>E04568-0</t>
  </si>
  <si>
    <t>3QG1DCJLR</t>
  </si>
  <si>
    <t>12G:IN1～3認識しない。
  （ショートケーブルでNG）
  IN4～5受信がコケる。
  （ショートケーブルでNG）
 3G:IN11、13、15、17、19受信が
  コケる。（ショートケーブルでNG）</t>
  </si>
  <si>
    <t>2021/07/14 PLS開発部 佐野さんへアドバイスを依頼。
  半田面の抵抗が3か所破損している</t>
  </si>
  <si>
    <t>R658
 R1095
 R1097</t>
  </si>
  <si>
    <t>3QDX0CQE472
 3QDX0CQA0R0
 3QDX0CQA0R0</t>
  </si>
  <si>
    <t>2課責
 取扱い</t>
  </si>
  <si>
    <t>・STILLのキャプチャ、ロードが
 できない。（黒）
 ・DIMM交換でキャプチャはOK。
 ロードはビット落ち？メモリのゴミ？が
 ・電源再起動でキャプチャ、ロードが
 できなくなった。（黒）</t>
  </si>
  <si>
    <t>2021/07/13 PLS開発部 岡田Kへ調査を依頼。
 2021/12/21 PLS開発部(岡田課長)より回答
 SODIMMの初期化が完了しない状態(D12,D13点灯せず)
 SODIMMの挿抜で再現しなくなった。
 CN9、CN10の実装状況を再確認し様子を見る。
 2022/3/14 組込して確認するため、2課へ</t>
  </si>
  <si>
    <t>E04391-2</t>
  </si>
  <si>
    <t>CN9,CN10
 接触不良？</t>
  </si>
  <si>
    <t>IN2 3G 70m 画が出たり
 出なかったり。
 100m、200mはOK。</t>
  </si>
  <si>
    <t>2021/07/14 坂下Kへ調査を依頼。
 ⇒ IC31の部品出庫依頼中(7/27)
 2021/10/20 部品交換依頼（リワーク)
 2021/11/02 八木さんへ(組込後、動作確認 )</t>
  </si>
  <si>
    <t>3QA6Z6G3440
 GS3440-INE3</t>
  </si>
  <si>
    <t>時刻設定不可
 GENLOCK Ver.表示 NG</t>
  </si>
  <si>
    <t>2021/07/21 C1296 品番：3QCZKR5R5V334、
 品名：KR-5R5V334-Rを出庫依頼。
 2021/07/27 石川Kへ交換を依頼。
 2021/10/28 C1296交換 ⇒ 改善せず
 駆動電圧異常：3.3V ⇒ 2.5V程度？
 2021/10/29 D21交換 ⇒ 改善せず。R831で電圧降下1.5V
 R831交換 ⇒ 改善 2課へ</t>
  </si>
  <si>
    <t>E03949-4</t>
  </si>
  <si>
    <t>R831</t>
  </si>
  <si>
    <t>3QDX0CQE102
 RK73B1ETTP102J</t>
  </si>
  <si>
    <t>R22527</t>
  </si>
  <si>
    <t>立ち上がり時のInitializing画面の
 青が薄い。</t>
  </si>
  <si>
    <t>2021/07/21 坂下Kへ調査を依頼。
 2022/03/25 廃棄申請したが見直しとなる
 廃棄</t>
  </si>
  <si>
    <t>（GND強化改造必要）
 2021/11/08 R14の導通無し。改造個所の電極が欠損。
 2021/11/09 R14交換実施、動作確認OK</t>
  </si>
  <si>
    <t>3課責
 改造</t>
  </si>
  <si>
    <t>R22960</t>
  </si>
  <si>
    <t>（GND強化改造必要）
 2021/11/19 内部配線引き回し訂正</t>
  </si>
  <si>
    <t>（GND強化改造必要）
 2022/1/14 GND強化改造、FPGAのVerは更新無し
  RS-232C内部配線引き回し訂正</t>
  </si>
  <si>
    <t>R23091(完)
 ⇒ 振替
 R22467</t>
  </si>
  <si>
    <t>GENLOCKが一定間隔で外れる。
 B.B：NG
 Tri:OK</t>
  </si>
  <si>
    <t>2021/08/30 C992,993交換 ⇒ 改善せず
 2022/03/08 IC85のRef_LOCKが15秒毎にエラーとなる。
 C978を交換し改善</t>
  </si>
  <si>
    <t>C992,C993</t>
  </si>
  <si>
    <t>CN33 実装不良（SLOT A OUT4 NG)
 不良修正進捗表記載の作番は完了のため、
 出荷最新ロット分として管理</t>
  </si>
  <si>
    <t>2021/09/07 部品出庫依頼
 2021/10/14 CN33交換依頼(14-8)
 2021/11/04 製造2課へ引渡
 2021/11/10 製造3課にて動作確認済、CN33は問題なし</t>
  </si>
  <si>
    <t>R22312</t>
  </si>
  <si>
    <t>μSDカードよりダウンロードできない
 IC34(+3.3V)出力が+0.6V</t>
  </si>
  <si>
    <t>2022/5/2 IC34(5ピン VS+ )が浮いている？
 MFGセンターへ修正/交換の確認依頼
 2023/2/10 IC34部品交換完了</t>
  </si>
  <si>
    <t>IC34</t>
  </si>
  <si>
    <t>R22843</t>
  </si>
  <si>
    <t>Active LED点灯せず
 CN9の15ピン(a~e)無し</t>
  </si>
  <si>
    <t>2021/09/24 CN9取り外し依頼
 2021/10/12 CN9手配表の発行
 2021/10/29 部品交換依頼
 2021/11/04 2課へ引渡</t>
  </si>
  <si>
    <t>Main Card</t>
  </si>
  <si>
    <t>DVE動作せず。
 2D、2.5Dの両方ともにNG</t>
  </si>
  <si>
    <t>仕掛週報に無し。
 2024/9/13 51期下期に廃棄</t>
  </si>
  <si>
    <t>R22821</t>
  </si>
  <si>
    <t>MU_CPU Card</t>
  </si>
  <si>
    <t>MFR-LANネット設定できない</t>
  </si>
  <si>
    <t>2022/9/28 廃棄</t>
  </si>
  <si>
    <t>R23098</t>
  </si>
  <si>
    <t>ＳＤＩｴﾗｰ発生(頻度、低い)</t>
  </si>
  <si>
    <t>2021/08/31 部品手配 (IC31交換)
 2021/09/06 ﾘﾜｰｸ依頼
 2021/09/17 ﾘﾜｰｸ完了 門脇主任へ</t>
  </si>
  <si>
    <t>E03560</t>
  </si>
  <si>
    <t>3QA6Z6G2975A
 GS2975ACNE3</t>
  </si>
  <si>
    <t>センター責
 部品</t>
  </si>
  <si>
    <t>E04303-2</t>
  </si>
  <si>
    <t>DISP4</t>
  </si>
  <si>
    <t>DISP17</t>
  </si>
  <si>
    <t>Slot A Out4 NG（CN33実装不良）</t>
  </si>
  <si>
    <t>2021/10/14 CN33交換依頼(14-1)
 2021/11/04 製造2課へ引渡
 2021/11/05 製造3課にて動作確認済、CN33は問題なし</t>
  </si>
  <si>
    <t>ENC1～4の実装向き逆</t>
  </si>
  <si>
    <t>廃棄、部品在庫確認 ⇒ 石川課長対応
 2021/10/26 石川課長より2課へ返却済</t>
  </si>
  <si>
    <t>R22976</t>
  </si>
  <si>
    <t>1080/59.54iのﾀｲﾐﾝｸﾞｼﾞｯﾀ大</t>
  </si>
  <si>
    <t>2021/09/16 開発見解：Xtal(27MHz)、ﾀｲﾐﾝｸﾞGEN_IC？
 2022/04/05 ﾙｰﾌﾟﾌｨﾙﾀのｺﾝﾃﾞﾝｻ交換(C1252、C1253)
  次回、調整検査作業時に確認依頼する</t>
  </si>
  <si>
    <t>CH3,10がｱﾅﾛｸﾞ側へ切替わらない。リレーを叩くと切替わる</t>
  </si>
  <si>
    <t>2021/09/20 RL3,RL10を交換実施 八木さんへ
 2021/10/08 RL1動作不良 ⇒ ﾘｰﾄﾞ浮き有り
 2021/10/12 RL1交換実施し、八木さんへ</t>
  </si>
  <si>
    <t>Ouｔ１２ ＣＲＣエラー発生</t>
  </si>
  <si>
    <t>2021/09/28 部品出庫依頼
 2021/10/05 リワーク依頼
 2021/10/15 リワーク完了、門脇主任へ ⇒ 確認中
 2021/11/12 入庫完了</t>
  </si>
  <si>
    <t>IC23</t>
  </si>
  <si>
    <t>2021/11/04 現象確認中(石川課長)
 日付不明だが、入庫完了？</t>
  </si>
  <si>
    <t>R23120</t>
  </si>
  <si>
    <t>MU</t>
  </si>
  <si>
    <t>画像の下位置にﾉｲｽﾞ発生した。
 暫くしたら、発生しなくなった</t>
  </si>
  <si>
    <t>2021/09/24 再現試験実施 ⇒ 再発しない
 2021/10/1 現象再現せず、入庫済</t>
  </si>
  <si>
    <t>E03434</t>
  </si>
  <si>
    <t>R23172</t>
  </si>
  <si>
    <t>ﾎﾞﾀﾝ表示が数字から切替わらない
 ステータス/ch切替は動作する</t>
  </si>
  <si>
    <t>2022/3/15 現象再現せず、3課で再検査へ</t>
  </si>
  <si>
    <t>2021/09/27 C993 部品出庫依頼 ①
 2021/10/12 C993交換 ⇒ 改善</t>
  </si>
  <si>
    <t>C993</t>
  </si>
  <si>
    <t>3QCXTCB0J686</t>
  </si>
  <si>
    <t>2021/09/27 C993 部品出庫依頼 ②
 2021/10/12 C993交換 ⇒ 改善</t>
  </si>
  <si>
    <t>DISP7に縦線ノイズ</t>
  </si>
  <si>
    <t>2021/09/28 MFGセンターへ交換依頼
 2021/10/4 交換完了し、2課へ</t>
  </si>
  <si>
    <t>DISP7</t>
  </si>
  <si>
    <t>DISP8に縦線ノイズ</t>
  </si>
  <si>
    <t>DISP8</t>
  </si>
  <si>
    <t>CN1破損</t>
  </si>
  <si>
    <t>2021/09/29 部品出庫依頼
 2021/10/15 石川課長交換作業中</t>
  </si>
  <si>
    <t>E04314-1</t>
  </si>
  <si>
    <t>3QG3512966094</t>
  </si>
  <si>
    <t>DISP5に縦線ノイズ</t>
  </si>
  <si>
    <t>2021/09/30 MFGセンターへ交換依頼
 2021/10/4 交換完了し、3課へ(齋藤)</t>
  </si>
  <si>
    <t>DISP5</t>
  </si>
  <si>
    <t>IN11 リレー動作不良(ｱﾅﾛｸﾞ側)</t>
  </si>
  <si>
    <t>2021/10/05 RL11交換し、八木さんへ</t>
  </si>
  <si>
    <t>IN13~16ｱﾅﾛｸﾞ入力が出力しない。A/D入力まではOK</t>
  </si>
  <si>
    <t>部品出庫依頼中(MOQのため、出庫伝票)
 2022/6/17 議連51-031の現象か調査中 → 関係無し
 2022/6/20 IC59交換 ⇒ 八木</t>
  </si>
  <si>
    <t>IC59</t>
  </si>
  <si>
    <t>3QA6Z3TW2867C</t>
  </si>
  <si>
    <t>3Gフォーマットでエラー発生</t>
  </si>
  <si>
    <t>2021/10/06 RS開発部 田口さんへ再調査依頼
 仕掛週報に無し。
 2024/2/13 廃棄済(51期下期)</t>
  </si>
  <si>
    <t>R23170</t>
  </si>
  <si>
    <t>ResetSWが反応しない時がある</t>
  </si>
  <si>
    <t>2021/10/06 S3動作不良、部品出庫依頼
 2021/10/08 交換実施 門脇主任へ</t>
  </si>
  <si>
    <t>S3</t>
  </si>
  <si>
    <t>OUT3a出力不良、強く押すと一時的に復帰する</t>
  </si>
  <si>
    <t>2021/10/07 RL15の動作不良？
 2021/10/08 部品交換実施 改善 2課へ返却</t>
  </si>
  <si>
    <t>R22501</t>
  </si>
  <si>
    <t>MV-1620IF</t>
  </si>
  <si>
    <t>I/F</t>
  </si>
  <si>
    <t>INPUT1の選択切替が動作しない</t>
  </si>
  <si>
    <t>2021/10/11 CP1の不良？ 交換予定 ⇒ 出庫依頼
 2021/12/23 PC9-13ピン 足浮き * PC1は誤り 調整ラインへ</t>
  </si>
  <si>
    <t>E03844-1</t>
  </si>
  <si>
    <t>PC9</t>
  </si>
  <si>
    <t>3QBZTLP2904</t>
  </si>
  <si>
    <t>IN17~20 ｱﾅﾛｸﾞ入力が出力しない。A/D入力まではOK</t>
  </si>
  <si>
    <t>部品出庫依頼中(MOQのため、出庫伝票)
 2022/6/17 議連51-031の現象か調査中 → 関係無し
 2022/6/20 IC62交換 ⇒ 八木</t>
  </si>
  <si>
    <t>IN11 、ｱﾅﾛｸﾞ入力が出力しない。A/D入力まではOK</t>
  </si>
  <si>
    <t>部品出庫依頼中(MOQのため、出庫伝票)
 2022/6/17 議連51-031の現象か調査中 → 関係無し
 2022/6/20 IC56交換 → 改善せず
 2022/6/20 RL11交換 → 3課(八木)</t>
  </si>
  <si>
    <t>2021/10/12 石川課長へ作業依頼
 2021/11/08 R14の導通無し。改造個所の電極が欠損。
 2021/11/18 R14交換、内部配線引き回し訂正</t>
  </si>
  <si>
    <t>2021/10/12 石川課長へ作業依頼</t>
  </si>
  <si>
    <t>R21684</t>
  </si>
  <si>
    <t>LANのLEDが常に点灯。</t>
  </si>
  <si>
    <t>2021/10/14 CN9-93(RESET)がGNDに短絡、修正依頼
 2021/10/21 修理戻り、ｼｮｰﾄ現象改善。2課へ
 2021/11/12 記載のR作番は完了のため、R22564へ振替</t>
  </si>
  <si>
    <t>E04388</t>
  </si>
  <si>
    <t>3QG3MEC650LAK</t>
  </si>
  <si>
    <t>CN6-86ピン(GND)と88ピン(Genlock)がCN6の下でショート</t>
  </si>
  <si>
    <t>2021/10/13 MFGセンターへ修理依頼
 2021/10/14 修正後、動作確認OK
 2021/11/12 記載のR作番は完了のため、R22564へ振替</t>
  </si>
  <si>
    <t>IN12 ｺﾝﾎﾟｼﾞｯﾄ側に切替わらない。
 SDI側は正常</t>
  </si>
  <si>
    <t>2021/10/13 RL12交換実施 八木さんへ</t>
  </si>
  <si>
    <t>R23127</t>
  </si>
  <si>
    <t>Q-FRONT</t>
  </si>
  <si>
    <t>IC17の出力無し(OUT3のみ)</t>
  </si>
  <si>
    <t>2021/10/18 部品出庫依頼 ⇒ 入手後、リワーク
 2021/10/25 リワーク依頼
 2021/11/05 リワーク完了、岡野さんへ
 2021/11/09 動作確認完了</t>
  </si>
  <si>
    <t>IC17</t>
  </si>
  <si>
    <t>LAN1～3のLEDが点滅しない。</t>
  </si>
  <si>
    <t>2020/09/04 CN15、18クリーニング実施
 2021/09/29 製造2課へ（石川課長）
 2021/07/01 CN14破損の為、交換部品手配(リワーク)</t>
  </si>
  <si>
    <t>3QG3HSEC81801</t>
  </si>
  <si>
    <t>R23059</t>
  </si>
  <si>
    <t>Q13の足浮き、未半田
  Sys_Resetが機能せず。起動しない。</t>
  </si>
  <si>
    <t>2021/10/27 現品調査のため、MFGセンターへ貸出
 2021/11/01 Q13の足浮きを修正し、製造3課へ</t>
  </si>
  <si>
    <t>E03971</t>
  </si>
  <si>
    <t>Q13</t>
  </si>
  <si>
    <t>3QB0C2712GR
 2SC2712GR TE85L(F)</t>
  </si>
  <si>
    <t>IN13~16 ｺﾝﾎﾟｼﾞｯﾄ入力映像にﾉｲｽﾞ
 A/D入力まではOK</t>
  </si>
  <si>
    <t>2021/10/26 A/D(IC36 TW2867)出力確認、D5,D6の波形が異常 ⇒ RA8-6、RA8-7に半田ボール有。除去して八木さんへ。</t>
  </si>
  <si>
    <t>RA8</t>
  </si>
  <si>
    <t>3QDXA0QJC560</t>
  </si>
  <si>
    <t>2021/10/26 石川課長へ作業依頼
 2022/2/？ 石川課長、変通対応(GND改造)</t>
  </si>
  <si>
    <t>2021/10/26 石川課長へ作業依頼</t>
  </si>
  <si>
    <t>R22170</t>
  </si>
  <si>
    <t>SW4が赤点灯しない、緑点灯はOK</t>
  </si>
  <si>
    <t>2021/10/29 電流制限抵抗R40(680Ω)が断線している。電極部分が剥がれている？ 交換し3課へ返却</t>
  </si>
  <si>
    <t>R40</t>
  </si>
  <si>
    <t>3QDX0CQD681
 RK73B1ETTP681J</t>
  </si>
  <si>
    <t>3課責
 取扱い</t>
  </si>
  <si>
    <t>D3の破損</t>
  </si>
  <si>
    <t>2021/11/01 移動の際、または組配作業中に損傷したものと思われる</t>
  </si>
  <si>
    <t>D3</t>
  </si>
  <si>
    <t>3QB3SML312WB
 SML312WBCW1</t>
  </si>
  <si>
    <t>電源が入らない</t>
  </si>
  <si>
    <t>2021/11/01 CN26-B29(+12V)、CN26-B30(GND)が半田ブリッジ</t>
  </si>
  <si>
    <t>CN26</t>
  </si>
  <si>
    <t>3QG3FX8C6P4
 FX8C-60P-SV4(93)</t>
  </si>
  <si>
    <t>R21300</t>
  </si>
  <si>
    <t>OU-CPU</t>
  </si>
  <si>
    <t>CN11が破損している</t>
  </si>
  <si>
    <t>2021/11/02 交換依頼
 2021/11/12 修理品の受取、2課へ</t>
  </si>
  <si>
    <t>CN11</t>
  </si>
  <si>
    <t>2021/11/04 現象確認中(石川課長)</t>
  </si>
  <si>
    <t>2021/11/04 現象確認中(石川課長)
 2021/11/05 測定環境入替(Tektronix ⇒ Leader)で合格</t>
  </si>
  <si>
    <t>2021/11/04 現象確認中(石川課長)
 2021/12/2 石川課長の対策完了し、入庫へ</t>
  </si>
  <si>
    <t>2021/11/04 現象確認中(石川課長)
 石川課長の対策完了し、入庫へ</t>
  </si>
  <si>
    <t>Slot A CN33不良？</t>
  </si>
  <si>
    <t>交換部品手配
 2021/10/14 CN33交換依頼(14-3)
 2021/11/04 製造2課へ引渡
 2021/11/05 製造3課にて動作確認済、CN33は問題なし</t>
  </si>
  <si>
    <t>交換部品手配
 2021/10/14 CN33交換依頼(14-4)
 2021/11/04 製造2課へ引渡
 2021/11/05 製造3課にて動作確認済、CN33は問題なし</t>
  </si>
  <si>
    <t>2021/11/10 ｶﾒﾗｼｽﾃﾑ開発部へ相談中
 ｱﾄﾞﾊﾞｲｽに従い、ｲｺﾗｲｻﾞICの制御を変更したが改善せず</t>
  </si>
  <si>
    <t>2021/11/10 ｶﾒﾗｼｽﾃﾑ開発部へ相談中</t>
  </si>
  <si>
    <t>2021/11/10 ｶﾒﾗｼｽﾃﾑ開発部へ相談中
 2021/12/16 ｶﾒﾗｼｽﾃﾑ開発部よりｼﾞｬﾝﾊﾟ改造の依頼有り
 ※ 低温時、Titleの表示NGのためFPGAのVerUPは無し</t>
  </si>
  <si>
    <t>2021/11/10 ｶﾒﾗｼｽﾃﾑ開発部へ相談中
 2021/12/2 石川課長の対策完了し、入庫へ</t>
  </si>
  <si>
    <t>2021/11/10 ｶﾒﾗｼｽﾃﾑ開発部へ相談中
 2021/12/2 石川課長の対策完了し、入庫へ
 R22015 13521205のRear基板組込</t>
  </si>
  <si>
    <t>2021/11/10 ｶﾒﾗｼｽﾃﾑ開発部へ相談中
 2022/3/？ 石川課長、変通対応(GND改造)</t>
  </si>
  <si>
    <t>R23225</t>
  </si>
  <si>
    <t>USF-1100VEA</t>
  </si>
  <si>
    <t>VR2の動作が不安定(接触不良)</t>
  </si>
  <si>
    <t>2021/11/11 VR2交換実施 ⇒ 改善のため、岡野へ</t>
  </si>
  <si>
    <t>E04867</t>
  </si>
  <si>
    <t>VR2</t>
  </si>
  <si>
    <t>3QD4C6ND501
 CT-6EN 501</t>
  </si>
  <si>
    <t>入力１が出力しない。</t>
  </si>
  <si>
    <t>2021/11/12 R276破損(RL1制御) 交換後、復帰</t>
  </si>
  <si>
    <t>R276</t>
  </si>
  <si>
    <t>3QDX0CQJE102</t>
  </si>
  <si>
    <t>③？</t>
  </si>
  <si>
    <t>R23041</t>
  </si>
  <si>
    <t>DVE機能ONで出力映像に画素落ち発生する</t>
  </si>
  <si>
    <t>2021/11/12 現象の発生個所特定をPLS開発部へ依頼
 2022/2/4 3Gフォーマット、KEY2 DVE オンでNGとなる
 2022/7/22 PLS開発部へDC/DC調査用貸出
 仕掛週報に無し。
 2024/2/9 廃棄処理済(52期下期)</t>
  </si>
  <si>
    <t>DSPが一定の間隔で停止状態を繰返す</t>
  </si>
  <si>
    <t>2021/11/15 DSPが動作している間は映像に横引ノイズが発生する。停止中はフリーズ状態
 アナログコンポジット信号はNG(3QA6Z3TW2867C A/D回路か？)
 仕掛週報に無し。
 2024/2/9 52期上期に廃棄</t>
  </si>
  <si>
    <t>R23264</t>
  </si>
  <si>
    <t>LCD18に縦線ノイズ発生する</t>
  </si>
  <si>
    <t>2021/11/16 本作番より検査閾値を厳しくした部品が納品されたが改善せず ⇒ 部品取外し依頼 (品質異常報告書 )
 2022/2/22 至急部品受取、交換完了。2課へ組込依頼</t>
  </si>
  <si>
    <t>部材起因</t>
  </si>
  <si>
    <t>LCD6に縦線ノイズ発生する</t>
  </si>
  <si>
    <t>R25の実装位置ずれ
 後付けコネクタ半田付け時？</t>
  </si>
  <si>
    <t>2021/11/16 石川さんへ ⇒ 2課へ組立依頼</t>
  </si>
  <si>
    <t>R25</t>
  </si>
  <si>
    <t>3QDX0CQC220</t>
  </si>
  <si>
    <t>R99破損、組配または輸送時？</t>
  </si>
  <si>
    <t>2021/11/16 石川さんへ ⇒ 3課へ</t>
  </si>
  <si>
    <t>R99</t>
  </si>
  <si>
    <t>3QDX6HQE2001</t>
  </si>
  <si>
    <t>LCD18 赤色表示できない。
 ヒートラン中に発生</t>
  </si>
  <si>
    <t>2021/11/18  MFGセンターへ取外し依頼(品質異常報告書)
 2021/11/26 CPU基板に原因有り
 2022/4/28 IC16交換したが改善せず</t>
  </si>
  <si>
    <t>LCD7に縦線ノイズ発生する</t>
  </si>
  <si>
    <t>2021/11/18 本作番より検査閾値を厳しくした部品が納品されたが改善せず ⇒ 部品取外し依頼 (品質異常報告書 )
 2022/2/22 至急部品受取、交換完了。2課へ組込依頼</t>
  </si>
  <si>
    <t>R25が無い
 後付けコネクタ半田付け時？</t>
  </si>
  <si>
    <t>2021/11/18 MFGセンターへ修正依頼
 2021/11/24 修正完了、3課へ</t>
  </si>
  <si>
    <t>R23050</t>
  </si>
  <si>
    <t>MBP-2CMSX</t>
  </si>
  <si>
    <t>MPEG2 CARD</t>
  </si>
  <si>
    <t>Timingｼﾞｯﾀが偶に0.8UI超える</t>
  </si>
  <si>
    <t>仕掛週報に無し。
 2024/2/9 廃棄済(51期下期)</t>
  </si>
  <si>
    <t>R22700</t>
  </si>
  <si>
    <t>IN1,IN2の入力映像、ｷｬﾗｸﾀ表示しない。</t>
  </si>
  <si>
    <t>2021/11/19 基板挿抜、初期化実施したが効果なし
 2021/11/22 ﾒﾓﾘﾁｪｯｸ NG(/M_F1-0/M_F1-1/M_F1-2/M_F1-3/M_F1-4/M_F1-5/M_F1-6/M_F1-7)
 仕掛週報D 残1/20
 2024/4 廃棄確定</t>
  </si>
  <si>
    <t>R23304</t>
  </si>
  <si>
    <t>IC512実装の向き間違い</t>
  </si>
  <si>
    <t>2021/11/22 MFGセンターへ修正依頼</t>
  </si>
  <si>
    <t>E04066</t>
  </si>
  <si>
    <t>IC512 (実装向き)</t>
  </si>
  <si>
    <t>16600540
 他4枚</t>
  </si>
  <si>
    <t>RL4動作不良</t>
  </si>
  <si>
    <t>2021/11/25 ﾘﾚｰの足浮き？
 2021/11/26 MFGセンターへ再半田付け依頼</t>
  </si>
  <si>
    <t>〇
 再半田</t>
  </si>
  <si>
    <t>LCD2に縦線ノイズ発生する</t>
  </si>
  <si>
    <t>2021/11/26 部品取外し依頼 (後日、品質異常報告書 )
 2021/12/9 品質異常報告書発行
 2022/2/22 至急部品受取、交換完了。2課へ組込依頼</t>
  </si>
  <si>
    <t>LCD13に縦線ノイズ発生する</t>
  </si>
  <si>
    <t>LCD13</t>
  </si>
  <si>
    <t>R23260</t>
  </si>
  <si>
    <t>OUT16にCRCエラー発生する</t>
  </si>
  <si>
    <t>2021/11/29 交換部品手配
 2022/1/6 ｱｲｵﾝ電子へﾘﾜｰｸ依頼</t>
  </si>
  <si>
    <t>3QA6Z6G2975A</t>
  </si>
  <si>
    <t>Composite入力11~16の分割画面が乱れる
 ﾒﾓﾘﾁｪｯｸでｴﾗｰ発生</t>
  </si>
  <si>
    <t>2021/12/01 ﾒﾓﾘﾁｪｯｸ NG
 (/FPGA1-0/FPGA1-1/FPGA1-2/FPGA1-3/FPGA1-4/FPGA1-5/FPGA1-6/FPGA1-7)
 仕掛週報に無し。
 2024/2/9 52期上期に廃棄</t>
  </si>
  <si>
    <t>E03341</t>
  </si>
  <si>
    <t>R23255</t>
  </si>
  <si>
    <t>NET WORK基板に電源が入らない
 ﾌｧﾝが回転しない</t>
  </si>
  <si>
    <t>2021/12/3 CN14の浮き？ +12Vの1~４ピン未半田？
 2021/12/6 部品交換(修整)依頼
 ※ 次ロットの基板で半田剥がれの疑い基板6式の連絡有り
 2021/12/15 修整品受取、テスターチェックOK 2課へ引渡
 2021/12/16 組込後、動作確認完了 OK</t>
  </si>
  <si>
    <t>R19705</t>
  </si>
  <si>
    <t>EXT_IO</t>
  </si>
  <si>
    <t>動作不良個所の調査中にCN8破損</t>
  </si>
  <si>
    <t>2021/12/6 部品出庫依頼
 2021/12/28 部品入手、MFGセンターへ交換依頼</t>
  </si>
  <si>
    <t>E4318</t>
  </si>
  <si>
    <t>CN8</t>
  </si>
  <si>
    <t>3QG354132</t>
  </si>
  <si>
    <t>R23210</t>
  </si>
  <si>
    <t>NTSCフォーマット入力時にロックしない</t>
  </si>
  <si>
    <t>2021/12/10 ロックするまでの時間が非常に長い。
  数分かかる場合もある
 2021/12/13 C229交換。八木社員へ引渡</t>
  </si>
  <si>
    <t>C210,C229</t>
  </si>
  <si>
    <t>3QCXF1A226MMA</t>
  </si>
  <si>
    <t>部品交換</t>
  </si>
  <si>
    <t>約15秒毎にGenlockが外れる</t>
  </si>
  <si>
    <t>2021/11/1 再確認したら再現せず
 2021/12/10 調整作業台で再発した
 2021/12/14 ﾙｰﾌﾟﾌｨﾙﾀｰの部品交換し、ﾋｰﾄﾗﾝ中
 2021/12/29 2課へ引渡 該当シリアルは振替る</t>
  </si>
  <si>
    <t>C978</t>
  </si>
  <si>
    <t>R23240</t>
  </si>
  <si>
    <t>タッチパネル画面のタッチポイントがズレる(左側に余裕なし)</t>
  </si>
  <si>
    <t>2021/12/16 PLS開発部に現象報告、実機で確認済
 旧ロットでは再現していない
 購入部品の型名は変更無し
 2021/12/21 修正データにより対策する方針
  対策版の新ﾃﾞｰﾀﾘﾘｰｽ(ﾀｯﾁﾊﾟﾈﾙのｷｬﾘﾌﾞﾚｰｼｮﾝ追加)</t>
  </si>
  <si>
    <t>R23241</t>
  </si>
  <si>
    <t>2021/12/16 PLS開発部に現象報告、実機で確認済
 旧ロットでは再現していない
 購入部品の型名は変更無し
 2021/12/21 修正データにより対策する方針
 対策版の新ﾃﾞｰﾀﾘﾘｰｽ(ﾀｯﾁﾊﾟﾈﾙのｷｬﾘﾌﾞﾚｰｼｮﾝ追加)</t>
  </si>
  <si>
    <t>D4(LED)実装向きが逆</t>
  </si>
  <si>
    <t>2021/12/16 MFGセンターへ
 2021/12/24 修正完了 製造2課へ</t>
  </si>
  <si>
    <t>E04844</t>
  </si>
  <si>
    <t>D4</t>
  </si>
  <si>
    <t>L-115VEGW</t>
  </si>
  <si>
    <t>R23502</t>
  </si>
  <si>
    <t>LMK3328に書込み出来ない(IC303)</t>
  </si>
  <si>
    <t>2021/12/17 PLS開発部に調査依頼
 2023/1/12 ALTERAのデータ更新(V3)で改善</t>
  </si>
  <si>
    <t>R23322</t>
  </si>
  <si>
    <t>RL1が動作しない</t>
  </si>
  <si>
    <t>2021/12/21 ﾘﾚｰ駆動電圧確認(正常動作品と同等)
 2021/12/28 RL1交換実施 八木社員へ</t>
  </si>
  <si>
    <t>RL3が動作しない</t>
  </si>
  <si>
    <t>2021/12/21 ﾘﾚｰ駆動電圧確認(正常動作品と同等)
 2022/1/24 RL3交換実施 八木社員へ</t>
  </si>
  <si>
    <t>約20秒毎にGenlock(B.B)が外れる</t>
  </si>
  <si>
    <t>2021/12/21 現象再現(発生頻度は少ない)
 2021/12/27 C993 再半田 ⇒ 効果無し、交換 ⇒ 改善</t>
  </si>
  <si>
    <t>R22430</t>
  </si>
  <si>
    <t>SW15を押下しても反応しない</t>
  </si>
  <si>
    <t>2022/1/12 SW15の1ピンが未半田
   SW15の5ピンも怪しい
 2022/1/14 MFGセンターへ修正依頼
 2022/1/24 修理戻り、2課へ</t>
  </si>
  <si>
    <t>SW15</t>
  </si>
  <si>
    <t>3QF6K2MKM</t>
  </si>
  <si>
    <t>2021/7/14
 別ﾌﾞｯｸより</t>
  </si>
  <si>
    <t>R22438</t>
  </si>
  <si>
    <t>OUT8 SD出力のみNG（エラー）
 MFR-4100で発生
 A側 By-PassでOK。</t>
  </si>
  <si>
    <t>2021/07/14 IC37 品番：3QA6Z6M23145G、品名：M23145G-14を出庫依頼
 2021/10/18 再出庫依頼
 2022/1/17 ﾘﾜｰｸ依頼
 2022/2/4 ﾘﾜｰｸ完了、2課へ組込依頼
 仕掛週報にない。
 2024/2/9 52期上期に廃棄</t>
  </si>
  <si>
    <t>IC37</t>
  </si>
  <si>
    <t>IN15、ｱﾅﾛｸﾞ信号に切変わらない</t>
  </si>
  <si>
    <t>2022/1/18 RL15の動作不良？
 2022/1/20 IN15は改善したが、IN11が動作不良となる。</t>
  </si>
  <si>
    <t>R23258</t>
  </si>
  <si>
    <t>GENLOCKが一定間隔で外れる。
 B.B：NG</t>
  </si>
  <si>
    <t>2022/1/19 C993交換実施</t>
  </si>
  <si>
    <t>R23310</t>
  </si>
  <si>
    <t>OUT10 Eyeパターンレベルが小さい</t>
  </si>
  <si>
    <t>2022/1/24 部品出庫依頼
 2022/2/1 IC20交換依頼(ﾘﾜｰｸ)
 2022/2/24 ﾘﾜｰｸ後、改善せず。見込み違い？
 2022/2/25 L28に断線。部品出庫依頼中。
 2022/3/8 L28交換、抵抗値正常。3課へ</t>
  </si>
  <si>
    <t>L28</t>
  </si>
  <si>
    <t>3QE2KL73J3N3</t>
  </si>
  <si>
    <t>RL4が動作しない</t>
  </si>
  <si>
    <t>2022/1/21 RL4を軽く叩くと切替わる。部品出庫依頼</t>
  </si>
  <si>
    <t>R23160</t>
  </si>
  <si>
    <t>HD-SDI 100ｍ受信でOUT2,3にCRCｴﾗｰ発生</t>
  </si>
  <si>
    <t>2022/1/24 現象確認。TOPｶﾊﾞｰを被せた時に発生。
 2次側の配線引き回しで改善する？
 222/2/3 動作確認のため、3課へ引渡</t>
  </si>
  <si>
    <t>14882320
 14882326</t>
  </si>
  <si>
    <t>2022/1/24 C993交換実施 ⇒ 改善せず(基板交換実施)
 2022/1/25 Main基板のみ、C978 再半田 ⇒ 現象改善</t>
  </si>
  <si>
    <t>C993 ⇒ C978</t>
  </si>
  <si>
    <t>R22305</t>
  </si>
  <si>
    <t>FT-ONE-SS4KB</t>
  </si>
  <si>
    <t>CN15破損 (ｶﾒﾗｼｽﾃﾑ開発部より受取)</t>
  </si>
  <si>
    <t>2022/2/2 部品出庫依頼、MFGセンターへ交換依頼
 ⇒ 修理完
 仕掛週報に無し。
 2024/2/9 廃棄申請(52期下期)</t>
  </si>
  <si>
    <t>E04522</t>
  </si>
  <si>
    <t>3QG3541325097</t>
  </si>
  <si>
    <t>R21240</t>
  </si>
  <si>
    <t>OUT1a･1bのみ出力しない。</t>
  </si>
  <si>
    <t>2022/2/2 部品出庫依頼
 2022/5/2 ﾘﾜｰｸ依頼
 2022/5/20 受取りし、動作確認へ（3課）</t>
  </si>
  <si>
    <t>IC5</t>
  </si>
  <si>
    <t>3QA6ZL1218RTW</t>
  </si>
  <si>
    <t>16600591/601</t>
  </si>
  <si>
    <t>RL1が動作しない（ 注：計2式）</t>
  </si>
  <si>
    <t>2022/2/8 部品出庫依頼
 2022/3/10 部品交換実施 製造3課へ</t>
  </si>
  <si>
    <t>R23251</t>
  </si>
  <si>
    <t>時刻設定が出来ない。00:00:00 表示</t>
  </si>
  <si>
    <t>2022/2/7 WEB GUIで年月日は設定できるが、時間設定が出来ない。ただし、時刻ｶｳﾝﾄはされている。
 2022/2/8 OUから時刻設定し動作確認 ⇒ 製造3課へ</t>
  </si>
  <si>
    <t>IN12のRL12動作不良</t>
  </si>
  <si>
    <t>2022/2/8 ｱﾅﾛｸﾞ側の動作が渋い。叩くと切替わる？
 2022/2/24 RL12部品交換実施。八木社員へ。</t>
  </si>
  <si>
    <t>15秒間隔で同期が外れる。</t>
  </si>
  <si>
    <t>2022/2/9 タイミングGEN(IC85)のCLK出力が安定していない？交換部品(C993)出庫依頼中
 2022/2/14 C993 部品交換実施 ⇒ 現象改善、製造2課へ
 2022/3/1 外部Ref入力時ﾀｲﾐﾝｸﾞｼﾞｯﾀが規格外
 2022/3/8 C993交換(取付失敗？) ｼﾞｯﾀ特性改善 3課へ</t>
  </si>
  <si>
    <t>C978？</t>
  </si>
  <si>
    <t>R23265</t>
  </si>
  <si>
    <t>IN2:ﾘﾚｰﾊﾞｲﾊﾟｽの映像出力なし。ｵﾍﾟﾚｰﾄの映像は正常</t>
  </si>
  <si>
    <t>2022/2/16 ﾊﾞｲﾊﾟｽ出力の機能確認が追加された為、検査したらﾚﾍﾞﾙが小さい、出力されない製品を複数確認した。
 ﾘﾚｰ部品の上部と基台に隙間を確認した
 2022/5/30 RL1交換。2課へ</t>
  </si>
  <si>
    <t>R23252</t>
  </si>
  <si>
    <t>HVS-49STDIO</t>
  </si>
  <si>
    <t>調整検査中に映像出力しなくなった。
 電源部品の不良</t>
  </si>
  <si>
    <t>2022/2/16 PLS開発部の岡田課長に確認いただき、DC/DCの動作不良と判断。
 2022/8/4 部品出庫依頼
 2022/10/26 リワーク依頼
 2022/11/17 動作確認完了</t>
  </si>
  <si>
    <t>”17241997”</t>
  </si>
  <si>
    <t>IN2:ｵﾍﾟﾚｰﾄの映像出力なし。ﾘﾚｰﾊﾞｲﾊﾟｽの映像は正常</t>
  </si>
  <si>
    <t>2022/2/17 ﾘﾚｰ上部に衝撃を印加すると切替わる(1回だけ)
 2022/4/12 リレー部品交換</t>
  </si>
  <si>
    <t>”17241995”</t>
  </si>
  <si>
    <t>2022/2/17 RL1の隙間が大。影響について問合せ予定
 2022/5/30 RL1交換。2課へ</t>
  </si>
  <si>
    <t>FRONT_IF</t>
  </si>
  <si>
    <t>CPLDのVer表示無し、ﾌﾞｻﾞｰ鳴る</t>
  </si>
  <si>
    <t>2022/2/21 別環境では再現せず。2課返却予定。
 2022/2/22 2課へ返却。</t>
  </si>
  <si>
    <t>OUT2a端子：Operateの映像映像出力なし</t>
  </si>
  <si>
    <t>2022/2/25 RL2の動作不良、リレーの制御は問題無い
 2022/4/12 リレー部品交換</t>
  </si>
  <si>
    <t>R23294</t>
  </si>
  <si>
    <t>3G-SDIﾌｫｰﾏｯﾄ時、IN2の信号が出力しない。
 M/E1、M/E2、AUX出力全て</t>
  </si>
  <si>
    <t>2022/2/25 信号パスのACｶｯﾌﾟﾘﾝｸﾞｺﾝﾃﾞﾝｻC403、406交換したが改善せず
 2022/4/12 IC52(ｸﾛｽﾎﾟｲﾝﾄIC)の部品交換依頼(ﾘﾜｰｸ)
 2022/4/18 リワーク完了し、正常動作確認完了</t>
  </si>
  <si>
    <t>E04153-1</t>
  </si>
  <si>
    <t>(M21161)</t>
  </si>
  <si>
    <t>⑫</t>
  </si>
  <si>
    <t>SRC81 CRCエラー</t>
  </si>
  <si>
    <t>2020/10/21 SP開発 佐野さんにより調査中。
 ※ IC81の再加熱を実施予定。
 2020/11/05 IC81 品番：3QA6Z6M23145G、品名：M23145G-14を
 出庫依頼。
 2020/11/10 MFGセンターへIC81の再加熱を依頼。
 2020/11/24 MFGセンターより再加熱品を受取り。
 2020/11/26 SP開発 佐野さんにより調査中。
 （コンデンサ改造実施済みのものを開発から製造に引き渡し済み。）
 2021/8/27 コンデンサ改造修正
 2021/9/6 動作確認OK
 2022/2/25 MFR-4100 S/No.18580053に引き当て
  F4666270-06 CXに引き当て</t>
  </si>
  <si>
    <t>2022/3/1 ﾘﾚｰ上部に衝撃を印加すると切替わる
 2022/6/21 RL1交換 ⇒ 2課(石川K)</t>
  </si>
  <si>
    <t>IN18のRL18動作不良</t>
  </si>
  <si>
    <t>2022/3/1 ｱﾅﾛｸﾞ信号側に切替わらない。
 電源OFF時はSDI側に接点が接続
 2022/3/3 RL18交換 八木へ</t>
  </si>
  <si>
    <t>時刻設定が保持されない(ﾊﾞｯｸｱｯﾌﾟ)</t>
  </si>
  <si>
    <t>2022/3/4 一定時間通電後、C1296(ｽｰﾊﾟｰｷｬﾊﾟｼﾀ)の電圧がほぼ０V。部品交換して改善。3課へ返却</t>
  </si>
  <si>
    <t>C1296</t>
  </si>
  <si>
    <t>2022/3/4 ﾘﾚｰ制御電圧は正常範囲。ｵﾍﾟﾚｰﾄ側に切替わらない。部品出庫待ち(2022/8依頼)
 2023/2/6 RL1交換して改善</t>
  </si>
  <si>
    <t>ENC4 動作不良</t>
  </si>
  <si>
    <t>2022/3/11 ENC4 A出力無し。その他導通は問題無し
 石川さんへ交換依頼</t>
  </si>
  <si>
    <t>E03664</t>
  </si>
  <si>
    <t>ENC4</t>
  </si>
  <si>
    <t>3QFZREC16B25C</t>
  </si>
  <si>
    <t>IN1 ｱﾅﾛｸﾞ入力が出力されない</t>
  </si>
  <si>
    <t>2022/3/15 現象確認、原因ヶ所調査中
 2022/3/22 RL1交換実施。八木社員へ</t>
  </si>
  <si>
    <t>2課で組立後に電源起動しなかった</t>
  </si>
  <si>
    <t>2022/3/15 PLS開発部へ調査依頼。電源の起動ｼｰｹﾝｽ不良を指摘。
 2022/3/16 BASE基板取外してQ6~Q9が基板のﾊﾟｯﾄごと無いことを確認。MFGｾﾝﾀｰへ調査依頼？
 2022/5/11 MFGセンターより受取、2課へ引渡</t>
  </si>
  <si>
    <t>Q6~Q9の実装</t>
  </si>
  <si>
    <t>GENLOCKが一定間隔で外れる。
 15秒間隔で外れる。</t>
  </si>
  <si>
    <t>2022/03/17 現象確認。IC85のRefLockがｴﾗｰｽﾃｰﾀｽを発生。
 C978を交換し、現象改善。2課へ</t>
  </si>
  <si>
    <t>SW1_CARD</t>
  </si>
  <si>
    <t>押し釦SW20が常にONの状態</t>
  </si>
  <si>
    <t>2022/4/6 テスタにてSW20のショート状態確認
  SW20交換済</t>
  </si>
  <si>
    <t>SW20</t>
  </si>
  <si>
    <t>3QF6KP2NB179B</t>
  </si>
  <si>
    <t>R23562</t>
  </si>
  <si>
    <t>VEDEO CARD</t>
  </si>
  <si>
    <t>BNCコネクタの挿抜が固い</t>
  </si>
  <si>
    <t>2022/4/12 映像入出力コネクタに挿抜の固い物がある。
 ・75Ω仕様(ﾋﾞﾃﾞｵ)に50Ω仕様のコネクタが採用
 ・半田ディップ槽の影響も懸念される
 ・出荷検査は従来通り、挿抜固さ、映像信号の特性を確認し、挿抜の固いものは交換対応する
 ※ MFGセンターで実装条件の見直しにより、コネクタの樹脂変形は改善した報告有り。</t>
  </si>
  <si>
    <t>CN1~CN4</t>
  </si>
  <si>
    <t>3QG1P2388H</t>
  </si>
  <si>
    <t>R23217</t>
  </si>
  <si>
    <t>IN7のみSD-SDI の受信エラーが発生(頻度大）。アナログコンポジット、HD-SDIは正常</t>
  </si>
  <si>
    <t>2022/4/13 調査中
 2022/6/20 議連No.51-31</t>
  </si>
  <si>
    <t>R23275</t>
  </si>
  <si>
    <t>OU_SW12</t>
  </si>
  <si>
    <t>プログラムデータ書込み後、正常に起動しない。
 ”パネルロック”状態になり、解除出来ない。</t>
  </si>
  <si>
    <t>2022/4/13 OU_CPU基板交換したが現象変わらず。
 OU_SW12のCPLDデータはベリファイチェックOK 
 2022/4/14 IC20-19、20ピンに半田くず、除去して復帰。</t>
  </si>
  <si>
    <t>3QA5LVC245BT</t>
  </si>
  <si>
    <t>R23321</t>
  </si>
  <si>
    <t>LAN通信はするが映像出力しない
 IC65(+2.5V)出力無し？</t>
  </si>
  <si>
    <t>2022/4/18 詳細の調査は後日、引き続き行う予定
 2022/4/21 入力電圧3.3V有、出力のGND短絡チェックOK
 IC65の部品出庫依頼
 2022/5/19 部品入手、交換作業前確認したところ、C828に損傷有り、交換したところ正常に起動を確認。</t>
  </si>
  <si>
    <t>E04313</t>
  </si>
  <si>
    <t>IC65
 ⇒ C828</t>
  </si>
  <si>
    <t>3QA62NJ288025
  ⇒ 3QCX7B1C104</t>
  </si>
  <si>
    <t>2課責任
 組配時発生</t>
  </si>
  <si>
    <t>OUTPUTオプション基板を組込すると起動しなくなる</t>
  </si>
  <si>
    <t>2022/4/20 調査中
 2022/4/27 RA105-2 剥離断線 交換後改善 2課へ</t>
  </si>
  <si>
    <t>RA105</t>
  </si>
  <si>
    <t>INPUT5の受信エラー
 12G-SDI 70mケーブル+エンベデッドオーディオ信号でエラー発生</t>
  </si>
  <si>
    <t>2022/4/20 調査中
 仕掛週報に無し。
 2024/2/9 52期上期に廃棄</t>
  </si>
  <si>
    <t>R23497</t>
  </si>
  <si>
    <t>HVS-AUX16B</t>
  </si>
  <si>
    <t>内部電源電圧が０V</t>
  </si>
  <si>
    <t>2022/4/25 C5がショートしている。3課の改造作業ミス</t>
  </si>
  <si>
    <t>R23280</t>
  </si>
  <si>
    <t>BUSYのLEDが赤点灯せず(2色点灯)</t>
  </si>
  <si>
    <t>2022/5/9 電流制限抵抗値は正常、別電源による点灯チェックでも、赤は暗い、交換実施</t>
  </si>
  <si>
    <t>D2</t>
  </si>
  <si>
    <t>起動後の4分割表示がおかしい</t>
  </si>
  <si>
    <t>2022/5/10 IN1,3が右側に表示され、IN2,4が表示されない
 初期化中の画面が出力されない
 2022/5/11 IC52-17にリード浮き有り、3課仕掛へ</t>
  </si>
  <si>
    <t>3QA5LCH16245</t>
  </si>
  <si>
    <t>R23171</t>
  </si>
  <si>
    <t>TALLY_CARD</t>
  </si>
  <si>
    <t>REF INのLED点灯色が赤/緑逆</t>
  </si>
  <si>
    <t>2022/5/18 D47の実装向き逆方向
 2022/5/19 D47交換し、3課へ</t>
  </si>
  <si>
    <t>D47</t>
  </si>
  <si>
    <t>R23383</t>
  </si>
  <si>
    <t>OUT9~12出力せず</t>
  </si>
  <si>
    <t>2022/5/18 原因調査中
 2022/8/29 IC23-35,36,37ピンが短絡している。
 36ピン(MUTE)。半田くず？除去後に3課(門脇)へ</t>
  </si>
  <si>
    <t>R23324</t>
  </si>
  <si>
    <t>OLED表示せず</t>
  </si>
  <si>
    <t>2022/5/24 CN11に半田くず付着
 除去して、製造2課へ返却</t>
  </si>
  <si>
    <t>R23427</t>
  </si>
  <si>
    <t>MFR-16RUW</t>
  </si>
  <si>
    <t>釦8(D9)破損 点灯せず</t>
  </si>
  <si>
    <t>2022/5/26 D9交換実施。3課へ</t>
  </si>
  <si>
    <t>D9</t>
  </si>
  <si>
    <t>R23215</t>
  </si>
  <si>
    <t>IN15 SDフォーマット入力時に映像が表示されない事が有る</t>
  </si>
  <si>
    <t>2022/6/1 分割表示のみ現象発生する。FULL表示では発生しない。本体、MAIN基板を交換しても現象変わらず。
 旧データに戻すと現象は発生しない。計2式に発生
 2022/6/2 技術連絡書51-031にて報告済の現象の為、ｸﾛｰｽﾞ</t>
  </si>
  <si>
    <t>R23431</t>
  </si>
  <si>
    <t>釦3の発光色が青い。通常は緑</t>
  </si>
  <si>
    <t>2022/1/？ 石川K作業待ち
 2022/6/2 IC2 6と7ピンが半田くずで短絡している</t>
  </si>
  <si>
    <t>E4648</t>
  </si>
  <si>
    <t>3QA67T5916IPW</t>
  </si>
  <si>
    <t>R23399</t>
  </si>
  <si>
    <t>16340426
 16340429
 16340430</t>
  </si>
  <si>
    <t>ステータス表示のLED
 赤の点灯が暗い</t>
  </si>
  <si>
    <t>2022/6/3 部品の個別不良と思われる
 2022/6/6 部品出庫依頼
 2022/6/10 交換実施</t>
  </si>
  <si>
    <t>D1/D2</t>
  </si>
  <si>
    <t>2022/6/6 部品出庫依頼
 2022/6/10 交換実施</t>
  </si>
  <si>
    <t>ステータス表示のLED
 赤の点灯が暗い（2ヶ所）</t>
  </si>
  <si>
    <t>D1/D3</t>
  </si>
  <si>
    <t>R23468</t>
  </si>
  <si>
    <t>Ref入力時に約20秒毎にロックが外れる(※ 筐体組込時に発生する)</t>
  </si>
  <si>
    <t>2022/6/7 現象確認
 2022/6/8 IC85にNO_LOCKエラー発生。C978交換</t>
  </si>
  <si>
    <t>Ref入力時に約20秒毎にロックが外れる</t>
  </si>
  <si>
    <t>2022/6/7 現象確認
 2022/6/8 IC87にNO_LOCKエラー発生。C993交換</t>
  </si>
  <si>
    <t>ロックステータス(D1)の赤点灯が暗い</t>
  </si>
  <si>
    <t>2022/4/22 石川課長作業予定
 2022/6/10 部品交換後、3課へ</t>
  </si>
  <si>
    <t>LCD18(DISP18)の赤色点灯しない</t>
  </si>
  <si>
    <t>2022/6/13 改造個所の確認、DISP基板は影響しない？
 2023/3/15 調査中に現象再現しなくなる</t>
  </si>
  <si>
    <t>R23430</t>
  </si>
  <si>
    <t>19枚</t>
  </si>
  <si>
    <t>2022/15 RS開発部へ調査依頼
 ロット50式の内、基板19式(22個所)に現象を確認
 2022/6/23 基板8式(9個所)部品交換実施
 2022/8/1 ※ RS開発部より、対策不可の連絡有り</t>
  </si>
  <si>
    <t>D1~3</t>
  </si>
  <si>
    <t>2022/6/29 部品取外し依頼
 2022/10/17部品交換し入庫</t>
  </si>
  <si>
    <t>LCD15に縦線ノイズ発生する</t>
  </si>
  <si>
    <t>LCD15</t>
  </si>
  <si>
    <t>R23460</t>
  </si>
  <si>
    <t>IN9のリレー動作エラー(アナログ側)</t>
  </si>
  <si>
    <t>2022/6/23 RL9交換(石川K) 3課へ</t>
  </si>
  <si>
    <t>IN8のリレー動作エラー(アナログ側)</t>
  </si>
  <si>
    <t>2022/6/20 時々現象が発生する
 2022/7/5 RL8交換 3課へ</t>
  </si>
  <si>
    <t>RL8</t>
  </si>
  <si>
    <t>LCD5に縦線ノイズ発生する</t>
  </si>
  <si>
    <t>LCD4に縦線ノイズ発生する</t>
  </si>
  <si>
    <t>部品取外し依頼
 2022/10/17部品交換し入庫</t>
  </si>
  <si>
    <t>LCD4</t>
  </si>
  <si>
    <t>R23378</t>
  </si>
  <si>
    <t>DCDCの出力がGNDへ短絡</t>
  </si>
  <si>
    <t>2022/7/14 当初、不安定ながら動作していた。調査中に完全に動作しなくなった。
 仕掛週報D 残20/50
 2024/4 廃棄確定</t>
  </si>
  <si>
    <t>IC68,IC71</t>
  </si>
  <si>
    <t>仕掛週報D 残20/50
 2024/4 廃棄確定</t>
  </si>
  <si>
    <t>IC65,IC67,IC75</t>
  </si>
  <si>
    <t>LCD10に縦線ノイズ発生する</t>
  </si>
  <si>
    <t>R23382</t>
  </si>
  <si>
    <t>電源投入後10分ほどの間、59.94i入力でｼﾞｯﾀが大。50iはOK</t>
  </si>
  <si>
    <t>2022/7/21 部品出庫依頼 基板改版により品名違い
 2023/3/2 X12部品交換</t>
  </si>
  <si>
    <t>E04185</t>
  </si>
  <si>
    <t>3QZ6CAP3L1483</t>
  </si>
  <si>
    <t>R23574</t>
  </si>
  <si>
    <t>ステータス表示LED点灯NG</t>
  </si>
  <si>
    <t>2022/7/26 POWERの表示がNG
 2022/7/27 D35交換、3課 門脇へ</t>
  </si>
  <si>
    <t>E03865-1</t>
  </si>
  <si>
    <t>D35</t>
  </si>
  <si>
    <t>LCD1に縦線ノイズ発生する</t>
  </si>
  <si>
    <t>2022/10/3 部品取外し依頼
 入庫完了</t>
  </si>
  <si>
    <t>R23379</t>
  </si>
  <si>
    <t>IC68(DC/DC)出力しない</t>
  </si>
  <si>
    <t>2022/8/3 入出力のGNDへのショートは無し
 2024/4/30 IC68ﾘﾜｰｸ後、正常動作を確認
 仕掛週報D 残15/50</t>
  </si>
  <si>
    <t>IC68</t>
  </si>
  <si>
    <t>3QA62L4676AEY</t>
  </si>
  <si>
    <t>R23443</t>
  </si>
  <si>
    <t>OUT2のSD-SDIジッタが大きい
 通電して暫くすると改善する</t>
  </si>
  <si>
    <t>2022/8/4 現象確認。OUT1は正常。
 仕掛週報D 残5/30
 2024/4 廃棄確定</t>
  </si>
  <si>
    <t>R23536</t>
  </si>
  <si>
    <t>RL12リレー動作不良
 部品を押すと現象改善する</t>
  </si>
  <si>
    <t>2022/8/23 RL12交換、2課へ</t>
  </si>
  <si>
    <t>RL13リレー動作不良</t>
  </si>
  <si>
    <t>2022/8/23 RL13交換、2課へ</t>
  </si>
  <si>
    <t>2024/4/30 IC68ﾘﾜｰｸ後、正常動作を確認
 仕掛週報D 残15/50</t>
  </si>
  <si>
    <t>LCD17に縦線ノイズ発生する</t>
  </si>
  <si>
    <t>LCD17</t>
  </si>
  <si>
    <t>RL13,RL15,RL19,RL20リレー動作不良</t>
  </si>
  <si>
    <t>2022/11/15 部品交換完了、2課へ</t>
  </si>
  <si>
    <t>RL13、他</t>
  </si>
  <si>
    <t>R22712</t>
  </si>
  <si>
    <t>MFR-8AAO</t>
  </si>
  <si>
    <t>8AAO</t>
  </si>
  <si>
    <t>OUT15の出力レベルNG
 4dBm ⇒ 24dBm</t>
  </si>
  <si>
    <t>部品出庫依頼
 部品交換後、門脇へ</t>
  </si>
  <si>
    <t>E04284</t>
  </si>
  <si>
    <t>R394</t>
  </si>
  <si>
    <t>3QDX0HQE9091</t>
  </si>
  <si>
    <t>R23375</t>
  </si>
  <si>
    <t>SW60(WIPE POS)が反応しない</t>
  </si>
  <si>
    <t>2022/8/29 SW60の1-2ピンが短絡状態。交換部品手配
 2023/7/20 部品交換 → 改善し、2課へ</t>
  </si>
  <si>
    <t>SW60</t>
  </si>
  <si>
    <t>R23355</t>
  </si>
  <si>
    <t>OU起動しない。表示/点灯しない</t>
  </si>
  <si>
    <t>2022/9/5 CPLDのバージョン表示が0.0.0となる。
 2022/9/7 IC16動作不良か？Q9が異常発熱する。
 仕掛週報D 残1/30
 2024/2/9 52期上期に廃棄</t>
  </si>
  <si>
    <t>E03938</t>
  </si>
  <si>
    <t>3QA6Z9B9851E2</t>
  </si>
  <si>
    <t>ボタン押下で動作がおかしくなる</t>
  </si>
  <si>
    <t>2022/9/9 未半田個所有り。修正実施。</t>
  </si>
  <si>
    <t>S20</t>
  </si>
  <si>
    <t>IN16のｺﾝﾎﾟｼﾞｯﾄ入力が表示されない</t>
  </si>
  <si>
    <t>2022/9/6 入力(リレー)</t>
  </si>
  <si>
    <t>POWER_LEDの点灯NG</t>
  </si>
  <si>
    <t>2022/9/9 LED単体は正常、電流制限に影響している
 交換し、基板の制御で正常点灯(門脇へ)</t>
  </si>
  <si>
    <t>E03861</t>
  </si>
  <si>
    <t>R23466</t>
  </si>
  <si>
    <t>Genlock2の入力異常、Ref Lockしない。</t>
  </si>
  <si>
    <t>2022/11/8 LMH1983(IC195)のRef_Lockｽﾃｰﾀｽが異常。
 Fout3の出力位相がFreeの状態。
 C2965交換して改善。2課へ返却(仕掛)</t>
  </si>
  <si>
    <t>E04679</t>
  </si>
  <si>
    <t>C2695</t>
  </si>
  <si>
    <t>18240297
 18240302</t>
  </si>
  <si>
    <t>通電して暫くするとSDI出力の同期が乱れる。
 ﾌｫｰﾏｯﾄ50iで現象改善する</t>
  </si>
  <si>
    <t>2022/9/20 FPGAの動作温度が40℃付近の時に発生した
 VIDEOタイミングGEN付近を冷やすと改善する
 PLS開発部で調査中
 IC56の制御エラーのためソフトウェア更新予定</t>
  </si>
  <si>
    <t>設計責任</t>
  </si>
  <si>
    <t>同上、FPGA：55℃付近で発生</t>
  </si>
  <si>
    <t>R23353</t>
  </si>
  <si>
    <t>IN4のアナログ入力断線する</t>
  </si>
  <si>
    <t>2022/9/23 半田不良有り、コネクタ全数見直し
 ※ 基板の板厚に対して、コネクタリードが短い</t>
  </si>
  <si>
    <t>3QG3743201000</t>
  </si>
  <si>
    <t>IN5のアナログ入力断線する</t>
  </si>
  <si>
    <t>2022/9/27 D68破損。部品交換後、3課へ</t>
  </si>
  <si>
    <t>D68</t>
  </si>
  <si>
    <t>3QB3SML511U</t>
  </si>
  <si>
    <t>R22491 ⇒
 R23876</t>
  </si>
  <si>
    <t>CN26 B29-B30ピンが半田ブリッジ</t>
  </si>
  <si>
    <t>2023/3/10 MFGセンターで半田修正
 2023/12/8 FPGAﾃﾞｰﾀ書込み、2課へ</t>
  </si>
  <si>
    <t>OUT1,2の映像出力無し、C350欠損</t>
  </si>
  <si>
    <t>2022/10/3 SDI入出力回路の改造が有り、作業者へ確認依頼したまま。本日確認したら異常は発生しなかった為、様子見とする。部品出庫依頼
 仕掛週報D 残5/30
 2024/4 廃棄確定</t>
  </si>
  <si>
    <t>C350</t>
  </si>
  <si>
    <t>3QCX7R0J106</t>
  </si>
  <si>
    <t>2/3課責取扱い</t>
  </si>
  <si>
    <t>R23636</t>
  </si>
  <si>
    <t>15秒ほどの間隔でGenlockが外れる</t>
  </si>
  <si>
    <t>C978交換？</t>
  </si>
  <si>
    <t>R23416</t>
  </si>
  <si>
    <t>DCジャック挿抜不良</t>
  </si>
  <si>
    <t>2022/10/19 既知の問題。ﾌﾟﾗｸﾞのｵｽ/ﾒｽのﾒｰｶｰが異なるために発生する。ﾛｯﾄ3式に現象を確認
 石川さん、手直し？</t>
  </si>
  <si>
    <t>E04681</t>
  </si>
  <si>
    <t>PWA-1933-2</t>
  </si>
  <si>
    <t>３QH6PWA1870</t>
  </si>
  <si>
    <t>R23284</t>
  </si>
  <si>
    <t>IN20 3G-SDI受信特性NG(SDI-MTX)</t>
  </si>
  <si>
    <t>2022/10/19 IC49？交換予定
 222/10/20 部品出庫依頼</t>
  </si>
  <si>
    <t>IC49？⇒ L21</t>
  </si>
  <si>
    <t>画が出ない。
 IC64(+3.3V_148.5M)がGNDへ短絡</t>
  </si>
  <si>
    <t>2022/10/19 C822破損。交換後改善し八木へ</t>
  </si>
  <si>
    <t>C822</t>
  </si>
  <si>
    <t>3QCX6B0JI106</t>
  </si>
  <si>
    <t>3課責？</t>
  </si>
  <si>
    <t>R23462</t>
  </si>
  <si>
    <t>IN2 ｱﾅﾛｸﾞ信号が出力しない</t>
  </si>
  <si>
    <t>2022/10/20 RL2の動作不良、RL2交換し3課へ</t>
  </si>
  <si>
    <t>R23471</t>
  </si>
  <si>
    <t>LCD4、LCD11に縦線ﾉｲｽﾞ</t>
  </si>
  <si>
    <t>2022/10/21 部品交換依頼</t>
  </si>
  <si>
    <t>LCD4,LCD11</t>
  </si>
  <si>
    <t>R23595</t>
  </si>
  <si>
    <t>8SDI</t>
  </si>
  <si>
    <t>画が出ない。IC34(+3.3V)がGND短絡</t>
  </si>
  <si>
    <t>2022/10/24 外観検査、問題無い？
 仕掛週報D 残1/100
 2024/4 廃棄確定</t>
  </si>
  <si>
    <t>R23364</t>
  </si>
  <si>
    <t>MFE-GPI</t>
  </si>
  <si>
    <t>GPI</t>
  </si>
  <si>
    <t>CN15 SW機能がNG</t>
  </si>
  <si>
    <t>2022/10/25 ACｱﾀﾞﾌﾟﾀ抜いた状態でもｽﾃｰﾀｽは接続状態を表示。ｽﾌﾟﾘﾝｸﾞ機構が歪んでいる。交換実施</t>
  </si>
  <si>
    <t>3QG2712RAL</t>
  </si>
  <si>
    <t>R23135</t>
  </si>
  <si>
    <t>GPIO CD</t>
  </si>
  <si>
    <t>ﾁｪｯｸﾂｰﾙにてｶｳﾝﾄせず。(通信せず)</t>
  </si>
  <si>
    <t>仕掛週報に無し。
 2024/2/13 作番完了(2023/12/21)</t>
  </si>
  <si>
    <t>R23584</t>
  </si>
  <si>
    <t>Internal入力で映像がﾛｯｸしない。
 Ref(B.B)入力でﾛｯｸする</t>
  </si>
  <si>
    <t>2022/11/4 C210/C229？</t>
  </si>
  <si>
    <t>R23655</t>
  </si>
  <si>
    <t>CN4の入力不良</t>
  </si>
  <si>
    <t>2022/11/4 CN4-CN3の信号がGNDへ短絡している
 CN3交換後、現象改善</t>
  </si>
  <si>
    <t>LCD16に縦線ノイズ</t>
  </si>
  <si>
    <t>2022/11/7 部品取外し依頼</t>
  </si>
  <si>
    <t>R23268</t>
  </si>
  <si>
    <t>RS-422切り換わらない。</t>
  </si>
  <si>
    <t>2022/11/8 ﾘﾚｰ制御の信号が無い
 改造指示書S10490のﾊﾟﾀｰﾝｶｯﾄの影響？
 IC5-IとIC4-1をｼﾞｬﾝﾊﾟｰ配線し、動作復帰</t>
  </si>
  <si>
    <t>LCD4に縦線ノイズ</t>
  </si>
  <si>
    <t>2023/03 部品交換</t>
  </si>
  <si>
    <t>LCD３に縦線ノイズ</t>
  </si>
  <si>
    <t>入力漏れ</t>
  </si>
  <si>
    <t>R23507</t>
  </si>
  <si>
    <t>EVENT釦の橙色点灯せず</t>
  </si>
  <si>
    <t>2022/11/10 D1が破損している。交換し2課へ</t>
  </si>
  <si>
    <t>E04492</t>
  </si>
  <si>
    <t>3QB3SMLD15D</t>
  </si>
  <si>
    <t>LCD14に縦線ノイズ</t>
  </si>
  <si>
    <t>LCD14</t>
  </si>
  <si>
    <t>R23544</t>
  </si>
  <si>
    <t>GenlockｽﾃｰﾀｽNG</t>
  </si>
  <si>
    <t>2022/11/11 FV開発部の指示、C398,C399交換
 2022/11/14 C398交換後、現象改善</t>
  </si>
  <si>
    <t>E03902</t>
  </si>
  <si>
    <t>C398</t>
  </si>
  <si>
    <t>3QCXN006B476</t>
  </si>
  <si>
    <t>R23608</t>
  </si>
  <si>
    <t>60式暫定チェックし、13式に現象発生
 2022/11/14 C993交換</t>
  </si>
  <si>
    <t>2022/11/14 C978交換</t>
  </si>
  <si>
    <t>2022/11/14 現象発生せず</t>
  </si>
  <si>
    <t>2022/11/15 C993交換</t>
  </si>
  <si>
    <t>2022/11/15 現象再現せず</t>
  </si>
  <si>
    <t>2022/11/15 C993交換予定
 2022/11/17 MFGｾﾝﾀｰでC993付け直し(部品は交換せず)
 → 現象変わらず。C993に外傷は無し。
 部品交換後は正常動作を確認</t>
  </si>
  <si>
    <t>2022/11/15 C978交換</t>
  </si>
  <si>
    <t>2022/11/16 現象再現せず</t>
  </si>
  <si>
    <t>2022/11/16 C993交換</t>
  </si>
  <si>
    <t>2022/11/17 C978交換</t>
  </si>
  <si>
    <t>2022/11/17 現象再現せず</t>
  </si>
  <si>
    <t>2022/11/17 C993交換</t>
  </si>
  <si>
    <t>D3破損している</t>
  </si>
  <si>
    <t>仕掛週報に無し。
 2024/2/13 作番完了(2023/3/15)</t>
  </si>
  <si>
    <t>R23592</t>
  </si>
  <si>
    <t>時刻用のｷｬﾊﾟｼﾀ充電不良?</t>
  </si>
  <si>
    <t>2022/11/17 15h経過後にｷｬﾊﾟｼﾀの電圧-0.1V程度(様子見とする)
 2022/11/21 電源OFFして4日後の電圧 2.4Vのため仕掛へ</t>
  </si>
  <si>
    <t>R23420</t>
  </si>
  <si>
    <t>BUS18</t>
  </si>
  <si>
    <t>SW142が反応しない</t>
  </si>
  <si>
    <t>2022/11/25 SW142の基台部分が不良。品質異常報告書
 2023/2/2 品質異常報告書待ち。現品は交換処置済。</t>
  </si>
  <si>
    <t>SW142</t>
  </si>
  <si>
    <t>SW122が反応しない</t>
  </si>
  <si>
    <t>2022/11/25 SW122の基台部分が不良。品質異常報告書
 2023/2/2 品質異常報告書待ち。現品は交換処置済。</t>
  </si>
  <si>
    <t>SW122</t>
  </si>
  <si>
    <t>複数個所のSWが反応しない</t>
  </si>
  <si>
    <t>2022/12/1 IC3取外し後、異常抵抗値が改善した。
 部品取外し後、製造2課へ返却済</t>
  </si>
  <si>
    <t>3QA5LVC245B</t>
  </si>
  <si>
    <t>OUT2a ｵﾍﾟﾚｰﾄ側が出力しない時が有る。ByPassはOK。電源再起動で復旧。</t>
  </si>
  <si>
    <t>2023/2/7 現象再確認し、RL2交換
 製造2課へ引渡</t>
  </si>
  <si>
    <t>OUT2a、OUT2b出力しない時が有る。ByPassはOK</t>
  </si>
  <si>
    <t>2023/2/6 現象再確認し、RL1交換して現象改善した。
 製造2課へ引渡</t>
  </si>
  <si>
    <t>IN8 ３G-SDI SDI_MTX入力エラー</t>
  </si>
  <si>
    <t>2023/1/6 L8交換、後日動作確認する</t>
  </si>
  <si>
    <t>E04280</t>
  </si>
  <si>
    <t>R21549</t>
  </si>
  <si>
    <t>ボタン34が反応しない</t>
  </si>
  <si>
    <t>2022/12/7 D103が破損、D103交換し3課へ</t>
  </si>
  <si>
    <t>D103</t>
  </si>
  <si>
    <t>R23528</t>
  </si>
  <si>
    <t>IN17~32受信ｴﾗｰ発生、その後復帰
 入力FS ONとSTILL機能が正常に動作しない。出力ﾌｫｰﾏｯﾄは正常</t>
  </si>
  <si>
    <t>仕掛週報D 残2/50
 2024/4 廃棄確定</t>
  </si>
  <si>
    <t>Genlock2の入力検知しない。</t>
  </si>
  <si>
    <t>2022/12/15 C517実装不良？ 電極が破損している
 MFGセンターへ部品交換依頼</t>
  </si>
  <si>
    <t>E04863</t>
  </si>
  <si>
    <t>C517</t>
  </si>
  <si>
    <t>3QCX8B1E103</t>
  </si>
  <si>
    <t>IN18 3G-SDI受信特性NG(SDI-MTX)</t>
  </si>
  <si>
    <t>2023/1/6 L191交換、後日動作確認する</t>
  </si>
  <si>
    <t>R23651</t>
  </si>
  <si>
    <t>IN17(RL17)リレー動作不良</t>
  </si>
  <si>
    <t>2022/12/19 ﾘﾚｰ交換</t>
  </si>
  <si>
    <t>R23678</t>
  </si>
  <si>
    <t>2023/1/12 ALTERAのデータ更新(V3)で改善
 V3:LMK3328書込み用データ</t>
  </si>
  <si>
    <t>2023/1/12 ALTERAのデータ更新(V3)で改善</t>
  </si>
  <si>
    <t>R23600</t>
  </si>
  <si>
    <t>IN14,15 3G-SDI入力ﾛﾝｸﾞｹｰﾌﾞﾙNG</t>
  </si>
  <si>
    <t>2022/12/26 L14,L15交換
 ジッタ特性改善、次回出荷へ</t>
  </si>
  <si>
    <t>L14,L15</t>
  </si>
  <si>
    <t>3QE2KL73E5N6</t>
  </si>
  <si>
    <t>Genlockﾁｪｯｸ時のﾚｼﾞｽﾀ値が異なる
 B.B/TRI共にNG</t>
  </si>
  <si>
    <t>2022/12/22 FV開発部よりコンデンサ交換のアドバイス</t>
  </si>
  <si>
    <t>R23654</t>
  </si>
  <si>
    <t>OLDE表示器に縦線ノイズ</t>
  </si>
  <si>
    <t>2022/12/26 取外し依頼</t>
  </si>
  <si>
    <t>S10</t>
  </si>
  <si>
    <t>R22490</t>
  </si>
  <si>
    <t>基板が認識されない</t>
  </si>
  <si>
    <t>2023/1/10 不良受入漏れ。L128破損。
 +2.5Vは復帰確認。八木へ</t>
  </si>
  <si>
    <t>E04378</t>
  </si>
  <si>
    <t>L128</t>
  </si>
  <si>
    <t>3QE5BPNFM105</t>
  </si>
  <si>
    <t>R23594</t>
  </si>
  <si>
    <t>USERボタン８ 赤点灯しない</t>
  </si>
  <si>
    <t>2023/1/17 部品の破損を確認。交換準備</t>
  </si>
  <si>
    <t>E03939</t>
  </si>
  <si>
    <t>LED97</t>
  </si>
  <si>
    <t>DISP_CARD</t>
  </si>
  <si>
    <t>2023/1/20 部品取外し依頼
 2023/2/3 受取</t>
  </si>
  <si>
    <t>R23477</t>
  </si>
  <si>
    <t>CONNECT</t>
  </si>
  <si>
    <t>CN1-10ピンに異物？</t>
  </si>
  <si>
    <t>2023/1/24 半田？が混入している。ピンバイスで除去を試したが駄目。部品交換とする。
 過去R22751で1件発生している。
 2023/2/21 部品交換依頼</t>
  </si>
  <si>
    <t>E04029</t>
  </si>
  <si>
    <t>3QG3DB25ST</t>
  </si>
  <si>
    <t>R23140</t>
  </si>
  <si>
    <t>CN4,CN5が変形している。要交換。</t>
  </si>
  <si>
    <t>2023/1/31 MFGｾﾝﾀｰへ修正依頼
 2023/2/8 返却</t>
  </si>
  <si>
    <t>R22770</t>
  </si>
  <si>
    <t>MFR-9SDI</t>
  </si>
  <si>
    <t>IN1,2の6G-SDI特性70ｍでNG
 ｼｮｰﾄｹｰﾌﾞﾙはOK</t>
  </si>
  <si>
    <t>2023/7/18 波形モニタ(ESG4100)のバグ報告(6G-SDI パソロジカル信号)が有り、訂正プログラムを更新したら発生しなくなった。</t>
  </si>
  <si>
    <t>LCD12に縦線ノイズ発生</t>
  </si>
  <si>
    <t>2023/2/8 部品取外し依頼</t>
  </si>
  <si>
    <t>Eyeﾊﾟﾀｰﾝ出力せず。FPGAのVerは表示する。</t>
  </si>
  <si>
    <t>2023/2/16 IC73(+1.2V)がGNDへｼｮｰﾄしている
 仕掛週報D 残15/50
 2024/4 廃棄確定</t>
  </si>
  <si>
    <t>R23840</t>
  </si>
  <si>
    <t>3G-SDI 70m受信特性NG</t>
  </si>
  <si>
    <t>2023/2/20 再確認したところ、現象再現せず。様子見とする。
 仕掛週報に無し。
 2024/2/9 入庫完了(2023/7/25)</t>
  </si>
  <si>
    <t>R23569</t>
  </si>
  <si>
    <t>2023/2/27 IC806部品出庫依頼
 2023/12/7 リワーク依頼 ( 12/14手配表)
 2023/12/22 リワーク上がり、交換個所は改善したが次段のDC/DC出力せず ⇒ 廃棄
 2024/4 廃棄確定</t>
  </si>
  <si>
    <t>R23435</t>
  </si>
  <si>
    <t>HDMI_OUT</t>
  </si>
  <si>
    <t>新品不良：ﾚｽﾀｰｺﾐｭﾆｹｰｼｮﾝ向けMV-1200Aの組込
 現象：正常に起動しない</t>
  </si>
  <si>
    <t>2023/2/27 部品入手難の代替DC/DC子基板の出力無し
 2023/3/7 ｹｰﾌﾞﾙ配線のｽﾙｰﾎｰﾙを破損した為、ｼﾞｬﾝﾊﾟｰ端子に接続し動作確認完了。返却済</t>
  </si>
  <si>
    <t>2023/3/7 C993交換</t>
  </si>
  <si>
    <t>2023/3/7 コールドスタート後のみ現象再現する</t>
  </si>
  <si>
    <t>2023/3/9 C978？ 部品出庫待ち
 2023/3/13 部品交換、</t>
  </si>
  <si>
    <t>S11が押下しても反応しない。偶に反応する。</t>
  </si>
  <si>
    <t>2023/3/9 S11を強く押下すると反応する。取外し依頼
 2023/4/3 品質異常報告(H52-013)
 2023/4/24 部品交換(現品処置)</t>
  </si>
  <si>
    <t>S11</t>
  </si>
  <si>
    <t>R23601</t>
  </si>
  <si>
    <t>HVS-3320OU</t>
  </si>
  <si>
    <t>OU3＿BUS16</t>
  </si>
  <si>
    <t>ボタン押下しても反応しない。LED点灯はOK
 SW133,141,149,157,165,173,181,189</t>
  </si>
  <si>
    <t>2023/3/9 IC5 LVC245交換</t>
  </si>
  <si>
    <t>E02459</t>
  </si>
  <si>
    <t>GENLOCKが一定間隔で外れる。
 15秒間隔で外れる。起動4分以降は正常？</t>
  </si>
  <si>
    <t>2023/3/10 C978？
 2023/3/23 FPS開発部より定数変更評価完了。</t>
  </si>
  <si>
    <t>C977~978
 C992~994</t>
  </si>
  <si>
    <t>2023/3/10 C993？
 2023/3/23 FPS開発部より定数変更評価完了。</t>
  </si>
  <si>
    <t>2023/3/10 C993？
 3分以上発生。2回目の起動は正常？
 2023/3/23 FPS開発部より定数変更評価完了。</t>
  </si>
  <si>
    <t>2023/3/10 C993？
 4分以上発生。2回目以降も発生する
 2023/3/23 FPS開発部より定数変更評価完了。</t>
  </si>
  <si>
    <t>2023/3/10 C993？
 4分以上発生。2回目以降は正常？
 2023/3/23 FPS開発部より定数変更評価完了。</t>
  </si>
  <si>
    <t>2023/3/23 FPS開発部より定数変更評価完了。</t>
  </si>
  <si>
    <t>R23731</t>
  </si>
  <si>
    <t>IN20のリレー動作エラー(アナログ側)</t>
  </si>
  <si>
    <t>2023/3/14 RL20交換、3課作業卓へ</t>
  </si>
  <si>
    <t>R23386</t>
  </si>
  <si>
    <t>MFR-LAN CPU2側通信せず。
 緑色LED点灯せず。(点滅)</t>
  </si>
  <si>
    <t>日付不明 ボタンSw交換実施</t>
  </si>
  <si>
    <t>R23051</t>
  </si>
  <si>
    <t>SDI_12G_CD_T</t>
  </si>
  <si>
    <t>IN1の入力が出力されない。</t>
  </si>
  <si>
    <t>2023/3/17 CN1-Ｃ17間の導通無し
 MFGセンターへ修正依頼</t>
  </si>
  <si>
    <t>E04613</t>
  </si>
  <si>
    <t>R23326</t>
  </si>
  <si>
    <t>IN10 12Gパソロジ
 ショート、ロング共にAUDIOにエラー。</t>
  </si>
  <si>
    <t>2023/3/16 OUT1~4(GS12281)新版のためEYEレベル小。(不良現象とは別)
  Date-code 1920以降は新版 ※1934が実装されている
 2023/12/6 5.5UHDC 50ｍに仕様変更し合格</t>
  </si>
  <si>
    <t>R23795</t>
  </si>
  <si>
    <t>PANEL_IF</t>
  </si>
  <si>
    <t>DSPが起動していない。
 CPLDの書込みはOK</t>
  </si>
  <si>
    <t>2023/3/17 X4の3pinが曲がっている
 2023/5/16 部品交換実施</t>
  </si>
  <si>
    <t>E04431</t>
  </si>
  <si>
    <t>X4</t>
  </si>
  <si>
    <t>3QZ6SGPCB33</t>
  </si>
  <si>
    <t>IN4,IN16,IN19 SDI信号はOK、ｱﾅﾛｸﾞに切替わらない。(20405M)</t>
  </si>
  <si>
    <t>2023/4/6 RL4交換
 2023/4/10 RL12に現象発生
 2023/5/23 RL12交換</t>
  </si>
  <si>
    <t>IN4,IN19 SDI信号はOK、ｱﾅﾛｸﾞに切替わらない(20405M)</t>
  </si>
  <si>
    <t>2023/4/13 RL4、RL19交換</t>
  </si>
  <si>
    <t>RL4、RL19</t>
  </si>
  <si>
    <t>IN3 SDI信号はOK、ｱﾅﾛｸﾞに切替わらない(20405M)</t>
  </si>
  <si>
    <t>2023/4/5 RL3交換</t>
  </si>
  <si>
    <t>IN20 SDI信号はOK、ｱﾅﾛｸﾞに切替わらない(20405M)</t>
  </si>
  <si>
    <t>2023/4/6 RL20交換</t>
  </si>
  <si>
    <t>IN5 SDI信号はOK、ｱﾅﾛｸﾞに切替わらない(20405M)</t>
  </si>
  <si>
    <t>2023/4/11 RL5交換後、IN5は改善したが
 IN15に動作不良(石川K+ﾋｰﾀｰ)
 2023/7/24 RL7,8交換</t>
  </si>
  <si>
    <t>R23763</t>
  </si>
  <si>
    <t>HVS-2000 Slot IN-Aでﾉｲｽﾞ発生し、しばらくすると入力信号が消える。Slot Cは少し発生。</t>
  </si>
  <si>
    <t>2023/3/22 PLS開発部へ調査依頼？
 仕掛週報D 残1/100
 2024/4 廃棄確定</t>
  </si>
  <si>
    <t>LCD4に縦線ノイズ発生</t>
  </si>
  <si>
    <t>2023/4/3 部品取外し依頼
 223/4/14 部品交換実施</t>
  </si>
  <si>
    <t>R22622</t>
  </si>
  <si>
    <t>OUT2 SD-SDIでSDIMTX信号でエラー、CBは問題なし。フルMTXチェックでは問題無し。</t>
  </si>
  <si>
    <t>2023/4/6 IC28部品出庫依頼
 2023/4/21 ﾘﾜｰｸ基板を受取
 2023/4/25 動作確認してOK</t>
  </si>
  <si>
    <t>D105の実装向きが逆</t>
  </si>
  <si>
    <t>2023/4/7 修正依頼
 2023/4/13 基板受領し、動作確認問題無し</t>
  </si>
  <si>
    <t>E03663C</t>
  </si>
  <si>
    <t>D105</t>
  </si>
  <si>
    <t>3QB2RB521S30</t>
  </si>
  <si>
    <t>IN10 SDI入力が出力されない。(20405M)</t>
  </si>
  <si>
    <t>2024/2/6 RL10交換
 仕掛週報D 残2/50
 2024/2/15 入庫 仕掛週報D 残1/50</t>
  </si>
  <si>
    <t>IN13,IN15 SDI信号はOK、ｱﾅﾛｸﾞに切替わらない(20405M)</t>
  </si>
  <si>
    <t>2023/6/16 RL13,RL15交換実施</t>
  </si>
  <si>
    <t>RL13,RL15</t>
  </si>
  <si>
    <t>IN3,IN13 SDI信号はOK、ｱﾅﾛｸﾞに切替わらない(20405M)</t>
  </si>
  <si>
    <t>2023/6/2 RL3,RL13交換</t>
  </si>
  <si>
    <t>RL3,RL13</t>
  </si>
  <si>
    <t>R23931
 R23929</t>
  </si>
  <si>
    <t>IVS-710HS
 UFM-30FSRRC</t>
  </si>
  <si>
    <t>IN1 Operateに切替わらない</t>
  </si>
  <si>
    <t>2023/4/10 RL1(20114M)動作不良
  RL1交換し改善</t>
  </si>
  <si>
    <t>E03524-1</t>
  </si>
  <si>
    <t>R23604</t>
  </si>
  <si>
    <t>12G-SDI 70ｍ ｵｰﾃﾞｨｵｴﾗｰ
 IN10(CN28)、ｼｮｰﾄｹｰﾌﾞﾙはOK</t>
  </si>
  <si>
    <t>2023/12/6 5.5UHDC 50ｍに仕様変更し合格</t>
  </si>
  <si>
    <t>IN4,IN5,IN10 SDI信号はOK、ｱﾅﾛｸﾞに切替わらない(叩くと切替わる？)
 (20405M)</t>
  </si>
  <si>
    <t>2023/4/12 RL4,RL5,RL10交換</t>
  </si>
  <si>
    <t>RL5、RL10</t>
  </si>
  <si>
    <t>IN20 SDI信号はOK、ｱﾅﾛｸﾞに切替わらない。(20405M)</t>
  </si>
  <si>
    <t>2023/4/12 12時間ﾋｰﾄﾗﾝ後にIN1に現象発生した
 RL1交換</t>
  </si>
  <si>
    <t>12G-SDI 70ｍ ｵｰﾃﾞｨｵｴﾗｰ
 IN5(CN28)、ｼｮｰﾄｹｰﾌﾞﾙはOK
 HDMI出力で横引きノイズ確認
 波形モニター側ではエラーとして認識されず。(TRS書き換えられている?)</t>
  </si>
  <si>
    <t>2023/4/13 RL20交換実施</t>
  </si>
  <si>
    <t>LCD17に縦線ノイズ発生</t>
  </si>
  <si>
    <t>2023/4/17部品取外し依頼</t>
  </si>
  <si>
    <t>RL2動作不良(20405M)</t>
  </si>
  <si>
    <t>2023/4/14 部品交換実施</t>
  </si>
  <si>
    <t>R23635</t>
  </si>
  <si>
    <t>3G-SDI(1080/50P)にてｸﾛﾏ位相が乱れる。他のﾌｫｰﾏｯﾄは現象発生せず。Ref設定、入力信号、内部、静止画。MVで現象確認</t>
  </si>
  <si>
    <t>2023/4/17 C596交換 ⇒ 変化せず
 2023/7/7 FPGA更新で対策</t>
  </si>
  <si>
    <t>R23733</t>
  </si>
  <si>
    <t>IN4 SDI信号はOK、ｱﾅﾛｸﾞに切替わらない。(20405M)</t>
  </si>
  <si>
    <t>2023/4/24 交換部品の納品待ち
 2023/6/20 RL4交換 ⇒ 八木へ</t>
  </si>
  <si>
    <t>IN3 SDI信号はOK、ｱﾅﾛｸﾞに切替わらない。(20405M)</t>
  </si>
  <si>
    <t>2023/4/24 交換部品の納品待ち
 2023/6/14 RL3交換後、改善し八木へ</t>
  </si>
  <si>
    <t>IN4 SDI信号が出力されない
 ｺﾝﾎﾟｼﾞｯﾄ入力はOK。(20405M)</t>
  </si>
  <si>
    <t>2023/4/25 RL4を上から押すと導通する？
 2023/6/26 現象再現せず。念の為にRL4 再半田</t>
  </si>
  <si>
    <t>2023/6/26 RL4交換後、改善し八木へ</t>
  </si>
  <si>
    <t>IN1 SDI信号はOK、ｱﾅﾛｸﾞに切替わらない。(20405M)</t>
  </si>
  <si>
    <t>2023/6/26 RL1交換後、改善し八木へ</t>
  </si>
  <si>
    <t>IN2 SDI信号はOK、ｱﾅﾛｸﾞに切替わらない。(20405M)</t>
  </si>
  <si>
    <t>2023/6/26 再現しない、八木へ</t>
  </si>
  <si>
    <t>IN3 SDI信号が出力されない。
 ｺﾝﾎﾟｼﾞｯﾄ入力はOK。(20405M)</t>
  </si>
  <si>
    <t>2023/6/27 SDI側の出力が無い為、RL3交換したら改善</t>
  </si>
  <si>
    <t>OLED表示器に縦線ノイズ(S33)</t>
  </si>
  <si>
    <t>2023/5/1 S10交換後、ヒートラン中に発生した。</t>
  </si>
  <si>
    <t>OLED表示器に縦線,横線ノイズ(S38)D</t>
  </si>
  <si>
    <t>2023/5/1 取外し依頼</t>
  </si>
  <si>
    <t>S38</t>
  </si>
  <si>
    <t>OLED表示器に縦線,横線ノイズ(S8)</t>
  </si>
  <si>
    <t>S8</t>
  </si>
  <si>
    <t>OLED表示器に縦線,横線ノイズ(S5)</t>
  </si>
  <si>
    <t>S5</t>
  </si>
  <si>
    <t>R23767</t>
  </si>
  <si>
    <t>OU3＿BUS8</t>
  </si>
  <si>
    <t>SW4の赤点灯しない</t>
  </si>
  <si>
    <t>2023/5/22 IC27-27未半田を確認
 2023/2/23 再半田にて動作確認済</t>
  </si>
  <si>
    <t>E04258</t>
  </si>
  <si>
    <t>IC27</t>
  </si>
  <si>
    <t>(3QAAPM9868)
 5M570ZT144C5N</t>
  </si>
  <si>
    <t>R23782</t>
  </si>
  <si>
    <t>LCD14~18(1ブロック､LCD_D3ライン)画面が映らない。
 他のCPU基板に変更すると映る。</t>
  </si>
  <si>
    <t>2023/6/16 BUF(IC16)交換→改善せず
  CPUorFPGAのどちらか？
 2023/6/30 CN6-b27が周辺ﾋﾟﾝと半田ｼｮｰﾄしていた。半田吸取り機で改善</t>
  </si>
  <si>
    <t>3QG3FX4C60S4</t>
  </si>
  <si>
    <t>R23823</t>
  </si>
  <si>
    <t>SDI-OUTの出力無し</t>
  </si>
  <si>
    <t>2023/5/25 FL5に未半田 ⇒ 3課修正へ</t>
  </si>
  <si>
    <t>E03806</t>
  </si>
  <si>
    <t>FL5</t>
  </si>
  <si>
    <t>R23732</t>
  </si>
  <si>
    <t>RS-422/RS-485 110Ω終端に切替わらない</t>
  </si>
  <si>
    <t>2023/5/24 導通、リレー制御電圧を確認。RL12動作不良？ ⇒ 交換後改善 ⇒ 八木さんへ</t>
  </si>
  <si>
    <t>3QF9G6KU2FY5</t>
  </si>
  <si>
    <t>OUT3 SD-SDIのSDI MTRIX信号で横引ノイズが発生。
 CB信号、HD-SDIはOK</t>
  </si>
  <si>
    <t>2023/5/30 部品出庫依頼
 2024/1/19 リワーク後、動作確認。完了。</t>
  </si>
  <si>
    <t>R23770</t>
  </si>
  <si>
    <t>ｻﾌﾞｴﾌｪｸﾄ1,2の映像出力無し</t>
  </si>
  <si>
    <t>2023/5/30 C287,C290,C299,C302が基板のﾊﾟｯﾄごと破損
 仕掛週報D 残12/50
 2024/4 廃棄確定</t>
  </si>
  <si>
    <t>C289,C290,C299,C302</t>
  </si>
  <si>
    <t>R23701</t>
  </si>
  <si>
    <t>SW7,SW71,SW135、他のSWが反応しない</t>
  </si>
  <si>
    <t>2023/5/31 IC3-12(B_S_D0_6)のﾊﾟﾀｰﾝは断線していない
 2023/6/9 IC3交換後、単品チェックOK ⇒ 2課へ</t>
  </si>
  <si>
    <t>R23684</t>
  </si>
  <si>
    <t>Genlockﾁｪｯｸ時のﾚｼﾞｽﾀ値が異なる。TRIにNG</t>
  </si>
  <si>
    <t>2023/6/6 C398？
 2023/6/7 部品交換後、改善</t>
  </si>
  <si>
    <t>2023/6/7 RL1交換実施、2課へ</t>
  </si>
  <si>
    <t>R23895</t>
  </si>
  <si>
    <t>コネクタの保護シール剥がし忘れ</t>
  </si>
  <si>
    <t>2023/6/13 MFGセンターへ問合せ中
 仕掛週報に無し。
 2024/2/13 作番完了(2023/11/13)</t>
  </si>
  <si>
    <t>SW7,SW71,SW135、他のSWが反応しない（2件目）</t>
  </si>
  <si>
    <t>2023/6/12 IC3-12pinをOPENにすると+3.6Vが正常になる？ 交換予定
 2023/6/28 交換し2課へ</t>
  </si>
  <si>
    <t>R23896</t>
  </si>
  <si>
    <t>IC73(+1.2V)出力無し、ショート？
 正常：100Ω程度、本基板：11Ω)</t>
  </si>
  <si>
    <t>仕掛週報D 残4/40
 2024/4 廃棄確定</t>
  </si>
  <si>
    <t>R23622</t>
  </si>
  <si>
    <t>OUT4 フルMTXチェックNG(エラーが999カウントになる)
 基板入替で現象移動</t>
  </si>
  <si>
    <t>2024/1/19 リワーク後、動作確認、完了。</t>
  </si>
  <si>
    <t>IC45</t>
  </si>
  <si>
    <t>R23631</t>
  </si>
  <si>
    <t>ﾌﾟﾛｸﾞﾗﾑの転送が不可。
 F-Memoryの交換</t>
  </si>
  <si>
    <t>2023/1/31 部品手配
 2023/6/20 部品交換
 仕掛週報に無し。
 2024/2/13 作番完了(2023/6/22)</t>
  </si>
  <si>
    <t>E03968-2</t>
  </si>
  <si>
    <t>IC201</t>
  </si>
  <si>
    <t>3QAAPM9948</t>
  </si>
  <si>
    <t>R23669</t>
  </si>
  <si>
    <t>Front</t>
  </si>
  <si>
    <t>SW18の反応が無い</t>
  </si>
  <si>
    <t>2023/6/20 部品手配
 2023/8/16 部品交換実施し2課へ</t>
  </si>
  <si>
    <t>E04081E</t>
  </si>
  <si>
    <t>SW18</t>
  </si>
  <si>
    <t>OUTPUTのFPGAが正常にｺﾝﾌｨｸﾞﾚｰｼｮﾝせず。異常に発熱する</t>
  </si>
  <si>
    <t>2023/6/28 IC73(+1.2V)のGND間抵抗が3Ω程、通常は100Ω程度 Cyntecのため修理不可
 仕掛週報D 残4/40
 2024/4 廃棄確定</t>
  </si>
  <si>
    <t>IC73？</t>
  </si>
  <si>
    <t>FPGA(Xilinx)書込みできず。</t>
  </si>
  <si>
    <t>2023/6/22 R760未実装 CN8取り付け時に取れた？</t>
  </si>
  <si>
    <t>R760</t>
  </si>
  <si>
    <t>3QDX0CQC360</t>
  </si>
  <si>
    <t>2023/6/23 RL1交換後、改善</t>
  </si>
  <si>
    <t>720/50pﾌｫｰﾏｯﾄで頻繁に色位相反転を繰返す</t>
  </si>
  <si>
    <t>2023/6/23 MU_CPU基板の改版によるものか？
 2023/7/7 FPGA更新で対策</t>
  </si>
  <si>
    <t>SW7,SW71,SW135、他のSWが反応しない（3件目）</t>
  </si>
  <si>
    <t>2023/6/27 IC3-12(B_S_D0_6)のﾊﾟﾀｰﾝは断線していない
 IC3交換し、2課へ</t>
  </si>
  <si>
    <t>R24090</t>
  </si>
  <si>
    <t>7枚</t>
  </si>
  <si>
    <t>2023/7/10 部品出庫依頼
 2023/7/19 7式 LED交換し2課へ戻し</t>
  </si>
  <si>
    <t>MV-12IFが動作しない</t>
  </si>
  <si>
    <t>2023/7/11 CN11の浮き → MFGセンター修理中
 2023/7/28 修理完了し、2課へ</t>
  </si>
  <si>
    <t>△(外観のみ)</t>
  </si>
  <si>
    <t>FPGA IN/OUT起動しない
 IC73の出力がｼｮｰﾄしている</t>
  </si>
  <si>
    <t>FPGA IN/OUT起動しない
 IC73の出力が殆どｼｮｰﾄしている</t>
  </si>
  <si>
    <t>R24331</t>
  </si>
  <si>
    <t>VR6のGAIN可変が動作しない</t>
  </si>
  <si>
    <t>2023/7/14 IC1の6(-5V)と7(gain)が短絡している
 部品出庫依頼
 2023/12/7 IC1のリワーク依頼
 2023/12/22 改善確認、2課へ</t>
  </si>
  <si>
    <t>13枚</t>
  </si>
  <si>
    <t>2023/7/19 13式 LED交換し2課へ戻し</t>
  </si>
  <si>
    <t>R23523</t>
  </si>
  <si>
    <t>OLED表示不良、CN6で発生
 部品交換しても変わらず</t>
  </si>
  <si>
    <t>2024/4/3 IC14交換し復帰
 仕掛週報D 残2/20</t>
  </si>
  <si>
    <t>IC14</t>
  </si>
  <si>
    <t>STILLｷｬﾌﾟﾁｬｰ出来ない。SDカードからのLoadはOK</t>
  </si>
  <si>
    <t>2023/08/04 IC76~78交換後、正常動作を確認</t>
  </si>
  <si>
    <t>R24071</t>
  </si>
  <si>
    <t>HD/3G:コールドスタート時より横引ノイズ発生、数分後に無出力。
 SD:横引ノイズ発生</t>
  </si>
  <si>
    <t>仕掛週報D 残1/50
 2024/4 廃棄確定</t>
  </si>
  <si>
    <t>R23522</t>
  </si>
  <si>
    <t>SW156押下しても反応しない</t>
  </si>
  <si>
    <t>2023/7/24 SWの1-2ピン間がショートしている
 2023/8/3 SW156交換 2課へ</t>
  </si>
  <si>
    <t>SW156</t>
  </si>
  <si>
    <t>R23784</t>
  </si>
  <si>
    <t>SW194押下しても反応しない</t>
  </si>
  <si>
    <t>2023/7/28 SWの1-2ピン間がショートしている
 2023/8/3 SW194交換 2課へ</t>
  </si>
  <si>
    <t>SW194</t>
  </si>
  <si>
    <t>LCD8に縦線ノイズ発生</t>
  </si>
  <si>
    <t>2023/9/8 LCD8交換実施</t>
  </si>
  <si>
    <t>LCD8</t>
  </si>
  <si>
    <t>R23874</t>
  </si>
  <si>
    <t>ENC1の反応が無い</t>
  </si>
  <si>
    <t>2023/8/3 ENC1のA出力が無い
 2023/8/4 ENC1交換し改善 ⇒ 2課へ返却</t>
  </si>
  <si>
    <t>2023/08/25 LCD8取外し
 2023/9/13 LCD8取り付け</t>
  </si>
  <si>
    <t>R23920</t>
  </si>
  <si>
    <t>LED点灯(赤)不良 
 計：15枚、18個所</t>
  </si>
  <si>
    <t>2023/8/8 設計要因のため、部品交換
 2023/8/17 40ヶ出庫し選別したところ7ヶが輝度不足</t>
  </si>
  <si>
    <t>R24209</t>
  </si>
  <si>
    <t>TPV7（+5V）が出力されない</t>
  </si>
  <si>
    <t>2023/8/10 半田面にブリッジ有り(ミニバイア間)</t>
  </si>
  <si>
    <t>R23745</t>
  </si>
  <si>
    <t>SDI出力せず。
 IC73,76出力無し</t>
  </si>
  <si>
    <t>R23529</t>
  </si>
  <si>
    <t>2023/8/14 取外し
 2023/9/26 支給の交換品実装</t>
  </si>
  <si>
    <t>SW70押下しても反応しない</t>
  </si>
  <si>
    <t>2023/8/18 ボタン押下してもI-2ピン間がOPEN
 SW70交換して2課へ</t>
  </si>
  <si>
    <t>SW70</t>
  </si>
  <si>
    <t>C20、C21が破損している</t>
  </si>
  <si>
    <t>2023/8/21 C20のパターンが損傷、MFGセンターへ修理依頼
 2023/9/20 修理完了</t>
  </si>
  <si>
    <t>OU3_FUNC</t>
  </si>
  <si>
    <t>SW28がボタン押下しても反応しない</t>
  </si>
  <si>
    <t>2023/8/22 SW28の1-2ピン間が短絡している
  SW28交換し、2課へ</t>
  </si>
  <si>
    <t>E04261</t>
  </si>
  <si>
    <t>SW28</t>
  </si>
  <si>
    <t>R23863</t>
  </si>
  <si>
    <t>2023/8/22 RL13,RL15交換し、八木へ</t>
  </si>
  <si>
    <t>C19、C20が破損している</t>
  </si>
  <si>
    <t>2023/8/24 C20、C21が損傷
 MFGセンターへ修理依頼</t>
  </si>
  <si>
    <t>2023/8/24 C19、C20が損傷</t>
  </si>
  <si>
    <t>R23865</t>
  </si>
  <si>
    <t>IN2 SDI信号はOK、偶にｱﾅﾛｸﾞに切替わらない。(20413M)</t>
  </si>
  <si>
    <t>2023/8/29 RL2交換実施</t>
  </si>
  <si>
    <t>E042080</t>
  </si>
  <si>
    <t>R23935</t>
  </si>
  <si>
    <t>OU3_TRANS</t>
  </si>
  <si>
    <t>SW71を押下しても反応しない</t>
  </si>
  <si>
    <t>2023/8/29 SW71の1と2ピンが短絡している。
 SW71を交換し2課へ</t>
  </si>
  <si>
    <t>E04260</t>
  </si>
  <si>
    <t>SW71</t>
  </si>
  <si>
    <t>R23610</t>
  </si>
  <si>
    <t>MAIN ⇒ Mother</t>
  </si>
  <si>
    <t>IN16 3Gﾊﾟｿﾛｼﾞｶﾙ信号が正常に表示されない。OP基板交換しても改善しない。</t>
  </si>
  <si>
    <t>仕掛週報C 残1/10
 2024/2/9 原因はMother BDと判明、交換し入庫完了</t>
  </si>
  <si>
    <t>E04707</t>
  </si>
  <si>
    <t>SW87 1-2ピン間が短絡</t>
  </si>
  <si>
    <t>2023/9/6 SW87交換し、2課へ</t>
  </si>
  <si>
    <t>SW87</t>
  </si>
  <si>
    <t>SW85 1-2ピン間が短絡</t>
  </si>
  <si>
    <t>2023/9/11 SW85交換し、2課へ</t>
  </si>
  <si>
    <t>SW85</t>
  </si>
  <si>
    <t>SW165 1-2ピン間が短絡</t>
  </si>
  <si>
    <t>2023/9/11 SW165交換し、2課へ</t>
  </si>
  <si>
    <t>SW165</t>
  </si>
  <si>
    <t>SW43 1-2ピン間が短絡</t>
  </si>
  <si>
    <t>2023/9/11 SW43交換し、2課へ</t>
  </si>
  <si>
    <t>SW43</t>
  </si>
  <si>
    <t>SW179 1-2ピン間が短絡</t>
  </si>
  <si>
    <t>2023/9/11 SW179交換し、2課へ</t>
  </si>
  <si>
    <t>SW179</t>
  </si>
  <si>
    <t>SW61 1-2ピン間が短絡</t>
  </si>
  <si>
    <t>2023/9/11 SW61交換し、2課へ</t>
  </si>
  <si>
    <t>SW61</t>
  </si>
  <si>
    <t>R23683</t>
  </si>
  <si>
    <t>IN2、ｱﾅﾛｸﾞ信号に切変わらない</t>
  </si>
  <si>
    <t>2023/9/15 現象確認、RL2交換</t>
  </si>
  <si>
    <t>リレー不良
 RL1(20512M),RL16</t>
  </si>
  <si>
    <t>2023/9/25 RL1交換、RL16再現せず、2課へ</t>
  </si>
  <si>
    <t>リレー不良
 RL3(20512M),RL16（20528M)、RL19(20528M)</t>
  </si>
  <si>
    <t>2023/9/25 RL3,RL16,RL19交換、2課へ</t>
  </si>
  <si>
    <t>リレー不良 RL20</t>
  </si>
  <si>
    <t>2023/11/16 RL20交換 2課へ</t>
  </si>
  <si>
    <t>リレー不良 RL3</t>
  </si>
  <si>
    <t>現象再現せず
 2023/11/16 RL3交換 2課へ</t>
  </si>
  <si>
    <t>仕掛週報C 残23/100
 2024/2/13 RL3交換し、2課へ</t>
  </si>
  <si>
    <t>リレー不良 RL20(20528M)</t>
  </si>
  <si>
    <t>2023/9/23 RL20交換、2課へ</t>
  </si>
  <si>
    <t>FRONT_SW</t>
  </si>
  <si>
    <t>FAN ALARMが点灯しない。
 D87が破損している。</t>
  </si>
  <si>
    <t>2023/9/25 D87交換、仕掛は余剰基板を引き充て</t>
  </si>
  <si>
    <t>R24210</t>
  </si>
  <si>
    <t>OPT ME</t>
  </si>
  <si>
    <t>出力せず。(Eyeﾊﾟﾀｰﾝ無し)
 ｳﾞｧｰｼﾞｮﾝ確認は正常</t>
  </si>
  <si>
    <t>2023/9/26 IC81のPgood出力無し
 2023/10/13 リワーク戻り</t>
  </si>
  <si>
    <t>E04353</t>
  </si>
  <si>
    <t>IC81</t>
  </si>
  <si>
    <t>RL8,RL10 ﾘﾚｰ動作不良</t>
  </si>
  <si>
    <t>2023/9/27 不良個所のリレー未使用のFA-505へ引き充て</t>
  </si>
  <si>
    <t>RL8,RL10</t>
  </si>
  <si>
    <t>RL17(20528M)リレー不良
 RL7リレー不良(10/10）</t>
  </si>
  <si>
    <t>2023/10/4 RL17交換し、2課へ
 2023/10/10 RL7交換</t>
  </si>
  <si>
    <t>RL8,RL13リレー不良</t>
  </si>
  <si>
    <t>2023/10/17 RL8,RL13交換し、2課へ(FA-505組込)</t>
  </si>
  <si>
    <t>RL8,RL13</t>
  </si>
  <si>
    <t>R15(20528M)リレー不良
 R5(20512M)リレー不良</t>
  </si>
  <si>
    <t>2023/10/24 現象再現せず
 2023/11/17 RL5交換 2課へ</t>
  </si>
  <si>
    <t>RL1(20512M),RL9(20512M)リレー不良</t>
  </si>
  <si>
    <t>2023/10/5 RL1,RL9交換し、2課へ</t>
  </si>
  <si>
    <t>RL1、RL9</t>
  </si>
  <si>
    <t>R24043</t>
  </si>
  <si>
    <t>D3(Busy LED)の輝度不足(赤)</t>
  </si>
  <si>
    <t>2023/9/29 LED交換</t>
  </si>
  <si>
    <t>E04648</t>
  </si>
  <si>
    <t>D2(Busy LED)の輝度不足(赤)</t>
  </si>
  <si>
    <t>D2(Busy LED)、D3(Power)の輝度不足(赤)</t>
  </si>
  <si>
    <t>RL2リレー不良</t>
  </si>
  <si>
    <t>2023/10/2 FA-505では未使用のため、そのまま引き当て</t>
  </si>
  <si>
    <t>RL4リレー不良</t>
  </si>
  <si>
    <t>RL10リレー不良</t>
  </si>
  <si>
    <t>RL15(20528M)リレー不良</t>
  </si>
  <si>
    <t>2023/10/24 RL15交換、2課へ</t>
  </si>
  <si>
    <t>RL14リレー不良</t>
  </si>
  <si>
    <t>2023/10/25 常時再現、カバー取外し
 2024/2/1 RL14交換</t>
  </si>
  <si>
    <t>RL</t>
  </si>
  <si>
    <t>RL1(20512M)リレー不良</t>
  </si>
  <si>
    <t>2023/10/25 RL1(20405M)交換、2課へ</t>
  </si>
  <si>
    <t>RL8(20512M),RL20(20528M)リレー不良</t>
  </si>
  <si>
    <t>2024/2/1 RL20交換</t>
  </si>
  <si>
    <t>RL1(20512M),RL9(20528M),RL12(20512M)リレー不良</t>
  </si>
  <si>
    <t>2024/1/30 RL1,RL9，RL12交換</t>
  </si>
  <si>
    <t>RL17(20528M)リレー不良</t>
  </si>
  <si>
    <t>2023/10/23 RL17交換</t>
  </si>
  <si>
    <t>RL5(20512M),RJ11(20528M)リレー不良</t>
  </si>
  <si>
    <t>2023/1/29 RL5,RL11交換</t>
  </si>
  <si>
    <t>RL1(20507M)リレー不良</t>
  </si>
  <si>
    <t>2023/10/11 RL1交換し、2課へ</t>
  </si>
  <si>
    <t>Genlock動作不良。チェックツールにて12G-SDI時にUnlock表示となる</t>
  </si>
  <si>
    <t>2023/10/5 C146交換</t>
  </si>
  <si>
    <t>C146？</t>
  </si>
  <si>
    <t>RL14(20528M)リレー
 RL4(20512M)リレー不良</t>
  </si>
  <si>
    <t>2023/10/10 項番702と同一基板
 2023/12/13 RL14交換</t>
  </si>
  <si>
    <t>Genlock動作不良。チェックツールにてUnlock表示となる</t>
  </si>
  <si>
    <t>2023/10/10 C146交換し、鐏へ</t>
  </si>
  <si>
    <t>IO3の3値SYNC時にタイミングジッタが大きい</t>
  </si>
  <si>
    <t>2023/10/11 C146交換し、鐏へ</t>
  </si>
  <si>
    <t>2023/10/11 C146交換し、鐏へ
 12G-SDIのタイミングジッタ特性が悪いためC147交換</t>
  </si>
  <si>
    <t>2023/10/11 取外し依頼
 2023/11/9 LCD14交換</t>
  </si>
  <si>
    <t>3G-SDI受信エラー、フリーズ現象
 IN3，IN13</t>
  </si>
  <si>
    <t>2023/10/17 RS開発部へ調査のため貸出
 2024/3/？ VerUPにて対応
 仕掛週報D 残6/50</t>
  </si>
  <si>
    <t>3G-SDI受信エラー、フリーズ現象
 IN4</t>
  </si>
  <si>
    <t>3G-SDI受信エラー(IN13,IN20)
 時々フリーズする</t>
  </si>
  <si>
    <t>2023/12/21 信号源TG700にて再確認
 ※ ESG4100ではエラー発生するがTG700では問題無し</t>
  </si>
  <si>
    <t>3G-SDI受信エラー、フリーズ現象
 IN4，IN14、IN19</t>
  </si>
  <si>
    <t>3G-SDI受信エラー(IN20)
 時々フリーズする</t>
  </si>
  <si>
    <t>2023/12/22 RL12交換、3課へ</t>
  </si>
  <si>
    <t>C19が破損している</t>
  </si>
  <si>
    <t>2023/10/20 MFGセンターへ修理依頼
 2023/12/12 MFGセンターより受取、3課へ</t>
  </si>
  <si>
    <t>C19</t>
  </si>
  <si>
    <t>RL16(20414M)リレー不良</t>
  </si>
  <si>
    <t>RL16交換 2課へ</t>
  </si>
  <si>
    <t>RL2(20507M)リレー不良</t>
  </si>
  <si>
    <t>2023/11/15 RL2交換 2課へ</t>
  </si>
  <si>
    <t>2023/11/15 RL1交換 2課へ</t>
  </si>
  <si>
    <t>2023/11/14 RL1交換 2課へ</t>
  </si>
  <si>
    <t>RL15(20414M)リレー不良</t>
  </si>
  <si>
    <t>2023/11/14 RL15交換 2課へ</t>
  </si>
  <si>
    <t>R24141</t>
  </si>
  <si>
    <t>OUT4 レベルNG</t>
  </si>
  <si>
    <t>2023/10/25 R161 半田ショート？</t>
  </si>
  <si>
    <t>R161</t>
  </si>
  <si>
    <t>2023/10/24 RL7交換</t>
  </si>
  <si>
    <t>RL10(20507M)リレー不良</t>
  </si>
  <si>
    <t>2023/11/15 RL10交換 2課へ</t>
  </si>
  <si>
    <t>RL9(20507M)リレー不良</t>
  </si>
  <si>
    <t>2023/11/14 RL9交換 ⇒ 2課へ</t>
  </si>
  <si>
    <t>MOTHER?</t>
  </si>
  <si>
    <t>OUT1の組込無しでｴﾗｰ表示となる。組込すると表示しない。</t>
  </si>
  <si>
    <t>バラして確認⇒目視では異常なし、テスターでも問題なし
 基板だけの状態でMAIN取り付けも異常なし。
 再現せず。</t>
  </si>
  <si>
    <t>RL1(20413M)リレー不良</t>
  </si>
  <si>
    <t>2023/11/16 RL1交換 2課へ</t>
  </si>
  <si>
    <t>2023/11/20 RL9交換2課へ</t>
  </si>
  <si>
    <t>RL1,RL5,RL7,RL9リレー不良(20413M)</t>
  </si>
  <si>
    <t>仕掛週報C 残23/100
 2024/3/13 入庫</t>
  </si>
  <si>
    <t>2023/12/11 RL1交換</t>
  </si>
  <si>
    <t>RL9 or RL19リレー動作不良</t>
  </si>
  <si>
    <t>2024/1/31 RL9,RL19を交換</t>
  </si>
  <si>
    <t>RL9,RL19</t>
  </si>
  <si>
    <t>3QF9ARS30Y03
 3QF9ARS10Y03</t>
  </si>
  <si>
    <t>2023/12/15 RL2交換</t>
  </si>
  <si>
    <t>RL3(20507M)リレー不良</t>
  </si>
  <si>
    <t>2023/12/15 RL3交換</t>
  </si>
  <si>
    <t>R23775
 (R24630)</t>
  </si>
  <si>
    <t>RL4(20507M)リレー不良</t>
  </si>
  <si>
    <t>2023/12/15 RL4交換</t>
  </si>
  <si>
    <t>2023/12/14 RL9交換</t>
  </si>
  <si>
    <t>RL1,RL6(20413M)リレー不良</t>
  </si>
  <si>
    <t>2023/12/13 Q2破損、交換
 2023/12/14 RL1,RL6交換</t>
  </si>
  <si>
    <t>RL1、RL６</t>
  </si>
  <si>
    <t>RL4(20507M),RL15(20414M)リレー不良</t>
  </si>
  <si>
    <t>2023/12/12 RL4,RL15交換</t>
  </si>
  <si>
    <t>RL4、RL14</t>
  </si>
  <si>
    <t>2023/12/12 RL15交換</t>
  </si>
  <si>
    <t>2023/12/12 RL2交換</t>
  </si>
  <si>
    <t>RL2,RL6(20413M)リレー不良</t>
  </si>
  <si>
    <t>仕掛週報C 残23/100
 2024/2/27 RL2,RL6交換</t>
  </si>
  <si>
    <t>RL2、RL6</t>
  </si>
  <si>
    <t>POWER LED 赤輝度不足(D8)</t>
  </si>
  <si>
    <t>D8交換</t>
  </si>
  <si>
    <t>D8</t>
  </si>
  <si>
    <t>BUSY LED 赤輝度不足(D7)</t>
  </si>
  <si>
    <t>D7交換</t>
  </si>
  <si>
    <t>D7</t>
  </si>
  <si>
    <t>2023/12/2 D7交換し、3課へ</t>
  </si>
  <si>
    <t>2023/12/2 D8交換し、3課へ</t>
  </si>
  <si>
    <t>BUSY,LOCK LED 赤輝度不足(D1,D2)</t>
  </si>
  <si>
    <t>D1,D2交換</t>
  </si>
  <si>
    <t>D1,D2</t>
  </si>
  <si>
    <t>LOCK LED 赤輝度不足(D1)</t>
  </si>
  <si>
    <t>D1交換</t>
  </si>
  <si>
    <t>POWER LED 赤輝度不足(D3)</t>
  </si>
  <si>
    <t>D3交換</t>
  </si>
  <si>
    <t>BUSY LED 赤輝度不足(D2)</t>
  </si>
  <si>
    <t>D2交換</t>
  </si>
  <si>
    <t>POWER,BUSY LED赤輝度不足
 (D2,D3)</t>
  </si>
  <si>
    <t>D2,D3交換</t>
  </si>
  <si>
    <t>POWER,LOCK LED 赤輝度不足(D1,D3)</t>
  </si>
  <si>
    <t>D1,D3交換
 仕掛週報に無し。
 2024/1/15 作番完了。</t>
  </si>
  <si>
    <t>D1,D3</t>
  </si>
  <si>
    <t>D3交換
 仕掛週報に無し。
 2024/1/15 作番完了。</t>
  </si>
  <si>
    <t>19280077
 ⇒ 0091に変更</t>
  </si>
  <si>
    <t>OUT1~3出力しない</t>
  </si>
  <si>
    <t>2023/11/8 MicroSDの再書き込みしたが変化なし
 LMK03328の書込み失敗か？
 2023/11/21 LMK03328再書き込みでSDI出力確認</t>
  </si>
  <si>
    <t>19280079
 ⇒ 0092に変更</t>
  </si>
  <si>
    <t>OUT1~3出力しない()</t>
  </si>
  <si>
    <t>タッチパネル画面のタッチポイントがズレる(左側に余裕なし)の特定位置で反応しない場合がある。
 SDI出力が黒映像。入力は検出する。</t>
  </si>
  <si>
    <t>2023/11/21 IUH_MAINと１UH＿R3GSDI基板のDS1設定が逆になっていた？正しく設定した後はSDI出力復帰した。</t>
  </si>
  <si>
    <t>RL8/RL16の動作不良？</t>
  </si>
  <si>
    <t>2023/11/16 RL8(20507M)側の動作不良
 2023/11/17 RL8交換 2課へ</t>
  </si>
  <si>
    <t>OUT3の映像出力せず</t>
  </si>
  <si>
    <t>2023/11/16 R239(750Ω)が破損している。交換し2課へ</t>
  </si>
  <si>
    <t>MV-1010</t>
  </si>
  <si>
    <t>RL12(20528M)リレー動作不良</t>
  </si>
  <si>
    <t>R23686</t>
  </si>
  <si>
    <t>押し釦スイッチが赤点灯しない
 R87の電極破損を確認。導通ｴﾗｰ</t>
  </si>
  <si>
    <t>2023/11/29 R87交換。導通改善。3課へ。</t>
  </si>
  <si>
    <t>複数の押し釦が反応しない
 SW6,SW14,SW22,SW30,SW38,SW46,SW54,SW62,70,SW78,SW86,SW110,SW118,SW150,SW158</t>
  </si>
  <si>
    <t>2023/12/2 Sig ”D_S_D0_5” IC3交換し、2課へ</t>
  </si>
  <si>
    <t>リレー不良</t>
  </si>
  <si>
    <t>リレー交換実施
 仕掛週報C 残23/100
 2024/2/27 入庫完了(2023/12/12)</t>
  </si>
  <si>
    <t>REFロックしない。INPUTロックは正常</t>
  </si>
  <si>
    <t>2023/11/28 Rear基板の挿抜にて復帰した</t>
  </si>
  <si>
    <t>S41に縦線ノイズ</t>
  </si>
  <si>
    <t>2023/11/29 部品取外し依頼
 2023/12/19 MFGセンターより戻り、3課へ</t>
  </si>
  <si>
    <t>S41</t>
  </si>
  <si>
    <t>S36に縦線ノイズ</t>
  </si>
  <si>
    <t>S36</t>
  </si>
  <si>
    <t>2023/11/29 部品取外し依頼
 2023/12/19 MFGセンターより戻り、3課へ
 仕掛週報C 残3/30</t>
  </si>
  <si>
    <t>S35に縦線ノイズ</t>
  </si>
  <si>
    <t>映像出力せず。LANは接続可</t>
  </si>
  <si>
    <t>2023/11/29 製品課依頼にて海外機とシリアル入替のため、修理後は変更要
 仕掛週報に無し
 2024/2/13 廃棄済(2021/9/30)</t>
  </si>
  <si>
    <t>SW7,SW15,SW23,SW39,SW71,SW79反応しない</t>
  </si>
  <si>
    <t>2023/12/2 IC3交換し、2課へ</t>
  </si>
  <si>
    <t>OUT1~３の出力無し</t>
  </si>
  <si>
    <t>2023/12/5 IC1のPRAO(Preamplifier Out)がレベル異常
 2023/12/7 IC1のリワーク依頼</t>
  </si>
  <si>
    <t>IN7のアナログ入力が出力しない</t>
  </si>
  <si>
    <t>2023/12/6 RL10交換し、八木へ</t>
  </si>
  <si>
    <t>2023/12/14 S28取外し依頼
 2023/12/19 MFGセンターより戻り、3課へ</t>
  </si>
  <si>
    <t>S30に縦線ノイズ発生</t>
  </si>
  <si>
    <t>S39に縦線ノイズ発生</t>
  </si>
  <si>
    <t>R24256</t>
  </si>
  <si>
    <t>①D3の輝度不足</t>
  </si>
  <si>
    <t>2023/12/15 D3交換し2課へ</t>
  </si>
  <si>
    <t>②D3の輝度不足</t>
  </si>
  <si>
    <t>③D2の輝度不足</t>
  </si>
  <si>
    <t>2023/12/15 D2交換し2課へ</t>
  </si>
  <si>
    <t>④D1の輝度不足</t>
  </si>
  <si>
    <t>2023/12/15 D1交換し2課へ</t>
  </si>
  <si>
    <t>⑤D2の輝度不足</t>
  </si>
  <si>
    <t>⑥D2の輝度不足</t>
  </si>
  <si>
    <t>⑦D1の輝度不足</t>
  </si>
  <si>
    <t>LED点灯(赤)不良 
 計：11枚、14個所</t>
  </si>
  <si>
    <t>2023/12/19 LED交換、3課へ</t>
  </si>
  <si>
    <t>ENCが回転方向に反応せず。ON/OFF操作は正常</t>
  </si>
  <si>
    <t>2023/12/21 部品出庫依頼
 2024/1/15 ENC1交換し、3課へ</t>
  </si>
  <si>
    <t>E04302A</t>
  </si>
  <si>
    <t>IN18の3G-SDI受信NG
 分割画面がフリーズする</t>
  </si>
  <si>
    <t>2023/12/21 登録漏れ。信号源TG700にて再確認
 ※ ESG4100ではエラー発生するがTG700では問題無し</t>
  </si>
  <si>
    <t>POWER＿B</t>
  </si>
  <si>
    <t>PS1スイッチ動作せず。
 CN2ピン折れ</t>
  </si>
  <si>
    <t>2023/12/19 CN2-14にピン折れ 部品出庫依頼
 2024/3/15 リワーク完了し、2課へ
 仕掛週報B 残24/30</t>
  </si>
  <si>
    <t>⑧D3の輝度不足</t>
  </si>
  <si>
    <t>2024/1/11 D3交換し2課へ</t>
  </si>
  <si>
    <t>⑨D1の輝度不足</t>
  </si>
  <si>
    <t>2024/1/11 D1交換し2課へ</t>
  </si>
  <si>
    <t>⑩D3の輝度不足</t>
  </si>
  <si>
    <t>⑪D2の輝度不足</t>
  </si>
  <si>
    <t>2024/1/11 D2交換し2課へ</t>
  </si>
  <si>
    <t>⑫D1の輝度不足</t>
  </si>
  <si>
    <t>⑬D3の輝度不足</t>
  </si>
  <si>
    <t>⑭D1の輝度不足</t>
  </si>
  <si>
    <t>⑮D2の輝度不足</t>
  </si>
  <si>
    <t>⑯D3の輝度不足</t>
  </si>
  <si>
    <t>⑰D2の輝度不足</t>
  </si>
  <si>
    <t>⑱D1の輝度不足</t>
  </si>
  <si>
    <t>⑲D3の輝度不足</t>
  </si>
  <si>
    <t>⑳D2の輝度不足</t>
  </si>
  <si>
    <t>㉑D1の輝度不足</t>
  </si>
  <si>
    <t>R24069</t>
  </si>
  <si>
    <t>T701破損</t>
  </si>
  <si>
    <t>2024/1/22 T701交換実施。動作確認OK</t>
  </si>
  <si>
    <t>T701</t>
  </si>
  <si>
    <t>R24346</t>
  </si>
  <si>
    <t>MU_FRONT</t>
  </si>
  <si>
    <t>S502の実装向き逆。LED点灯せず</t>
  </si>
  <si>
    <t>2023/12/26 S502交換し3課へ</t>
  </si>
  <si>
    <t>E03554-1</t>
  </si>
  <si>
    <t>S502</t>
  </si>
  <si>
    <t>３QF6TP201L5</t>
  </si>
  <si>
    <t>R24196</t>
  </si>
  <si>
    <t>D1～３の輝度不足(5枚、5個)</t>
  </si>
  <si>
    <t>2023/12/27 LED交換し3課へ</t>
  </si>
  <si>
    <t>D1～３の輝度不足(8枚、8個)</t>
  </si>
  <si>
    <t>2024/1/9 項869に追加(計13個の不良)
 2024/1/12 LED交換し、2課へ</t>
  </si>
  <si>
    <t>D1-3</t>
  </si>
  <si>
    <t>D1～３の輝度不足(16枚/18個)</t>
  </si>
  <si>
    <t>2024/1/10 LED交換実施、2課へ</t>
  </si>
  <si>
    <t>R24428</t>
  </si>
  <si>
    <t>2024/1/12 C146交換</t>
  </si>
  <si>
    <t>GenlockﾁｪｯｸにてUnlock表示になる</t>
  </si>
  <si>
    <t>IO1のタイミングジッタが大きい</t>
  </si>
  <si>
    <t>2024/1/12 C146交換 ⇒ 改善せず
 2024/1/15 C147交換</t>
  </si>
  <si>
    <t>3QCX１AMTCT225</t>
  </si>
  <si>
    <t>2024/1/15 C146交換</t>
  </si>
  <si>
    <t>2024/1/16 C146交換</t>
  </si>
  <si>
    <t>R24610</t>
  </si>
  <si>
    <t>CPU SW</t>
  </si>
  <si>
    <t>D33～35の赤色輝度不足(9枚、10個)</t>
  </si>
  <si>
    <t>2024/1/18 LED交換し、2課へ</t>
  </si>
  <si>
    <t>D33~35</t>
  </si>
  <si>
    <t>SW20に未半田。ボタンSW点灯せず</t>
  </si>
  <si>
    <t>2024/1/19 石川課長へ</t>
  </si>
  <si>
    <t>R24178</t>
  </si>
  <si>
    <t>CPU SW2</t>
  </si>
  <si>
    <t>S60点灯せず(D117が破損している)</t>
  </si>
  <si>
    <t>2024/1/22 D117交換</t>
  </si>
  <si>
    <t>D117</t>
  </si>
  <si>
    <t>S18点灯せず(D35が破損している)</t>
  </si>
  <si>
    <t>2024/1/22 D35交換</t>
  </si>
  <si>
    <t>R24404</t>
  </si>
  <si>
    <t>CPU SW２</t>
  </si>
  <si>
    <t>S19,S54,S55,S63点灯せず。
 D36,D111,D112,D128破損</t>
  </si>
  <si>
    <t>2024/1/24 D36,D111,D112,D128交換</t>
  </si>
  <si>
    <t>D36,D111,D112,D128</t>
  </si>
  <si>
    <t>ボタン18動作せず。D11破損</t>
  </si>
  <si>
    <t>2024/1/25 D11交換。チップ部品の破損多し。</t>
  </si>
  <si>
    <t>D11</t>
  </si>
  <si>
    <t>2024/1/25 C146交換</t>
  </si>
  <si>
    <t>R23824</t>
  </si>
  <si>
    <t>IN5のアナログ入力断線する入力信号表示しない</t>
  </si>
  <si>
    <t>2024/1/25 C3018マンハッタン
 2024/3/13 MFGセンターより返却、3課へ
 仕掛週報C 残7/10</t>
  </si>
  <si>
    <t>C3018</t>
  </si>
  <si>
    <t>R24054</t>
  </si>
  <si>
    <t>SW1,SW7点灯NG</t>
  </si>
  <si>
    <t>2024/1/29 赤 LED2,緑 LED3 LED6交換
 メンブレンSWのLED破損が多い。取扱い雑？</t>
  </si>
  <si>
    <t>LED2,LED3,LED6</t>
  </si>
  <si>
    <t>R24299</t>
  </si>
  <si>
    <t>SW55が反応なし。接点不良
 押下しても短絡しない</t>
  </si>
  <si>
    <t>2024/1/30 SW55交換し、3課へ</t>
  </si>
  <si>
    <t>SW55</t>
  </si>
  <si>
    <t>R24084</t>
  </si>
  <si>
    <t>PAGE▼のLEDが点灯しない</t>
  </si>
  <si>
    <t>2024/2/6 後日、基板取外し
 2024/2/7 LED39交換</t>
  </si>
  <si>
    <t>LED39</t>
  </si>
  <si>
    <t>３QB3LWQ38E</t>
  </si>
  <si>
    <t>R24405</t>
  </si>
  <si>
    <t>① D3の輝度不足</t>
  </si>
  <si>
    <t>LED選別間に合わず、ｷｸﾅ電子にて実装
 2024/3/？ LED交換実施し、2課へ
 仕掛週報B 残70/70</t>
  </si>
  <si>
    <t>② D3の輝度不足</t>
  </si>
  <si>
    <t>2024/3/？ LED交換実施し、2課へ
 仕掛週報B 残70/70</t>
  </si>
  <si>
    <t>③ D3の輝度不足</t>
  </si>
  <si>
    <t>④ D2の輝度不足</t>
  </si>
  <si>
    <t>⑤ D2,D3の輝度不足</t>
  </si>
  <si>
    <t>⑥ D2の輝度不足</t>
  </si>
  <si>
    <t>⑦ D1の輝度不足</t>
  </si>
  <si>
    <t>2024/4/1 LED交換し2課へ
 仕掛週報B 残70/70</t>
  </si>
  <si>
    <t>⑧ D2の輝度不足</t>
  </si>
  <si>
    <t>⑨ D3の輝度不足</t>
  </si>
  <si>
    <t>⑩ D2の輝度不足</t>
  </si>
  <si>
    <t>⑪ D1,D2の輝度不足</t>
  </si>
  <si>
    <t>⑫ D2の輝度不足</t>
  </si>
  <si>
    <t>回転軸に力を加えるとF2(ENC2)ｶｳﾝﾄｱｯﾌﾟが回転方向と逆になる</t>
  </si>
  <si>
    <t>2024/2/7 ENC2交換
 仕掛週報B 残21/50</t>
  </si>
  <si>
    <t>ENC2</t>
  </si>
  <si>
    <t>FANアラーム点灯しない。
 CN2-30ピン折れ</t>
  </si>
  <si>
    <t>2024/2/14 MOQ84ヶのため、出庫依頼
 2024/2/29 部品交換依頼
 2024/3/15 リワーク完了し、2課へ</t>
  </si>
  <si>
    <t>IN20のSDI信号が抜けない。RS開発部より報告。</t>
  </si>
  <si>
    <t>2024/2/16 RL20の動作不良(接触)。ｺﾝﾎﾟｼﾞｯﾄ側は正常
 2024/3/8 RL20交換実施、２課へ</t>
  </si>
  <si>
    <t>SETUP(ATTACH)の緑色点灯しない</t>
  </si>
  <si>
    <t>2024/20 LED6破損のため交換</t>
  </si>
  <si>
    <t>LED6</t>
  </si>
  <si>
    <t>D112が点灯しない</t>
  </si>
  <si>
    <t>2024/2/20 D112破損のため交換</t>
  </si>
  <si>
    <t>E04314</t>
  </si>
  <si>
    <t>D112</t>
  </si>
  <si>
    <t>出力無し。D12破損している</t>
  </si>
  <si>
    <t>2024/2/22 MFGセンターへ修理依頼
 2024/4/5 修理上がり。+6.1V確認。3課へ</t>
  </si>
  <si>
    <t>D12</t>
  </si>
  <si>
    <t>3QB2RB160SS40</t>
  </si>
  <si>
    <t>R24282</t>
  </si>
  <si>
    <t>MV-1640IF</t>
  </si>
  <si>
    <t>GPI-IF</t>
  </si>
  <si>
    <t>CN4破損</t>
  </si>
  <si>
    <t>2024/2/29 MFGセンターへ部品交換依頼
 2024/4/8 3課へ</t>
  </si>
  <si>
    <t>E04817</t>
  </si>
  <si>
    <t>3QG3FX8C6P6</t>
  </si>
  <si>
    <t>R24046</t>
  </si>
  <si>
    <t>ボタンSWを押下しても反応しない個所が複数有</t>
  </si>
  <si>
    <t>2024/2/22 Sig”D_S_D0_5”
 2024/2/26 IC3交換し2課へ</t>
  </si>
  <si>
    <t>IC3？</t>
  </si>
  <si>
    <t>L3が破損している</t>
  </si>
  <si>
    <t>2024/2/22 L3の導通無し
 2024/2/28 L3交換</t>
  </si>
  <si>
    <t>E04842</t>
  </si>
  <si>
    <t>L3</t>
  </si>
  <si>
    <t>R23989</t>
  </si>
  <si>
    <t>2024/3/1 RL12交換</t>
  </si>
  <si>
    <t>R24347</t>
  </si>
  <si>
    <t>LEDの赤色輝度不足
 計14式、15個所に現象発生</t>
  </si>
  <si>
    <t>2024/2/26 選別されていないLEDが使用されている？
 社外の協力会社実装か？</t>
  </si>
  <si>
    <t>12G-SDIでGenlockﾁｪｯｸにてUnlock表示になる。HDは問題無し</t>
  </si>
  <si>
    <t>2024/2/27 C146交換</t>
  </si>
  <si>
    <t>SD出力にノイズ発生。
 N/P共にGENLOCKが外れる</t>
  </si>
  <si>
    <t>2024/2/28 IC85がNO LOCK状態。C978,C979再半田で改善、2課へ</t>
  </si>
  <si>
    <t>DC2側を接続していない状態で電源ステータスがNG表示
 接続していない状態ではNONE
 CN15が変形している</t>
  </si>
  <si>
    <t>2024/2/29 部品不良(導通無し)</t>
  </si>
  <si>
    <t>3値Syncにてタイミングジッタが大</t>
  </si>
  <si>
    <t>2024/2/29 C146交換 ⇒ 効果無し
 2024/2/29 C147交換実施</t>
  </si>
  <si>
    <t>R23918</t>
  </si>
  <si>
    <t>MFR-LAN2が通信しない時が有る</t>
  </si>
  <si>
    <t>2024/2/28 Rearと接続するMotherのコネクタピン曲がり。
 2課で修正して改善</t>
  </si>
  <si>
    <t>RL11,RL12(31206M)リレー不良</t>
  </si>
  <si>
    <t>2024/3/2 RL11,RL12交換</t>
  </si>
  <si>
    <t>RL1,RL10(30302)リレー不良</t>
  </si>
  <si>
    <t>2024/3/2 RL1交換</t>
  </si>
  <si>
    <t>RL4,RL12,RL17リレー不良</t>
  </si>
  <si>
    <t>2024/3/2 RL4,RL12,RL17交換</t>
  </si>
  <si>
    <t>RL2,RL14リレー不良</t>
  </si>
  <si>
    <t>2024/3/2 RL2,RL14交換</t>
  </si>
  <si>
    <t>RL1,RL13リレー不良
 RL11Bypass側に切り替わらない (オペレート固定になっている?)
 RL2,RL12リレー制御されていない(音が聞こえない)</t>
  </si>
  <si>
    <t>2024/3/2 RL1,RL2,RL12,RL13交換</t>
  </si>
  <si>
    <t>RL6リレー不良
 RL3,RL13リレー制御されていない(音がしない)</t>
  </si>
  <si>
    <t>2024/3/2 RL3,RL6,RL13交換</t>
  </si>
  <si>
    <t>RL1リレー不良
 RL11Bypass側に切り替わらない (オペレート固定になっている?)</t>
  </si>
  <si>
    <t>2024/3/2 RL1,RL11交換</t>
  </si>
  <si>
    <t>RL2,RL7リレー不良</t>
  </si>
  <si>
    <t>交換日時、作業者不明</t>
  </si>
  <si>
    <t>RL1 Bypass映像が出ない
 RL11 Operate映像が出ない</t>
  </si>
  <si>
    <t>RL9 Bypass映像が出ない
 RL19 Operate映像が出ない
 RL20リレー不良</t>
  </si>
  <si>
    <t>RL20リレー不良</t>
  </si>
  <si>
    <t>RL7,RL13リレー不良
 RL7は頻度低</t>
  </si>
  <si>
    <t>RL10,RL19リレー不良</t>
  </si>
  <si>
    <t>2024/3/27 ﾘﾚｰ交換済。FSSC作業？</t>
  </si>
  <si>
    <t>FSSC作業依頼？</t>
  </si>
  <si>
    <t>RL5,RL15リレーが切り替わらない
 RL7,RL20リレー不良</t>
  </si>
  <si>
    <t>RL1リレー不良
 RL11Bypass出力がアンロックになる(RL1がNG?)</t>
  </si>
  <si>
    <t>RL2リレー不良
 FA-505未使用CH</t>
  </si>
  <si>
    <t>RL1,RL7,RL12,RL15リレー不良
 RL6,RL16切り替えNG
 RL8､RL18切り替え、出力NG</t>
  </si>
  <si>
    <t>リレー8ヶ交換</t>
  </si>
  <si>
    <t>RL5,RL7,RL11,RL14リレー不良
 RL6,RL16入力認識しない、出力もいない。BypassOK</t>
  </si>
  <si>
    <t>2024/3/23 RL20交換</t>
  </si>
  <si>
    <t>RL5,RL7,RL16リレー不良</t>
  </si>
  <si>
    <t>RL4,RL7,RL11,RL12,RL14,RL19リレー不良
 RL5,RL15 BypassNG</t>
  </si>
  <si>
    <t>2024/3/9 リレー8ヶ交換</t>
  </si>
  <si>
    <t>RL8,RL12,RL16,RL17リレー不良</t>
  </si>
  <si>
    <t>RL1,RL4,RL7,RL19リレー不良</t>
  </si>
  <si>
    <t>RL3,RL14,RL20リレー不良
 RL1,RL11切り替えNG
 RL6,RL16 BypassNG RL16出力がいない
 3/27：RL9,RL19BypassNG</t>
  </si>
  <si>
    <t>2024/3/11 リレー7ヶ交換
 2024/3/27 RL9,RL19交換</t>
  </si>
  <si>
    <t>RL1,RL7,RL14,RL19リレー不良
 RL8,RL18 BypassNG</t>
  </si>
  <si>
    <t>2024/3/9 リレー６ヶ交換</t>
  </si>
  <si>
    <t>FUNCTION ３ LED点灯せず</t>
  </si>
  <si>
    <t>2024/3/6 S69に未半田か？再半田後の動作OK</t>
  </si>
  <si>
    <t>FUNCTION 2 LED点灯せず</t>
  </si>
  <si>
    <t>2024/3/6 S34に未半田か？再半田後の動作OK</t>
  </si>
  <si>
    <t>FUNCTION 4 LED点灯せず</t>
  </si>
  <si>
    <t>2024/3/6 S70に未半田か？再半田後の動作OK</t>
  </si>
  <si>
    <t>FPGAのプログラムデータをバックアップ出来ない。CPU,CPLDはOK</t>
  </si>
  <si>
    <t>2024/3/20 CPLDのデータ更新が必要。V5.00で復帰</t>
  </si>
  <si>
    <t>HDMI接続出来ない</t>
  </si>
  <si>
    <t>2024/3/13 CN14が変形している
 2024/3/14 部品出庫依頼
 2024/3/28 部品交換依頼 ⇒ 石川さん手直しする
 2024/4/15 静岡第一テレビ修理品へ引き当て</t>
  </si>
  <si>
    <t>3QG3TCX3285</t>
  </si>
  <si>
    <t>IN3の入力信号が出力されない
 RL3動作不良</t>
  </si>
  <si>
    <t>2024/3/15 RL3交換し、3課へ</t>
  </si>
  <si>
    <t>IN9の入力信号が出力されない
 RL9動作不良</t>
  </si>
  <si>
    <t>2024/3/15 RL9交換し、3課へ</t>
  </si>
  <si>
    <t>RL6,RL10,RL18リレー不良</t>
  </si>
  <si>
    <t>2024/3/18 ﾘﾚｰ交換をFSSCへ依頼</t>
  </si>
  <si>
    <t>2024/3/19 ﾘﾚｰ交換をFSSCへ依頼</t>
  </si>
  <si>
    <t>RL8,RL9リレー不良
 RL8はBNC側の足が浮いている?半田ついていない？</t>
  </si>
  <si>
    <t>2024/3/20 ﾘﾚｰ交換をFSSCへ依頼
 2024/3/21 RL8は部品底面で半田付されている
 2024/3/29 RL1動作不良のため交換実施</t>
  </si>
  <si>
    <t>RL1RL8リレー不良
 RL18バイパス出力NG</t>
  </si>
  <si>
    <t>2024/3/21 ﾘﾚｰ交換をFSSCへ依頼
 2024/3/27 RL9交換</t>
  </si>
  <si>
    <t>RL14,RL19リレー不良</t>
  </si>
  <si>
    <t>2024/3/22 ﾘﾚｰ交換をFSSCへ依頼</t>
  </si>
  <si>
    <t>RL3,RL10リレー不良
 追加 RL6,RL9リレー不良</t>
  </si>
  <si>
    <t>2024/3/23 ﾘﾚｰ交換をFSSCへ依頼
 2024/3/28 リレー交換</t>
  </si>
  <si>
    <t>RL3,RL5,RL9リレー不良
 3/27:RL13リレー不良</t>
  </si>
  <si>
    <t>2024/3/24 ﾘﾚｰ交換をFSSCへ依頼
 2024/3/27 RL13交換実施</t>
  </si>
  <si>
    <t>R24016</t>
  </si>
  <si>
    <t>OUT3 6G-SDI SDIMTX受信エラー。CBはOK。ショートはNG</t>
  </si>
  <si>
    <t>2024/4/22 IC25リワーク実施、動作OK</t>
  </si>
  <si>
    <t>18850094
 18850159</t>
  </si>
  <si>
    <t>OUT4 SD-SDI SDIMTX受信エラー。6G OK。
 CBはOK。ショートはNG。ﾘｸﾛｯｸICの傾向不良？</t>
  </si>
  <si>
    <t>2024/4/22 IC26リワーク実施、動作OK</t>
  </si>
  <si>
    <t>IN7のSDI入力が出力しない
 RL7の動作不良</t>
  </si>
  <si>
    <t>SW15のLEDが点灯しない</t>
  </si>
  <si>
    <t>2024/3/21 SW15-5が断線している(パターン断)ジャンパー配線し、2課へ</t>
  </si>
  <si>
    <t>E08242</t>
  </si>
  <si>
    <t>IN9のRL9動作不良。</t>
  </si>
  <si>
    <t>2024/3/22 RL9交換実施、3課へ</t>
  </si>
  <si>
    <t>audio outにコネクタを篏合出来ない
 完全に差し込み出来ない
 熱の掛け過ぎか？</t>
  </si>
  <si>
    <t>2024/3/23 固くない、八木へ</t>
  </si>
  <si>
    <t>2024/3/23 部品交換実施</t>
  </si>
  <si>
    <t>BUSボタン23赤点灯せず</t>
  </si>
  <si>
    <t>2024/3/27 R53電極破損している</t>
  </si>
  <si>
    <t>R53</t>
  </si>
  <si>
    <t>R24308</t>
  </si>
  <si>
    <t>D4(LED)が破損</t>
  </si>
  <si>
    <t>2024/3/29 D4交換し、3課へ</t>
  </si>
  <si>
    <t>SW9がアンバー以外点灯しない</t>
  </si>
  <si>
    <t>2024/4/11 個別点灯に異常がないため、組直しで正常を確認。接触不良か？3課へ返却</t>
  </si>
  <si>
    <t>2024/4/1 C135交換</t>
  </si>
  <si>
    <t>R24279</t>
  </si>
  <si>
    <t>Analog Audio1,2のModeが切替わらない</t>
  </si>
  <si>
    <t>2024/4/1 RL1のコイル電圧が出ていない。Q1交換</t>
  </si>
  <si>
    <t>Q1</t>
  </si>
  <si>
    <t>LED3が破損している</t>
  </si>
  <si>
    <t>2024/4/2 基板の取り扱いか？
 2024/4/9 交換</t>
  </si>
  <si>
    <t>FUNCTION①LED点灯せず。</t>
  </si>
  <si>
    <t>2024/4/4 半田不良？
 2024/4/17 S33再半田 ⇒ 3課へ</t>
  </si>
  <si>
    <t>E04026-1</t>
  </si>
  <si>
    <t>3QF6TC014BSGX</t>
  </si>
  <si>
    <t>R24506</t>
  </si>
  <si>
    <t>MOSFETから先に電圧がいない。
 R7(150kΩ),RL15(0Ω)抵抗が割れている</t>
  </si>
  <si>
    <t>RL7,RL15交換で復帰</t>
  </si>
  <si>
    <t>E04334-1</t>
  </si>
  <si>
    <t>R7,R15</t>
  </si>
  <si>
    <t>3QDX6KQJG154(R7)
 3QDX6KQJA0R0(R15)</t>
  </si>
  <si>
    <t>PowerLED(緑)点灯せず。D69</t>
  </si>
  <si>
    <t>2024/4/17 D69交換</t>
  </si>
  <si>
    <t>D69</t>
  </si>
  <si>
    <t>FUNCTION②点灯せず。</t>
  </si>
  <si>
    <t>2024/4/17 S34再半田</t>
  </si>
  <si>
    <t>R24403</t>
  </si>
  <si>
    <t>D15,R64が破損している。
 基板取扱いが悪い</t>
  </si>
  <si>
    <t>2024/4/9 R34,D15交換し、3課へ</t>
  </si>
  <si>
    <t>D15、R64</t>
  </si>
  <si>
    <t>3QB21SS400T
 3QDX0CQC560</t>
  </si>
  <si>
    <t>IN18 SDI入力が表示されない。RL18動作不良</t>
  </si>
  <si>
    <t>2024/4/10 RL18交換し、3課へ</t>
  </si>
  <si>
    <t>LED赤点灯が暗い
 D33 ×3、D34×2、D35×3、計8枚</t>
  </si>
  <si>
    <t>2024/4/11 LED交換実施</t>
  </si>
  <si>
    <t>D33～D35</t>
  </si>
  <si>
    <t>LED赤点灯が暗い
 D1×4、D2×4、D3×3、計10枚</t>
  </si>
  <si>
    <t>D1～D3</t>
  </si>
  <si>
    <t>R23990</t>
  </si>
  <si>
    <t>IN3のリレーがｱﾅﾛｸﾞ信号側に切替われない</t>
  </si>
  <si>
    <t>2024/4/15 RL3交換
 仕掛週報C 残12/50</t>
  </si>
  <si>
    <t>時刻精度が規定外(遅い)</t>
  </si>
  <si>
    <t>2024/4/20 RTCの周波数偏差のため、部品交換実施</t>
  </si>
  <si>
    <t>R24301</t>
  </si>
  <si>
    <t>PS2側に通電してもOLEDが点灯しない</t>
  </si>
  <si>
    <t>2024/4/22 Q57(PS2_OK:+1.2V)、正常品は0.3V程度
 データシートよりVgsは4.5Vに対し、設計値は2V程度？
 動作している方が異常か？
 2024/4/23 定数変更にて対策(SW開発部より)</t>
  </si>
  <si>
    <t>E04970</t>
  </si>
  <si>
    <t>R492,R503</t>
  </si>
  <si>
    <t>3QDX6HQE1001</t>
  </si>
  <si>
    <t>FAN5アラーム発生</t>
  </si>
  <si>
    <t>2024/5/2 IC126-3,4ピンに半田ブリッジ有り。修正し完了</t>
  </si>
  <si>
    <t>R20924
 作番完了
 ⇒ R22409？</t>
  </si>
  <si>
    <t>SDI出力 ジッタ規格外</t>
  </si>
  <si>
    <t>2020/10/05 IC48 品番：3QA6Z5L1983QE、
 品名：LMH1983SQE/NOPBを出庫依頼。
 2020/10/12 MFGセンターへリワークを依頼。
 2020/10/26 MFGセンターよりリワーク品受取り。
 2020/10/28 動作確認してNG。
 2020/11/02 IC83 品番：3QA7Z2AGX1254、
 品名：EP2AGX125EF35C4Nを出庫依頼。
 2020/11/06 MFGセンターへリワークを依頼。
 2020/11/25 MFGセンターよりリワーク品を受取り。
 坂下Kへ動作確認を依頼。
 52期上期に廃棄完了（R22409 5式)</t>
  </si>
  <si>
    <t>R21246</t>
  </si>
  <si>
    <t>2019/10/07 品番：3QA7Z6VLX130T、
 品名：XC6VLX130T-1FFG1156Cを手配。（R21746にて）
 2019/12/09 XC6VLX130T-1FFG1156Cを入手。
 MFGセンターへリワーク依頼。
 20240613 ディスコン製品。R番全て無し。
 20240828 現品見当たらない為、項目完了とする。</t>
  </si>
  <si>
    <t>R22445
 (作番完了</t>
  </si>
  <si>
    <t>M/E_BASE CD</t>
  </si>
  <si>
    <t>2020/07/22 IC83 品番：3QJ0MPN12AD12、
 品名：MPN12AD12-TSを出庫依頼。
 2020/07/27 MFGセンターへリワーク依頼。
 2020/08/26 MFGセンターよりリワーク品受取り。
 2020/11/20 PLS開発 大場Kへ調査を依頼。
 2021/05/11 6月末までに目処をつける。目処がつかなければ
 廃棄とする。（大場Kより）
 20240828 作番完了しており現品もない為、項目完了。</t>
  </si>
  <si>
    <t>E04535-1</t>
  </si>
  <si>
    <t>2020/10/7
 他の作番から？</t>
  </si>
  <si>
    <t>R21805
 (作番完了)</t>
  </si>
  <si>
    <t>ME出力 緑（KEYERはでる。）
 内部信号も出ず。
 EYEパターンは出る。</t>
  </si>
  <si>
    <t>2020/11/20 PLS開発 大場Kへ調査を依頼。
 2021/05/11 6月末までに目処をつける。目処がつかなければ
 廃棄とする。（大場Kより）
 仕掛週報に無し。
 2024/2/9 作番完了(2020/9/30)
 20240828 作番完了しており現品もない為、項目完了。</t>
  </si>
  <si>
    <t>REF OUT変更できず。
 「B.B.」、「Tri」REBOOT後、
 変更可能。</t>
  </si>
  <si>
    <t>坂下Kへ調査を依頼。
 2021/01/08 SP開発 岡田KよりIC72 or IC76を交換するよう
 指示あり。
 IC72 品番：3QA6Z3A7321S、品名：ADV7321KSTZを
 出庫依頼。
 2021/01/20 小川Sへ動作確認を依頼。
 動作確認してNG。
 IC76 品番：3QA7Z3S2004、品名：XC3S200-4TQG144Cを
 手配。
 2021/02/04 石川Kへ交換を依頼。
 2021/02/08 小川Sへ動作確認を依頼。
 動作確認してNG。廃棄の方向で検討。
 20240828 作番完了しており現品もない為、項目完了。</t>
  </si>
  <si>
    <t>XC3S200-4TQG144C</t>
  </si>
  <si>
    <t>SDカード書込みできず。(M/E TOP)
 起動しない。</t>
  </si>
  <si>
    <t>2020/11/27 PLS開発 大場Kへ調査を依頼。
 2021/05/11 6月末までに目処をつける。目処がつかなければ
 廃棄とする。（大場Kより）
 仕掛週報に無し。
 2024/2/9 作番完了(2021/1/8)
 20240828 作番完了しており現品もない為、項目完了。</t>
  </si>
  <si>
    <t>MAIN CPU起動不良（20回に1回）</t>
  </si>
  <si>
    <t>2020/12/28 PLS開発 大場K調査中。
 現品は小川S預かり。
 2021/05/11 6月末までに目処をつける。目処がつかなければ
 廃棄とする。（大場Kより）
 RK作番。
 20240828 2作番不明で現品見当たらない為、仕掛修理履歴の項目を完了。</t>
  </si>
  <si>
    <t>R22949
 (ﾛｯﾄ完了)</t>
  </si>
  <si>
    <t>OU2_BUS18_CD
 E04401</t>
  </si>
  <si>
    <t>ﾎﾞﾀﾝ点灯、押下、OLED表示が異常</t>
  </si>
  <si>
    <t>2021/10/06 +3.0V_OLEDがGNDへｼｮｰﾄ
 2021/10/07 ﾊﾞｲﾊﾟｽｺﾝﾃﾞﾝｻがショート ｾﾝﾀｰへ修正依頼
 2021/10/13 改善を確認
 2021/10/15 CN1接触不良 ⇒ 部品出庫依頼
 2021/10/25 CN1交換依頼
 2021/11/02 2課へ引渡(組込後、動作確認)
 20240828 作番不明で現品見当たらない為、仕掛修理履歴の項目を完了。</t>
  </si>
  <si>
    <t>R23211
 R23040</t>
  </si>
  <si>
    <t>HVS-492OU
 HVS-490</t>
  </si>
  <si>
    <t>OU_CPU
 MU_CPU</t>
  </si>
  <si>
    <t>MUとの通信が不定期に遮断/接続が発生する。</t>
  </si>
  <si>
    <t>2021/12/10 PLS開発部 岡田課長へ調査依頼(現品引渡)
 2021/12/16 中間報告 PLS作業場では再現しない？
 ※ PLS開発部からの説明
 別の対策した新Verのｿﾌﾄで現象再現しなくなった？？
 ので、石川Kが出荷へ
 20240828 他のシリアルで出荷済み？仕掛修理履歴の項目を完了へ移動。</t>
  </si>
  <si>
    <t>R23241
 R23040</t>
  </si>
  <si>
    <t>HVS-492WOU
 HVS-490</t>
  </si>
  <si>
    <t>MUとの通信が不定期に遮断/接続が発生する</t>
  </si>
  <si>
    <t>253項と同じ現象
 2021/12/10 PLS開発部 岡田課長へ調査依頼(現品引渡)
 2021/12/16 中間報告 PLS作業場では再現しない？
 ※ PLS開発部からの説明
 別の対策した新Verのｿﾌﾄで現象再現しなくなった？？
 ので、石川Kが出荷へ
 20240828 他のシリアルで出荷済み？仕掛修理履歴の項目を完了へ移動。</t>
  </si>
  <si>
    <t>12G-SDIフォーマット時に映像が緑画面となる</t>
  </si>
  <si>
    <t>2022/4/26 PLS開発部(大場、近藤)へ問合せ中
 2022/6/16 IC35部品浮き？ 出庫依頼
 2023/2/21 リワーク依頼 → 改善せず？
 2024/5/31 不良棚に有り
 仕掛週報D 残1/20
 20240828 廃棄確定リストへ計上済み</t>
  </si>
  <si>
    <t>E04608-1</t>
  </si>
  <si>
    <t>IC35</t>
  </si>
  <si>
    <t>2022/8/3 入出力のGNDへのショートは無し
 仕掛週報D 残15/50
 2024/6/4 リワーク後の動作確認完了</t>
  </si>
  <si>
    <t>R23377</t>
  </si>
  <si>
    <t>STILL機能：キャプチャが黒画面となり、ロードは出来る</t>
  </si>
  <si>
    <t>2022/8/4 岡田さんに相談の依頼
 仕掛週報に無し。
 2024/2/13 作番完了(2023/3/28)
 2024/7/18 MU_CPU基板のみ不良棚に在り。他作番より振替か？</t>
  </si>
  <si>
    <t>R23377
 作番完了</t>
  </si>
  <si>
    <t>370と同じ現象
 仕掛週報に無し。
 2024/7/18 MU_CPU基板のみ不良棚に在り。他作番より振替か？
 20240828 作番不明で現品見当たらない為、仕掛修理履歴の項目を完了。</t>
  </si>
  <si>
    <t>R23941</t>
  </si>
  <si>
    <t>温まるとKEY4(Key)にCRCｴﾗｰ発生</t>
  </si>
  <si>
    <t>2023/5/16 他の号機でも発生した？
 仕掛週報D 残1/10
 20240828 入庫済（2024/5/15）DSK-400の傾向不良です。近くのレギュレータが温まると発生するようです。新しいケーブルと特性の良い測定器で合格（小川)</t>
  </si>
  <si>
    <t>R23565</t>
  </si>
  <si>
    <t>2023/6/15 部品手配されていなかった？
 2023/8/29 部品手配表の発行
 2024/6/14 リワークの結果、要確認？
 2024/6/25 入庫完了
 仕掛週報D 残2/30</t>
  </si>
  <si>
    <t>3QAAPM9949</t>
  </si>
  <si>
    <t>R23708</t>
  </si>
  <si>
    <t>STILLｷｬﾌﾟﾁｬｰ、2回目が出来ない。
 Reset、電源再起動すると可能になる。画像ﾌｧｲﾙのLoadはOK</t>
  </si>
  <si>
    <t>2023/7/4 SW開発部に報告、現象確認いただいた。
 仕掛週報D 残5/50
 20240621 時刻設定で解消 同R番で入庫した模様</t>
  </si>
  <si>
    <t>1924010~12</t>
  </si>
  <si>
    <t>仕掛週報D 残5/50
 20240621 時刻設定で解消 同R番で入庫した模様</t>
  </si>
  <si>
    <t>M/E CARD</t>
  </si>
  <si>
    <t>DSK出力が色反転繰返す。Wipeは問題無し</t>
  </si>
  <si>
    <t>2023/8/10 SW開発部へ調査依頼
 仕掛週報に無し。
 2024/2/13 作番完了。(2023/10/16) 不具合対策版データリリースにより完了(2024/8/5)小川</t>
  </si>
  <si>
    <t>SW10 緑点灯せず</t>
  </si>
  <si>
    <t>2023/8/14 SW10の3-5ピンが短絡。取外し予定
 2024/5/29 パターンカット、ジャンパー接続で復帰
 仕掛週報D 残5/50</t>
  </si>
  <si>
    <t>R23961</t>
  </si>
  <si>
    <t>HVS-3355OUA</t>
  </si>
  <si>
    <t>CN1 73-74ピン、91-92ピンが半田ショート
 計5枚に発生</t>
  </si>
  <si>
    <t>2023/8/15 MFGセンターへ修正依頼予定
 仕掛週報に無し。OUからOUAへ引当？
 2024/2/13 作番完了。(2023/10/10)</t>
  </si>
  <si>
    <t>E04452</t>
  </si>
  <si>
    <t>3QG3F2100SV</t>
  </si>
  <si>
    <t>TPU</t>
  </si>
  <si>
    <t>TPUの操作ボタンを押下すると、押された状態のまま元に戻らない個所がある</t>
  </si>
  <si>
    <t>2023/8/31 石川テレビ放送向けの立検場で発生
 基材引取りし、修正して返却済
  次回出荷より、作業手順を見直しする
 仕掛週報に無し。
 2024/2/13 作番完了。(2023/7/25)</t>
  </si>
  <si>
    <t>R24063</t>
  </si>
  <si>
    <t>起動するがEyeﾊﾟﾀｰﾝ出力無し</t>
  </si>
  <si>
    <t>仕掛週報に無し。
 2024/2/13 作番完了。(2023/11/9)
 20240828 作番完了して現品見当たらない為、項目削除。</t>
  </si>
  <si>
    <t>R23711</t>
  </si>
  <si>
    <t>MaicroSDより書込み不可</t>
  </si>
  <si>
    <t>2023/11/23 下側の基板がNG？
 仕掛週報C 残1/30
 2024/6/24 開発指示で改造・ジャンパーの確認し問題見つからず。
  2024/7/9 電源ON/OFF5回で起動した。その後正常起動する  2024/7/23 HVS-490 A/Bスロット起動確認
 出荷済み 24/7/26</t>
  </si>
  <si>
    <t>R24084 ⇒ R24298
 作番完了</t>
  </si>
  <si>
    <t>起動不良
 +1.8V出力無し？</t>
  </si>
  <si>
    <t>2024/4/18 3月入庫の為、R24298より基板借用
 仕掛週報B 残21/50
 20240619 20240404に開発引渡し済み(小川情報)
  20240520リワーク後OK(小川情報)
 20240621 出荷済 HVS-190S MAIN不良管理表_管理番号１</t>
  </si>
  <si>
    <t>DIMMコネクタ破損</t>
  </si>
  <si>
    <t>2024/5/7 CN9の154ピンが曲がっている、部品出庫依頼。
 2024/6/21 部品交換(リワーク)受取。2課へ</t>
  </si>
  <si>
    <t>3QG6CN112S12</t>
  </si>
  <si>
    <t>microSDから起動出来ず。IC102(DC/DC)の抵抗値が低い</t>
  </si>
  <si>
    <t>2024/5/30 開発と相談し、IC102(DC/DC)、IC82をリワークする
 2024/6/3 部品出庫依頼
 20240624 木曜日にリワーク出し予定。
 20240722 動作確認OK。</t>
  </si>
  <si>
    <t>○ 7/22</t>
  </si>
  <si>
    <t>AUX8(OUT)のEyeレベル500ｍV？</t>
  </si>
  <si>
    <t>2024/5/24 L13が破損している。基板全体が汚れている？
 交換し２課へ</t>
  </si>
  <si>
    <t>E04153</t>
  </si>
  <si>
    <t>L13</t>
  </si>
  <si>
    <t>3QE2MHQ3N3B</t>
  </si>
  <si>
    <t>OU2＿BUS18</t>
  </si>
  <si>
    <t>SW6、SW137が正常に点灯しない</t>
  </si>
  <si>
    <t>2024/6/4 LEDの制限抵抗が無い？
 2024/6/12 R28,R323実装、2課へ 2024/6/28 F5310156 単品出荷へ使用</t>
  </si>
  <si>
    <t>R28
 R323</t>
  </si>
  <si>
    <t>R24498</t>
  </si>
  <si>
    <t>MAIN/OPT IF</t>
  </si>
  <si>
    <t>組配後に電源投入したらFケーブルが焼損した。Opt基板に半田ボール？</t>
  </si>
  <si>
    <t>2024/6/11 部品出庫依頼
 2024/7/17 部品交換完了し、受取
 2024/8/2 Main基板の動作確認完了、2課へ</t>
  </si>
  <si>
    <t>GenlockのVer表示NG、時刻設定が不可</t>
  </si>
  <si>
    <t>2024/6/11 データ書換実施したが改善せず
 2024/8/2 RTC-CLKレベルが低い(１V以下)。R831交換し改善、3課へ</t>
  </si>
  <si>
    <t>3QDX0CQE102</t>
  </si>
  <si>
    <t>R24250</t>
  </si>
  <si>
    <t>LCD9に縦線ノイズ</t>
  </si>
  <si>
    <t>2024/6/17 MFGセンターへ取外し依頼
 2024/7/17 部品交換し、3課へ</t>
  </si>
  <si>
    <t>R24086</t>
  </si>
  <si>
    <t>μSDより書き込み不可 LAN_LED点滅→点灯のまま</t>
  </si>
  <si>
    <t>24/6/24 開発指示で改造・ジャンパーの確認。筐体組立後、書込みOKとなった。 2024/7/23 HVS-490 A/Bスロット起動確認</t>
  </si>
  <si>
    <t>R24387</t>
  </si>
  <si>
    <t>SDI_OUT</t>
  </si>
  <si>
    <t>Q9が破損、コレクタのパット無し</t>
  </si>
  <si>
    <t>2024/6/27 部品交換、パターン修正</t>
  </si>
  <si>
    <t>Q9</t>
  </si>
  <si>
    <t>3QB0DTC114T</t>
  </si>
  <si>
    <t>Q15が破損、パットが損傷</t>
  </si>
  <si>
    <t>Q15</t>
  </si>
  <si>
    <t>R22684
 作番完了</t>
  </si>
  <si>
    <t>AUXOUT</t>
  </si>
  <si>
    <t>μSDカードよりダウンロードできない</t>
  </si>
  <si>
    <t>2022/5/2 IC141(+5V)出力は正常
 IC80(+1.5V_DDR3)がGNDへショート。部品出庫依頼
 2022/5/17 部品入手、リワーク依頼
 2022/10/12 IC80のショート現象は改善、"+3.3V_USB"がGNDへショート、CPU部品手配
 仕掛週報に無し。
 2024/2/9 作番完了(2022/5/26)
 2024/5/31 現品は不良棚に有り。他基板流用し入庫完。</t>
  </si>
  <si>
    <t>E04534-1</t>
  </si>
  <si>
    <t>IC80 ⇒ IC73</t>
  </si>
  <si>
    <t>3QA6Z965910A3
 3QA8CAM335280</t>
  </si>
  <si>
    <t>R23413
 作番完了</t>
  </si>
  <si>
    <t>AUX_OUT</t>
  </si>
  <si>
    <t>ローカルのCPU起動しない</t>
  </si>
  <si>
    <t>2022/10/14 IC134(+2.5V)の出力無し
 仕掛週報に無し
 2024/2/13 作番完了(2022/10/25)
 2024/5/31 現品は不良棚に有り。(小川さん使用中)</t>
  </si>
  <si>
    <t>IC134</t>
  </si>
  <si>
    <t>M/E_BASE</t>
  </si>
  <si>
    <t>検査中にファンが不安定になり、その後起動しなくなった</t>
  </si>
  <si>
    <t>2022/10/21 +1.8V＿KU？前日までは問題なかった。
 仕掛週報に無し。
 2024/2/13 作番完了(2022/10/25)
 2024/5/31 現品は不良棚に有り。(小川さん使用中)</t>
  </si>
  <si>
    <t>IC76？</t>
  </si>
  <si>
    <t>暫く不安定な動作していたが、起動しなくなった</t>
  </si>
  <si>
    <t>2022/10/14 IC93、IC94の出力がGNDへ短絡
 仕掛週報に無し。
 2024/2/13 作番完了(2022/10/25)
 2024/5/30 IC63(FPGA)、IC92,IC93,94(DC/DC)を取外し、短絡状況を確認する。IC63が破損か？
 20240624 木曜日にリワーク出し予定。
 2024/7/12 部品取外し完了(リワーク上がり) 2024/7/22 IC94外したが +3.3V～GNDショート(0.9Ω)
 20241004 作番完了の為、他の作番として廃棄処理</t>
  </si>
  <si>
    <t>IC93、IC94</t>
  </si>
  <si>
    <t>R24063
 作番完了</t>
  </si>
  <si>
    <t>12G-SDI,6G-SDIでFPGAの温度が+95℃を超える。
 AUX OUTでM/E、STILLを取るとノイズが発生する</t>
  </si>
  <si>
    <t>仕掛週報に無し。
 2024/2/13 作番完了。(2023/11/9)
 2024/5/30 開発と相談し、IC63(FPGA)、IC93,94(DC/DC)を取外し、短絡状態を確認する。
 20240624 木曜日にリワーク出し予定。
 2024/7/19 部品取外し完了(IC63,93,94) 2024/7/22 IC94外したが +3.3V～GNDショート(0.9Ω)
 20241004 作番完了の為、他の作番として廃棄処理</t>
  </si>
  <si>
    <t>R22829
 作番完了</t>
  </si>
  <si>
    <t>IC75 出力 GNDショート
 デモ機より借用し出荷対応？
 IC79焼損</t>
  </si>
  <si>
    <t>2020/12/24 PLS開発 大場Kへ調査を依頼。
 2021/05/11 6月末までに目処をつける。目処がつかなければ廃棄とする。（大場Kより）
 仕掛週報に無し。
 2024/2/9 作番完了(2021/1/8)
 2024/5/31 現品は不良棚に有り。他基板流用し入庫完。</t>
  </si>
  <si>
    <t>IC75</t>
  </si>
  <si>
    <t>R*****</t>
  </si>
  <si>
    <t>IC94がGNDへ短絡している</t>
  </si>
  <si>
    <t>2024/8/8 製番(シリアル)が不明状態
 20241004 作番不明の為、他の作番として廃棄処理</t>
  </si>
  <si>
    <t>E04542</t>
  </si>
  <si>
    <t>IC94</t>
  </si>
  <si>
    <t>8系統の全SDI出力無し</t>
  </si>
  <si>
    <t>2022/10/13 ｿﾌﾄは起動している？
 仕掛週報に無し。
 2024/2/13 作番完了(2022/10/25)
 2024/5/31 現品は不良棚に有り。他基板流用し入庫完。</t>
  </si>
  <si>
    <t>R23633
 作番完了</t>
  </si>
  <si>
    <t>IN3の映像が出力しない</t>
  </si>
  <si>
    <t>仕掛週報に無し。
 2024/2/13 作番完了(2023/4/13)
 2024/5/31 現品不良棚に有り。</t>
  </si>
  <si>
    <t>R23294
 作番完了</t>
  </si>
  <si>
    <t>MVﾀｲﾄﾙ表示せず。MVｵﾌﾟｼｮﾝ側も表示しない。</t>
  </si>
  <si>
    <t>20241004 作番完了の為、他の作番として廃棄処理</t>
  </si>
  <si>
    <t>IN3の映像にﾉｲｽﾞ発生する。</t>
  </si>
  <si>
    <t>2023/2/3 映像ﾌｫｰﾏｯﾄに依存は無く、MV表示は問題無し。IC52を温めるとﾉｲｽﾞが出る
 仕掛週報に無し。
 2024/2/13 作番完了(2023/4/13)
 2024/5/31 現品不良棚に有り。</t>
  </si>
  <si>
    <t>IC52？</t>
  </si>
  <si>
    <t>M/E2 DVE ONでﾉｲｽﾞ発生する。
 M/E、KEYすべてに発生する。</t>
  </si>
  <si>
    <t>(R19705)
 作番完了</t>
  </si>
  <si>
    <t>GUIで｢V-RAMｴﾗｰ｣表示
 STILL動作不可</t>
  </si>
  <si>
    <t>2021/12/8 旧版基板のため、修理費が高額になる場合は要確認
 2021/12/10 他作番より基板引き当てしR19705は入庫完
 仕掛週報に無し。
 2024/5/31 現品不良棚に有り。</t>
  </si>
  <si>
    <t>R24047
 作番完了</t>
  </si>
  <si>
    <t>過去にDLしたデータで立ち上がったが不安定。そのうち動作しなくなり起動もしなくなった。</t>
  </si>
  <si>
    <t>R21242</t>
  </si>
  <si>
    <t>HVS-100TB2</t>
  </si>
  <si>
    <t>TBT2 IF CARD</t>
  </si>
  <si>
    <t>小川
 棚A1</t>
  </si>
  <si>
    <t>調整用アプリ
 「Read CH1/2」エラーダイアログ</t>
  </si>
  <si>
    <t>仕掛週報D 残1/5台 引合無し
 20240613 現品有。
 ディスコン製品
 20240828 開発確認して廃棄。</t>
  </si>
  <si>
    <t>調整検査中にIC107が焼損した</t>
  </si>
  <si>
    <t>2023/7/11 Redmine＃23670
 仕掛週報D 残5/50
 20240621 不良棚 パット破損あり 廃棄か？
 20241004 廃棄</t>
  </si>
  <si>
    <t>HDMI OUT 出ず。
 電源のOFF/ONで改善した。</t>
  </si>
  <si>
    <t>様子見とする
 仕掛週報D 残5/50
 20240621 不良棚
 20241004 廃棄</t>
  </si>
  <si>
    <t>調整検査後に起動不良が発生した。</t>
  </si>
  <si>
    <t>SW開発部へ相談したところ出荷不可
 開発調査 症状再現せず
 仕掛週報D 残5/50
 20240621 不良棚
 20241004 廃棄</t>
  </si>
  <si>
    <t>調整検査中のReboot後に起動不良</t>
  </si>
  <si>
    <t>R23771</t>
  </si>
  <si>
    <t>24Hヒートラン後に起動せず
 IC73のOUT-GND間の抵抗値が小</t>
  </si>
  <si>
    <t>仕掛週報D 残5/50
 20241004 廃棄</t>
  </si>
  <si>
    <t>AUX1出力にCRCエラー発生</t>
  </si>
  <si>
    <t>ME1出力せず、ME2出力にノイズ
 AUX1~２出力にノイズ</t>
  </si>
  <si>
    <t>仕掛週報D 残5/50</t>
  </si>
  <si>
    <t>ﾌｫｰﾏｯﾄ変更後にDC/DCの出力がGNDへｼｮｰﾄした
 IC68：+1.0V,IC70：+2.5V,IC71：+1.5V</t>
  </si>
  <si>
    <t>2023/11/16 ｼｮｰﾄしたDC/DCよりIC35が破損？
 仕掛週報D 残5/50
 20241004 廃棄</t>
  </si>
  <si>
    <t>IC68：3QA62L4676AEY
 IC70：3QJ0MPN12AD12
 IC71：3QJ0MPN12AD12</t>
  </si>
  <si>
    <t>Format変更後のRebootでDC/DCがGNDへｼｮｰﾄした
 IC68：+1.0V,IC70：+2.5V,IC73：+1.2V</t>
  </si>
  <si>
    <t>IC68：3QA62L4676AEY
 IC70：3QJ0MPN12AD12
 IC73：3QJ0MPN12AD20</t>
  </si>
  <si>
    <t>R24051
 R23896</t>
  </si>
  <si>
    <t>仕掛週報に無し。
 20241004 廃棄</t>
  </si>
  <si>
    <t>R24003</t>
  </si>
  <si>
    <t>出力せず。(Eyeﾊﾟﾀｰﾝ無し)
 IC73(+1.2V) ⇒ 0.5V</t>
  </si>
  <si>
    <t>仕掛週報D 残2/70
 20241004 廃棄</t>
  </si>
  <si>
    <t>IC69が壊れている</t>
  </si>
  <si>
    <t>2024/1/30 製造責任
 仕掛週報D 残2/70
 20241004 廃棄</t>
  </si>
  <si>
    <t>R24051</t>
  </si>
  <si>
    <t>IN5 ﾊﾟｿﾛｼﾞ信号入力でｴﾗｰ発生
 横引ﾉｲｽﾞ有り。ｼｮｰﾄｹｰﾌﾞﾙで発生</t>
  </si>
  <si>
    <t>2023/12/15 IC103リワーク完了
 2024/7/29 検査基準の見直し、設定変更により改善可能性有り。2課へ引渡の予定。
 仕掛週報 C 4/40
 20241004 廃棄</t>
  </si>
  <si>
    <t>IC103？</t>
  </si>
  <si>
    <t>R24083</t>
  </si>
  <si>
    <t>調整検査中にHDMI出力(720/50p)がされなくなった</t>
  </si>
  <si>
    <t>仕掛週報C 残3/50
 2024/4/1 50回電源入切り、再現せず
 2024/4/12 1080/59.94P と 720/50Pで発生
 720/59.94Pへ変更したら起動しなくなった。電源 再投入にて復帰 (石黒)
 20241004 廃棄</t>
  </si>
  <si>
    <t>IC124不良（0.9Vしかいない。2.5Vが
 正常。）</t>
  </si>
  <si>
    <t>2020/12/16 IC124 品番：3QA6Z9LXDC55、
 品名：LXDC55KAAA-205を出庫依頼。
 2020/12/17 MFGセンターへリワークを依頼。
 2021/01/13 MFGセンターよりリワーク品を受取り。
 2021/01/18 齋藤さんへ動作確認を依頼。
 2021/01/19 動作確認してNG。
 関連するICが多数あるため、廃棄の方向で検討。
 20240828 開発確認し、廃棄方針。</t>
  </si>
  <si>
    <t>IC124</t>
  </si>
  <si>
    <t>3QA6Z9LXDC55</t>
  </si>
  <si>
    <t>STILLキャプチャ、ロードできない。
 一度リワークした基板（STILL関係）</t>
  </si>
  <si>
    <t>2022/5/13 PLS開発部へ調査依頼？
 仕掛週報D 残3/20
 20241004 廃棄</t>
  </si>
  <si>
    <t>R23237</t>
  </si>
  <si>
    <t>μSDより起動せず</t>
  </si>
  <si>
    <t>2022/10/17 IC82？  2024/7/22 IC102(DC/DC) ～GND 抵抗値10Ω(良品KΩ)
 2024/8/1 部品出庫依頼(３QJ0MNP12AD20)
 仕掛週報D 残1/5
 20240826 木曜日にリワーク出し予定。
 20240913 動作確認してNG。廃棄の方針。</t>
  </si>
  <si>
    <t>IC102</t>
  </si>
  <si>
    <t>R23358</t>
  </si>
  <si>
    <t>HDDへアクセスできない。画像取り込み等</t>
  </si>
  <si>
    <t>2022/9/6 PCに接続すると不良DISKと表示される。
 部品出庫依頼
 2022/9/8 HDDの出庫品受取し、Setup完了
 仕掛週報D 残2/10
 20241004 廃棄</t>
  </si>
  <si>
    <t>IC68(DC/DC)出力しない。
 →交換した。</t>
  </si>
  <si>
    <t>2024/6/5 IC68ﾘﾜｰｸ後、バージョン確認出来たが、FS_ONでIN1-12出力が黒、IN14-16出力が緑になる。
 20240626 開発から確認箇所の指示あり。
 20241004 廃棄</t>
  </si>
  <si>
    <t>基板起動せず。IC73出力無し</t>
  </si>
  <si>
    <t>2022/9/27 基板内の電源ｼｰｹﾝｽ調査中に正常起動した
 様子見とする。
 仕掛週報D 残15/50</t>
  </si>
  <si>
    <t>ボタン点灯不良</t>
  </si>
  <si>
    <t>2023/7/31 IC交換
 仕掛週報D 残2/20</t>
  </si>
  <si>
    <t>2023/7/31 IC交換
 仕掛週報D 残2/20
 20241004 廃棄</t>
  </si>
  <si>
    <t>R23603</t>
  </si>
  <si>
    <t>偶にStillｷｬﾌﾟﾁｬｰ出来ない</t>
  </si>
  <si>
    <t>2023/4/17 部品出庫依頼
 2024/7/17 XPT_ICの交換で復帰可能性有り。
 仕掛週報D 残2/10
 20241004 廃棄</t>
  </si>
  <si>
    <t>IC76-IC78</t>
  </si>
  <si>
    <t>HVS-490へ転用
 EMMCﾌｫｰﾏｯﾄ後に正常起動せず
 MACｱﾄﾞﾚｽ、Flash書込み不可</t>
  </si>
  <si>
    <t>2023/3/31 MU SOFTは書込み可、MU HARDは不可
 Flashﾒﾓﾘのｲﾚｰｽｴﾗｰ表示が出る
 仕掛週報D 残2/10
 20241004 廃棄</t>
  </si>
  <si>
    <t>R20234
 作番完了</t>
  </si>
  <si>
    <t>ee</t>
  </si>
  <si>
    <t>カラーバー出ない。
 レイアウトの枠は出る。</t>
  </si>
  <si>
    <t>2021/3/2 坂下Kへ調査を依頼。
 2024/5/31 DVI出力ICが無い？石川課長か
 2024/6/5 現品あるが他R番の仕掛残は足りているので、おそらく廃棄処理品。</t>
  </si>
  <si>
    <t>R20934
 作番完了</t>
  </si>
  <si>
    <t>起動中のロゴは表示されるが、
 その後表示が乱れる。
 IF、フロント変えても同様</t>
  </si>
  <si>
    <t>2021/2/12 受け入れ完了。</t>
  </si>
  <si>
    <t>QSPI・通常モード共にコンフィグ
 しない。
 （電源ON/OFF・リセットボタンを
 押すとまれにコンフィグする時も
 ある。）</t>
  </si>
  <si>
    <t>R21349
 作番完了</t>
  </si>
  <si>
    <t>S248 出力せず。</t>
  </si>
  <si>
    <t>R21388
 作番完了</t>
  </si>
  <si>
    <t>LAN 1/2(192.168.0.10)、
 LAN A(172.16.0.10)共に通信しない。
 HUB(192.0.2.1)は通信OK。</t>
  </si>
  <si>
    <t>20240613 ディスコン製品の為、修理せず。</t>
  </si>
  <si>
    <t>R21355
 作番完了</t>
  </si>
  <si>
    <t>高野
 棚A1</t>
  </si>
  <si>
    <t>組み込むと本体が起動しなくなる。
 FA-9600表示から進まない。
 +3.3VA、+3.3VB、+3.3VC、+3.3VD、
 +3.5V、+3.3V、+1.8V、+12V
 すべて正常</t>
  </si>
  <si>
    <t>20240613 現品調査中。</t>
  </si>
  <si>
    <t>OUT1a 全フォーマットNG
 バイパスもNG
 出力が乱れる
 他出力、IN1、2 問題なし
 2020/11/24 OUT1a、1b共に稀に
 ジッタ値がオーバーする時がある。
 例：12G稀に8UI以上に。</t>
  </si>
  <si>
    <t>2020/10/14 IC43 品番：3QA6ZL1218RTW、
 品名：LMH1218RTWTを出庫依頼。
 2020/10/29 MFGセンターへリワークを依頼。
 2020/11/17 MFGセンターよりリワーク品を受取り。
 岡野EXへ動作確認を依頼。
 2020/11/24 動作確認してNG。
 2020/11/27 岡野EXへ調査を依頼。
 2020/12/14 坂下Kへ調査を依頼。</t>
  </si>
  <si>
    <t>R20990
 作番完了</t>
  </si>
  <si>
    <t>MFC-2GB</t>
  </si>
  <si>
    <t>12G→2SI、12G-SQD 2A認識しない。
 GB基板へのパスは問題なし。
 ⇒12G→2SI 12Gロング 2B、2C以外
 認識せず。(5.5 70m)</t>
  </si>
  <si>
    <t>2020/12/14 SP開発 石井（貴）さんへメールにて調査を依頼。
 2021/01/13 SP開発 石井（貴）さんへ現品引き渡し。
 （1月中を目途。）
 2021/05/17 引き続き開発にて調査中。（田口さんに確認。）
 20240613 現品調査中。製造にはないはず。</t>
  </si>
  <si>
    <t>L61 通電したら破損。
 IC134 ショートしている。(12V側）</t>
  </si>
  <si>
    <t>2020/10/27 IC134 品番：3QJ0BK2130LQI、
 品名：EM2130L01QIを出庫依頼。
 2020/10/30 MFGセンターへリワークを依頼。
 2020/11/17 MFGセンターよりリワーク品を受取り。
 岡野EXへ動作確認を依頼。
 2020/11/18 坂下Kへ削除した部品の取り付けを依頼。
 坂下Kにより調査中。</t>
  </si>
  <si>
    <t>R22037
 作番完了</t>
  </si>
  <si>
    <t>USF-105FS-12G
 （拡販製品）</t>
  </si>
  <si>
    <t>SDフォーマットのみ OUTchから
 出力しない（12G、3G、HD OK）
 IO1～4はSDフォーマット正常</t>
  </si>
  <si>
    <t>2022/1/31 IC1(LMH1218) ＠2.349、製品単価:@16,600
 ﾘﾜｰｸ費用を入れると原価の6割に相当
 20240613 現品確認。無いはず。
 20241004 廃棄して作番完了</t>
  </si>
  <si>
    <t>E04750</t>
  </si>
  <si>
    <t>R21997
 作番完了</t>
  </si>
  <si>
    <t>映像出力 NG</t>
  </si>
  <si>
    <t>2021/01/19 IC20 品番：3QA7Z1AGX90F6、
 品名：EP1AGX90EF1152C6Nを出庫依頼。
 2021/02/01 MFGセンターへリワークを依頼。
 2021/02/18 MFGセンターよりリワーク品を受取り。
 2021/02/19 坂下Kへ動作確認を依頼。
 2021/02/25 動作確認してNG。
 IC8 品番：3QA6ZMSM7652、品名：MSM7652G3-2Kを
 出庫依頼。
 2021/05/11 石川Kへ交換を依頼。
 2021/05/12 坂下Kへ動作確認を依頼。
 2024/6/5 ロット完了(2020/4)
 20240613 現品調査。廃棄しているはず。</t>
  </si>
  <si>
    <t>E03669-2</t>
  </si>
  <si>
    <t>IC8</t>
  </si>
  <si>
    <t>3QA6ZMSM7652</t>
  </si>
  <si>
    <t>坂下
 棚B2</t>
  </si>
  <si>
    <t>R21851
 作番完了</t>
  </si>
  <si>
    <t>T701 パッド破損</t>
  </si>
  <si>
    <t>2020/10/19 T701 品番：3QE2ALT32M151、
 品名：ALT3232M-151-T001を出庫依頼。
 2020/10/22 ALT3232M-151-T001を入手。
 パッド破損のため、廃棄の方向で検討。
 20240613 現品確認。玉突きの可能性有り。</t>
  </si>
  <si>
    <t>R22294
 作番完了</t>
  </si>
  <si>
    <t>DST32でエラー。</t>
  </si>
  <si>
    <t>（2021/01/06 不良棚に有り。）</t>
  </si>
  <si>
    <t>R22292
 作番完了</t>
  </si>
  <si>
    <t>XPTが切り替えられない。</t>
  </si>
  <si>
    <t>仕掛週報 D 残1/30
 20241004 廃棄して作番完了</t>
  </si>
  <si>
    <t>R22471
 作番完了</t>
  </si>
  <si>
    <t>起動しない。
 IC134の実装向きが逆。L61焼損。</t>
  </si>
  <si>
    <t>2020/06/10 MFGセンターへ修正依頼。
 2020/06/22 MFGセンターより修正品受取り。
 2020/07/10 動作確認してNG。（電源ショートにより重傷。）</t>
  </si>
  <si>
    <t>IC134
 L61</t>
  </si>
  <si>
    <t>R21809
 作番完了</t>
  </si>
  <si>
    <t>GENLOCK信号を入力すると、
 映像信号が出力しなくなる。
 （無入力時、INPUT LOCK時は、
 映像が出力する。）</t>
  </si>
  <si>
    <t>2022/4/28 外観、回路図確認
 モジュール基板のため組込確認必要
 仕掛週報D 残5/200
 20241004 廃棄して作番完了</t>
  </si>
  <si>
    <t>R22093
 作番完了</t>
  </si>
  <si>
    <t>192.168.0.10系統が通信しない。
 172.16.0.10の通信はOK</t>
  </si>
  <si>
    <t>仕掛週報D 残13/30
 20241004 廃棄して作番完了</t>
  </si>
  <si>
    <t>R21865
 作番完了</t>
  </si>
  <si>
    <t>IC1破損</t>
  </si>
  <si>
    <t>2020/06/11 IC1 品番：3QJ0AP003A0X、
 品名：APTS003A0X-SRZを出庫依頼。
 2020/06/15 MFGセンターへリワーク依頼。
 2020/06/26 MFGセンターよりリワーク品受取り。
 2021/06/07 RS開発部 田口さんへ動作確認を依頼。
 2021/07/29 動作確認してOK。
 石川Kへ変通対応、板金対応を依頼。
 仕掛週報D 残1/20</t>
  </si>
  <si>
    <t>APTS003A0X-SRZ</t>
  </si>
  <si>
    <t>R22441</t>
  </si>
  <si>
    <t>MFR-61CPU</t>
  </si>
  <si>
    <t>CPUの起動が正常に行えない。
 （ハングアップする。）
 D1、D5点灯 他消灯
 元5号機</t>
  </si>
  <si>
    <t>2020/10/28 SP開発部 大木さんへ調査を依頼。
 2021/02/16 一旦製造3課へ返却。（不良棚へ。改造待ち。）
 仕掛週報C 残1/40 注残4</t>
  </si>
  <si>
    <t>GENLOCK BBを認識しない時が
 ある。
 10回に1回くらい。3値はOK。</t>
  </si>
  <si>
    <t>坂下Kへ調査を依頼。</t>
  </si>
  <si>
    <t>2020/11/20 プルアップ改造実施。
 2課へ組配を依頼。
 2024/6/5 廃棄完了(2022/3)</t>
  </si>
  <si>
    <t>⑤</t>
  </si>
  <si>
    <t>R22620
 作番完了</t>
  </si>
  <si>
    <t>FTPでデータを送れない。Ver. Up不可
 火入れ→SDカードをやり直ししても
 改善せず。
 元MFR-4000 S/N 16950002の基板
 シリアル変更予定</t>
  </si>
  <si>
    <t>2020/09/12 SP開発部 岡田課長へ調査を依頼。
 坂下Kへ引き渡し。
 仕掛週報に無し。
 2024/2/9 作番完了(20201/3/15)</t>
  </si>
  <si>
    <t>起動せず。
 各電源電圧はOK。
 Cyclone CONFIGされず</t>
  </si>
  <si>
    <t>2021/05/26 IC109 品番：3QA62T512DRCT、
 品名：TPS51200DRCRを出庫依頼。
 2021/07/01 MFGセンターへリワークを依頼。
 2021/07/21 MFGセンターよりリワーク品を受取り。
 岡野EXへ動作確認を依頼。
 ⇒ 改善せず</t>
  </si>
  <si>
    <t>IC109</t>
  </si>
  <si>
    <t>3QA62T512DRCT</t>
  </si>
  <si>
    <t>R22418
 作番完了</t>
  </si>
  <si>
    <t>20枚</t>
  </si>
  <si>
    <t>OUT2 ジッタNG</t>
  </si>
  <si>
    <t>2020/11/05 2台を特採対応。
 2020/11/16 1台を特採対応。
 2020/11/24 1台を特採対応。
 2020/11/25 1台を特採対応。
 2020/11/27 2台を特採対応。
 2020/12/08 8台を特採対応。
 2021/02/17 1台を特採対応。
 2020/12/16現在
 1枚 不良
 4枚 石川K調査中。</t>
  </si>
  <si>
    <t>R22760
 作番完了</t>
  </si>
  <si>
    <t>2020/11/05 4台を特採対応。
 2021/01/07 1台を特採対応。
 2021/01/19 2台を特採対応。
 2020/12/16現在
 7枚 2課へ組配を依頼。
 1枚 不良
 1枚 石川K調査中。
 2021/1/20 7式入庫 残6式</t>
  </si>
  <si>
    <t>CN4交換 症状不明</t>
  </si>
  <si>
    <t>2023/8/24 CN4は導通問題無し、DC/DC出力の短絡無し
 識別①の意味が不明？
 R番不明。製品名はHVS-49IOSB ?。</t>
  </si>
  <si>
    <t>R22297
 作番完了</t>
  </si>
  <si>
    <t>電源投入時、SUB_SW CARD
 「MENU」と「ATTACH」が同時に点滅。
 起動後、MU操作できず。</t>
  </si>
  <si>
    <t>2020/11/18 IC1 品番：3QAAPM9254-04、
 品名：04 R5F72115D160FPVを手配。
 2020/12/02 石川Kへ交換を依頼。
 2022/5/16 IC1ﾊﾟﾀｰﾝ損傷のため、廃棄の方向</t>
  </si>
  <si>
    <t>E03938-3</t>
  </si>
  <si>
    <t>3QAAPM9254-04</t>
  </si>
  <si>
    <t>R22695
 作番完了</t>
  </si>
  <si>
    <t>電源投入し、20秒後にディスプレイの
 表示が乱れる。
 良品のフロント、IF基板を交換しても
 同じ。</t>
  </si>
  <si>
    <t>2020/11/27 岡野EXへ調査を依頼。
 2020/12/14 坂下Kへ調査を依頼。
 仕掛週報D 残4/100
 20241004 廃棄して作番完了</t>
  </si>
  <si>
    <t>R23265
 作番完了</t>
  </si>
  <si>
    <t>コンフィグ（起動）が最後まで
 行かない。
 LAN通信、データ書込みはOK。
 メモリテスト OK</t>
  </si>
  <si>
    <t>2020/12/04 坂下Kへ調査を依頼。
 2021/05/13 書込みツールVerUP実施後、正常動作
 仕掛週報D 残1/100
 20241004 廃棄して作番完了</t>
  </si>
  <si>
    <t>R21860
 作番完了</t>
  </si>
  <si>
    <t>S31 白表示NG（時々消える。）
 S29、30にスノーノイズ。（小さくて
 わかりにくい。）</t>
  </si>
  <si>
    <t>2020/12/16 石川Kへ交換作業を依頼。
 仕掛週報に無し。
 2024/2/9 作番完了(2022/6/6)</t>
  </si>
  <si>
    <t>R21862
 作番完了</t>
  </si>
  <si>
    <t>SLOT 9、11組込み時、OUT 4に
 3Gのみエラーが発生する。
 （MV非選択）</t>
  </si>
  <si>
    <t>2021/02/15 SP開発部 内田さんへ調査を依頼。
 2021/05/14 2021/05/31に内田さんへ進捗状況を確認する。
 2021/10/05 RS開発部より報告、XPTデバイス(IC13:M21125)の個体不良または実装不良という見解。X線検査/再加熱/リワーク等の検討
 2021/10/06 RS開発部 田口さんへ再調査依頼
 仕掛週報に無し。
 2024/2/9 廃棄済(51期下期)</t>
  </si>
  <si>
    <t>IC13</t>
  </si>
  <si>
    <t>M21125</t>
  </si>
  <si>
    <t>R22388
 作番完了</t>
  </si>
  <si>
    <t>立ち上がり途中のINITIALIZINGの
 画面のまま立ち上がらない。</t>
  </si>
  <si>
    <t>2021/3/2 坂下Kへ調査を依頼。
 2022/3/11 DSP起動がおかしい。ｴﾐｭﾚｰﾀ起動でもLAN通信出来ない。DSP交換？
 2024/6/3 部品出庫依頼
 2024/6/5 不良棚に本品有り
 20241004 廃棄して作番完了</t>
  </si>
  <si>
    <t>E03561</t>
  </si>
  <si>
    <t>IC42？</t>
  </si>
  <si>
    <t>3QA8C320DM648</t>
  </si>
  <si>
    <t>15111345
 (入庫済)
 15111347</t>
  </si>
  <si>
    <t>稀に起動不良。（電源入切）</t>
  </si>
  <si>
    <t>2021/04/20 小川Sへ調査を依頼。
 2021/05/26 坂下Kへ調査を依頼。
 2022/2/4 Genlock(FFFTPより)ﾃﾞｰﾀ書込み後、内臓ﾊﾞｯﾃﾘがきれるまで放置し、電源起動を確認した後、時刻設定。
 電源ON/OFFを50回以上繰返して異常なし。 2課へ引渡
 2024/8/5 3課調整検査中 再現せず
 2024/10/2 FSSCメンテ機として入庫
 仕掛週報B 残4/50</t>
  </si>
  <si>
    <t>在庫品（元R22552）
 作番完了</t>
  </si>
  <si>
    <t>18410056
 他シリアルへ振替</t>
  </si>
  <si>
    <t>入庫済在庫品（12G未対応）の
 Ver. Upを行い12G機能の確認を
 行ったところ、12G出力が
 不良だった。</t>
  </si>
  <si>
    <t>2021/03/31 石川Kにより半田ブリッジ修正中。
 修正後、リクロッカを交換予定。開発への確認要。
 2021/05/17 石川Kに引き続き半田ブリッジ修正中を確認。
 ⇒ 56号機は2021/4/17 に入庫
 石川Kの作業は未着と判明(2023/1/27)
  IC238の半田面、修正必要
 仕掛週報に無し。</t>
  </si>
  <si>
    <t>R22846
 作番完了</t>
  </si>
  <si>
    <t>通常、Micro SD起動モード共に
 コンフィグ（FA-9600表示）にならず、
 起動しない。</t>
  </si>
  <si>
    <t>2021/04/06 製造2課 井上さんへ基板の交換を依頼。
 2021/04/15 記載のS/Nは入庫済
 仕掛週報に無し。
 2024/28/9 廃棄済(51期下期)</t>
  </si>
  <si>
    <t>INPUT クロスポイント(IC16)不良の
 可能性が高い。</t>
  </si>
  <si>
    <t>2021/05/07 IC16 品番：3QA65M2111512、
 品名：M21115G-12を出庫依頼。
 2021/05/10 MFGセンターへリワークを依頼。
 2020/06/04 MFGセンターよりリワーク品を受取り。
 岡野EXへ動作確認を依頼。
 動作確認してNG。
 2021/06/07 坂下Kへ調査を依頼。
 2021/06/08 IC21 品番：3QA65M2111512、
 品名：M21115G-12を出庫依頼。
 2021/06/14 MFGセンターへリワークを依頼。
 2020/06/28 MFGセンターよりリワーク品を受取り。
 岡野EXへ動作確認を依頼。
 2021/07/02 動作確認してNG。廃棄の方向で検討。
 20241004 8枚修理、2枚廃棄</t>
  </si>
  <si>
    <t>IC16
 IC21</t>
  </si>
  <si>
    <t>3QA65M2111512
 3QA65M2111512</t>
  </si>
  <si>
    <t>R21630
 作番完了</t>
  </si>
  <si>
    <t>MFR-6000</t>
  </si>
  <si>
    <t>ダウンロードできない。</t>
  </si>
  <si>
    <t>仕掛週報に無し。
 2024/2/9 作番完了(2021/10/19)</t>
  </si>
  <si>
    <t>R22564
 作番完了</t>
  </si>
  <si>
    <t>CN18周りのパターンが剥がれて
 いる。</t>
  </si>
  <si>
    <t>2021/09/29 製造2課へ（石川課長）
 仕掛週報に無し。
 2024/2/9 廃棄済(52期下期)</t>
  </si>
  <si>
    <t>R22930
 作番完了</t>
  </si>
  <si>
    <t>(15830863)
 別基板で使用</t>
  </si>
  <si>
    <t>立ち上がらなくなる。</t>
  </si>
  <si>
    <t>2021/07/02 坂下Kへ調査を依頼。
 仕掛週報に無し。
 2024/2/9 作番完了(2022/8/30)</t>
  </si>
  <si>
    <t>R22960
 作番完了</t>
  </si>
  <si>
    <t>100m パソロジNG</t>
  </si>
  <si>
    <t>（GND強化改造必要） 2022/2/4 入庫残1式
 仕掛週報に無し。
 2024/2/9 作番完了(2022/1/27)</t>
  </si>
  <si>
    <t>R22220
 作番完了</t>
  </si>
  <si>
    <t>MV-40F</t>
  </si>
  <si>
    <t>23306 ???</t>
  </si>
  <si>
    <t>CN4の不良(基板に貼り付け：発行者不明)</t>
  </si>
  <si>
    <t>交換依頼(2021/08/06） ⇒ 石川課長
 仕掛週報C 残10/300
 2024/2/15 残5/300。 残5式の入庫準備中
 2024 生産完了</t>
  </si>
  <si>
    <t>R22093</t>
  </si>
  <si>
    <t>LAN1～2側が通信しない
 LAN_AはOK</t>
  </si>
  <si>
    <t>R22347
 (作番完了)</t>
  </si>
  <si>
    <t>初期画面起動しない</t>
  </si>
  <si>
    <t>起動画面表示せず
 SDIフォーマット認識せず</t>
  </si>
  <si>
    <t>MTX CONT</t>
  </si>
  <si>
    <t>NTSC B.B入力時にﾛｯｸしない</t>
  </si>
  <si>
    <t>2021/10/15 C100交換したが効果なし
 2022/3/10 C102交換したが効果なし。
 IC7のエラーステータス確認検討中
  仕掛週報 D 残1/30</t>
  </si>
  <si>
    <t>E04694</t>
  </si>
  <si>
    <t>C100</t>
  </si>
  <si>
    <t>識別 ㉛</t>
  </si>
  <si>
    <t>Dst95 全ﾌｫｰﾏｯﾄ出力せず。
 OUT基板交換しても変わらず。
 ﾃﾞﾊﾞｯｸﾞGUI SDI StatusでDst95のみ認識していない。</t>
  </si>
  <si>
    <t>2021/10/05 RS開発部 へ相談
 2021/10/07 RS開発部より回答、CN6/IC2の異常か？
 2021/10/27 CN6-6c,CN6-6dの導通/ｼｮｰﾄﾁｪｯｸし、異常なし
  仕掛週報 D 残1/10
 20241004 廃棄して作番完了</t>
  </si>
  <si>
    <t>IC2/CN6</t>
  </si>
  <si>
    <t>R23282</t>
  </si>
  <si>
    <t>USF-TICO-RC</t>
  </si>
  <si>
    <t>REAR A</t>
  </si>
  <si>
    <t>CN1 ピン折れ
 3課作業事故(慣らし挿抜時に発生)</t>
  </si>
  <si>
    <t>2021/10/29 CN1 部品手配
 仕掛週報D 残1/30
 20241004 廃棄して作番完了</t>
  </si>
  <si>
    <t>E04592-1</t>
  </si>
  <si>
    <t>3QG0HSEC81401
 HSEC8-140-01-L-DV-A</t>
  </si>
  <si>
    <t>SDI-Matrix入力時OUT1b出力にﾉｲｽﾞ発生。他の信号ﾊﾟﾀｰﾝはOK</t>
  </si>
  <si>
    <t>2022/1/31 IC3(LMH1218) ＠2.349、製品単価:@16,700
 ﾘﾜｰｸ費用を入れると原価の6割に相当
 2022/2/2 部品出庫依頼
 仕掛週報D 残1/30
 20241004 廃棄して作番完了</t>
  </si>
  <si>
    <t>E04592</t>
  </si>
  <si>
    <t>2022/6/21 現象調査中
 しばらく電源OFFで正常となる場合あり。電源再起動で現象発生する。
 仕掛週報D 残3/30
 20241004 廃棄して作番完了</t>
  </si>
  <si>
    <t>仕掛週報D 残3/30
 20241004 廃棄して作番完了</t>
  </si>
  <si>
    <t>(R23460)
 R24193</t>
  </si>
  <si>
    <t>仕掛週報D 残3/30
 2024/6/5 玉突きしている？R24193へ
 20241004 廃棄して作番完了</t>
  </si>
  <si>
    <t>基板を組込するとMAIN基板が起動しなくなる</t>
  </si>
  <si>
    <t>仕掛週報D 残1/30
 2024/2/16 USB_BlasterよりCPLD書込み正常、FPGA認識正常。各電圧正常。映像出力がおかしい、MENUも表示しない。
 20240903 佐藤さん確認し、廃棄の方針。</t>
  </si>
  <si>
    <t>R21765</t>
  </si>
  <si>
    <t>MV-16SIPIO組込時にMV-16SIPIOのコンポジット出力の値が変わってしまった？</t>
  </si>
  <si>
    <t>2024/6/14 記入漏れのため、追記
 20241004 廃棄して作番完了</t>
  </si>
  <si>
    <t>2020/</t>
  </si>
  <si>
    <t>TeraTermの接続NG(USBデバイス認識されません)</t>
  </si>
  <si>
    <t>R23908
 作番完了</t>
  </si>
  <si>
    <t>MicroSD書込み出来ない</t>
  </si>
  <si>
    <t>2023/11/17 Q6がパット毎消失
 仕掛週報Ｄ 1/22
 20241004 廃棄して作番完了</t>
  </si>
  <si>
    <t>Q6</t>
  </si>
  <si>
    <t>3QB0C2712GR</t>
  </si>
  <si>
    <t>R21474</t>
  </si>
  <si>
    <t>ソルダーレジストが一部塗布されていない</t>
  </si>
  <si>
    <t>2027/8/8 2課で報告された後、未処置
 20241004 廃棄して作番完了</t>
  </si>
  <si>
    <t>起動しない。プログラムVer表示が異常</t>
  </si>
  <si>
    <t>2022/7/14 DC/DCの出力はショートしていない。
 仕掛週報D 残20/50
 20241004 廃棄して作番完了</t>
  </si>
  <si>
    <t>2022/7/26 DC/DCの起動チェック時に現象を確認
 2022/7/27 IC74の出力が異常、突入パルス状の波形、ピーク電圧は設定の1.5V超えて４V程
 仕掛週報D 残20/50
 20241004 廃棄して作番完了</t>
  </si>
  <si>
    <t>20回の起動チェック実施後、製品検査時にコンデンサが焼損した</t>
  </si>
  <si>
    <t>2022/7/28 IC121(3QJ0MPN12AD20)の解析依頼か？
 仕掛週報D 残20/50
 20241004 廃棄して作番完了</t>
  </si>
  <si>
    <t>C3119</t>
  </si>
  <si>
    <t>3QCXN002C337</t>
  </si>
  <si>
    <t>M/E1 Key1,2 DVE ONで緑映像。
 M/E1 Key3,4 緑映像。Fill/Keyは関係なし</t>
  </si>
  <si>
    <t>20241004 廃棄して作番完了</t>
  </si>
  <si>
    <t>R24296
 R23379</t>
  </si>
  <si>
    <t>2024/4/30 IC68ﾘﾜｰｸ後、改善せず。
 仕掛週報D 残15/50
 20241004 廃棄して作番完了(R23378)</t>
  </si>
  <si>
    <t>OPT_IF</t>
  </si>
  <si>
    <t>ﾌﾟﾛｸﾞﾗﾑ書込み出来ない。</t>
  </si>
  <si>
    <t>2023/7/3 CN11-2未半田？半田面は埋まっているが、部品面まで上がっていない。
 仕掛週報D 残5/50
 20240621 所在不明 修正後、出荷に充当？
 20241004 廃棄して作番完了</t>
  </si>
  <si>
    <t>E04920-1</t>
  </si>
  <si>
    <t>R19902</t>
  </si>
  <si>
    <t>USF-1044UDC</t>
  </si>
  <si>
    <t>起動時以外で設定を取得出来ない。
 WebGUIでF5を押すと設定が消える</t>
  </si>
  <si>
    <t>2024/4/8 外部製作で修理受付不可。廃棄？
 仕掛週報C 残3/25
 20241004 廃棄して作番完了</t>
  </si>
  <si>
    <t>LTC23678に書込みしても出力しない</t>
  </si>
  <si>
    <t>仕掛週報D 残3/200
 20241004 廃棄して作番完了</t>
  </si>
  <si>
    <t>Encap External時、PTPのReceiveがSkip(1~5)表示になる。
 Notuse、Decap時はOK</t>
  </si>
  <si>
    <t>2022/12/13 PLS開発部へ調査依頼
 仕掛週報D 残3/200
 20241004 廃棄して作番完了</t>
  </si>
  <si>
    <t>LMK3328の書込みが出来ない
 LTC2977,ALTERA(V3)の書込みはOK</t>
  </si>
  <si>
    <t>2023/1/12 PLS開発部へ調査依頼
 仕掛週報D 残3/200
 20241004 廃棄して作番完了</t>
  </si>
  <si>
    <t>書込みIC3種は正常だが、起動しない</t>
  </si>
  <si>
    <t>R23969</t>
  </si>
  <si>
    <t>GPI3の出力がON/OFFを繰返す。
 IC101付近を押すと現象改善する。</t>
  </si>
  <si>
    <t>仕掛週報D 残1/20
 20241004 廃棄して作番完了</t>
  </si>
  <si>
    <t>LCD4に縦線ﾉｲｽﾞ発生</t>
  </si>
  <si>
    <t>2022/1/25 ﾒｰｶｰの検査閾値見直し品(品質異常報告書)
 MFGセンターへ部品取外し依頼(2022/2/1)
 仕掛週報D 残1/60
 20241004 廃棄して作番完了</t>
  </si>
  <si>
    <t>LCD3に縦線ノイズ発生</t>
  </si>
  <si>
    <t>2022/3/10 部品取外し依頼
 2022/4/1 品質異常報告書発行
 仕掛週報D 残1/60
 20241004 廃棄して作番完了</t>
  </si>
  <si>
    <t>LED8に縦線ノイズ発生（ﾋｰﾄﾗﾝ中）</t>
  </si>
  <si>
    <t>2022/3/23 部品取外し依頼
 2022/4/1 品質異常報告書発行
 仕掛週報D 残1/60
 20241004 廃棄して作番完了</t>
  </si>
  <si>
    <t>DCジャック(CN14)交換後にIC16焼損</t>
  </si>
  <si>
    <t>2022/3/2 Q4とR102の間に半田くずが付着。+12Vが+3.3Vに短絡した為。
 仕掛週報D 残1/60
 20241004 廃棄して作番完了</t>
  </si>
  <si>
    <t>IC16、他不明</t>
  </si>
  <si>
    <t>3QAAPM9720</t>
  </si>
  <si>
    <t>3課責任</t>
  </si>
  <si>
    <t>R24078</t>
  </si>
  <si>
    <t>IO1(IN)にSDI MTRIX入力すると受信エラーになる。(1mでも発生)</t>
  </si>
  <si>
    <t>仕掛週報D 残1/100
 20241004 廃棄して作番完了</t>
  </si>
  <si>
    <t>FS2のY/C StuckBits、APCが常に変動する</t>
  </si>
  <si>
    <t>”17241992”</t>
  </si>
  <si>
    <t>2022/2/17 RL1の隙間は通常？(隙間あり)。
 2022/6/17 RL1交換
 仕掛週報D 残1/100
 20241004 廃棄して作番完了</t>
  </si>
  <si>
    <t>2022/2/28 時々、正常動作する
 20241004 廃棄して作番完了</t>
  </si>
  <si>
    <t>2022/3/1 ﾘﾚｰ上部に衝撃を印加すると切替わる
 2022/6/21 RL1交換 → 2課(石川K)
 20241004 廃棄して作番完了</t>
  </si>
  <si>
    <t>IN2:ｵﾍﾟﾚｰﾄの映像出力なし。ﾘﾚｰﾊﾞｲﾊﾟｽの映像は正常
 IN1に設定すると正常に出力</t>
  </si>
  <si>
    <t>2022/3/4 原因発生ヶ所、調査中
 ⇒ ﾘﾚｰは正常？ IN2 内部ﾌﾟﾛｾｽ回路ﾋﾞｯﾄ落ち
 仕掛週報D 残1/100
 20241004 廃棄して作番完了</t>
  </si>
  <si>
    <t>FPGA？</t>
  </si>
  <si>
    <t>IN1 12G-SDI入力時にｴﾗｰｶｳﾝﾄ止まらない</t>
  </si>
  <si>
    <t>2022/3/10 Activeｽﾙｰは問題無し。
 仕掛週報D 残1/100
 20241004 廃棄して作番完了</t>
  </si>
  <si>
    <t>ボタン操作出来ない(2ヶ所)</t>
  </si>
  <si>
    <t>20228/10/31 ダイオードの破損
 仕掛週報D 残4/100
 20241004 廃棄して作番完了</t>
  </si>
  <si>
    <t>E04492A</t>
  </si>
  <si>
    <t>D58,D59</t>
  </si>
  <si>
    <t>12G-SDIフォーマット時に受信エラー(製品内のエラー、波形モニタはOK)</t>
  </si>
  <si>
    <t>2022/11/10 IC44？
  Front LED代替品確認のため、FPSへ(2023/1/27)
 仕掛週報D 残4/100
 20241004 廃棄して作番完了</t>
  </si>
  <si>
    <t>IC44</t>
  </si>
  <si>
    <t>起動不良。偶に起動(SDカード交換しても変化なし)</t>
  </si>
  <si>
    <t>2022/11/10 調査のため組バラシたら復旧した。様子見とする
 仕掛週報D 残4/100
 20241004 廃棄して作番完了</t>
  </si>
  <si>
    <t>OUT2a端子：Operateの映像映像出力なし。BypassはOK</t>
  </si>
  <si>
    <t>仕掛週報D 残4/100
 20241004 廃棄して作番完了</t>
  </si>
  <si>
    <t>R23509</t>
  </si>
  <si>
    <t>SDI IO</t>
  </si>
  <si>
    <t>OUT1 ｵﾍﾟﾚｰﾄ出力無し、BypassはOK</t>
  </si>
  <si>
    <t>仕掛週報D 残2/50
 20240613 現品あり。
 20241004 廃棄して作番完了</t>
  </si>
  <si>
    <t>OUT3 ｵﾍﾟﾚｰﾄ出力無し、RL6動作？</t>
  </si>
  <si>
    <t>2023/6/27 RL1交換し、門脇へ
 仕掛週報D 残2/50</t>
  </si>
  <si>
    <t>E04556</t>
  </si>
  <si>
    <t>R23752</t>
  </si>
  <si>
    <t>SDI-IN1 - OUT1の出力NG</t>
  </si>
  <si>
    <t>20240613 現品あり。
 仕掛週報C 残1/100
 20241004 廃棄して作番完了</t>
  </si>
  <si>
    <t>CN3-CN4の信号がGNDへ短絡</t>
  </si>
  <si>
    <t>2023/2/27 CN3部品出庫依頼
 仕掛週報D 残4/30
 20241004 廃棄して作番完了</t>
  </si>
  <si>
    <t>R23656</t>
  </si>
  <si>
    <t>FA-96SFPC4</t>
  </si>
  <si>
    <t>SFP</t>
  </si>
  <si>
    <t>R23975</t>
  </si>
  <si>
    <t>FA-94SFPC4</t>
  </si>
  <si>
    <t>Rx1 SD-SDIノイズ発生。1.5G/3G/12Gは問題無し</t>
  </si>
  <si>
    <t>仕掛週報C 残1/20
 20241004 廃棄して作番完了</t>
  </si>
  <si>
    <t>OUT9の出力NG(全ﾌｫｰﾏｯﾄ)
 Full MatrixﾁｪｯｸOKのため、OUTPUTのFPGAまではｴﾗｰ無し</t>
  </si>
  <si>
    <t>仕掛週報 C 残1/160台
 20241004 廃棄して作番完了</t>
  </si>
  <si>
    <t>R23583</t>
  </si>
  <si>
    <t>SDI-INPUT</t>
  </si>
  <si>
    <t>2023/4/28 電源ショート確認はOK
 IC17の出力(+5V)無し、IC17の部品欠損⇒関係なし(5/2)
 仕掛週報D 残1/50
 20241004 廃棄して作番完了</t>
  </si>
  <si>
    <t>3QJ0SF304805B</t>
  </si>
  <si>
    <t>R23931</t>
  </si>
  <si>
    <t>1080/59.94iの時のみロックしない</t>
  </si>
  <si>
    <t>仕掛週報D 残1/50
 2024/2/13 仕掛週報C 2/50
 20241004 廃棄して作番完了</t>
  </si>
  <si>
    <t>R22575
 作番完了</t>
  </si>
  <si>
    <t>FA-96EX3G44-R組込すると、IN4にﾉｲｽﾞ発生</t>
  </si>
  <si>
    <t>2021/11/11 リストに記載ないため、追記
 CN33部品交換の依頼
 2021/12/6 ﾘﾜｰｸ後、CN39の樹脂部分が収縮しているため交換依頼
 2021/12/15 製造2課
 2022/3/17 12Gｵﾌﾟｼｮﾝ基板調査のため、FPS開発部へ貸出中
 仕掛週報に無し。
 2024/2/9 廃棄済(51期下期)</t>
  </si>
  <si>
    <t>R22209
 作番完了</t>
  </si>
  <si>
    <t>S41の表示器に縦線ノイズ発生
 S28の表示器に縦線ノイズ発生</t>
  </si>
  <si>
    <t>2021/11/30 部品交換依頼
 2022/3/28 S41ha改善したが、S28で発生を確認
 2023/7/25 ソニーより、赤縦線の連絡あり、FSSCで対応
 仕掛週報に無し。
 2024/2/9 作番完了(2023/6/6)</t>
  </si>
  <si>
    <t>R23251
 作番完了</t>
  </si>
  <si>
    <t>起動しない。FPGAコンフグレーションしない。</t>
  </si>
  <si>
    <t>2022/2/4 IC71にPowerGood入力なし。
 仕掛週報D 残1/30</t>
  </si>
  <si>
    <t>R23258
 作番完了</t>
  </si>
  <si>
    <t>アナログOUTのクロマ(色)がロックしない。輝度信号は安定している。</t>
  </si>
  <si>
    <t>2022/2/8 タイミングGEN(IC87)のCLK出力が安定していない？交換部品(C993)出庫依頼
 2022/9/22 廃棄申請</t>
  </si>
  <si>
    <t>C993？</t>
  </si>
  <si>
    <t>ダウンロード後に起動しない。
 DSPは起動している。</t>
  </si>
  <si>
    <t>2022/5/2 IC36(+2.5V)の出力異常(+0.7V)。
 TRIM端子(6ピン)がGNDにショート。部品出庫依頼
 実装は12A仕様だが現パーツリストは変更されている為20A仕様を手配 リワーク実施(2023/3/6)
 2024/9/13 起動確認OK
 仕掛週報に無し。
 2024/2/9 作番完了(2022/5/26)
 2024/5/31 現品は不良棚に有り。他基板流用し入庫完。</t>
  </si>
  <si>
    <t>IC36</t>
  </si>
  <si>
    <t>R22667
 作番完了</t>
  </si>
  <si>
    <t>ヒートラン中に電源故障？</t>
  </si>
  <si>
    <t>2022/5/24 故障個所調査中
 仕掛週報に無し。</t>
  </si>
  <si>
    <t>R23515
 作番完了</t>
  </si>
  <si>
    <t>LED</t>
  </si>
  <si>
    <t>LED点灯時に黒点がある</t>
  </si>
  <si>
    <t>2022/8/25 LED表面に半田くず？、部品出庫依頼
 仕掛週報に無し。
 2024/2/9 作番完了(2022/9/12)</t>
  </si>
  <si>
    <t>E04311</t>
  </si>
  <si>
    <t>3QB3SLI343P8G</t>
  </si>
  <si>
    <t>R23486
 作番完了</t>
  </si>
  <si>
    <t>OUT8 SDI出力NG（LED点滅）
 MFR-5000で発生</t>
  </si>
  <si>
    <t>2022/8/26 部品出庫依頼
 2023/9/8 リワーク戻り
 仕掛週報に無し。
 2024/2/9 作番完了(2023/10/24)</t>
  </si>
  <si>
    <t>IC15</t>
  </si>
  <si>
    <t>R23329
 作番完了</t>
  </si>
  <si>
    <t>R421破損、パット無しの状態</t>
  </si>
  <si>
    <t>2022/9/15 ”ｼｬｰｼ組込後”に破損を発見した
 仕掛週報に無し。
 2024/2/13 作番完了(2022/10/21)</t>
  </si>
  <si>
    <t>R421</t>
  </si>
  <si>
    <t>R23329
 (作番完了)</t>
  </si>
  <si>
    <t>2022/9/15 ”ｼｬｰｼ組込前”に破損を発見した。製造工程？
 基板入替して入庫？</t>
  </si>
  <si>
    <t>IN11 3G-SDI入力ﾛﾝｸﾞｹｰﾌﾞﾙNG</t>
  </si>
  <si>
    <t>2022/10/7 70ｍで映像がちらつき、100mで表示しない
 2022/12/27 L11交換実施
 2023/1/6 八木作業卓でNG、その後坂下作業卓で再現せず。
 2024/9/27 調整卓で再確認(八木)、再現せず。
 仕掛週報D 残1/50</t>
  </si>
  <si>
    <t>IC14？</t>
  </si>
  <si>
    <t>R23608
 作番完了</t>
  </si>
  <si>
    <t>LCD不良、文字化けする</t>
  </si>
  <si>
    <t>仕掛週報に無し。
 2024/2/9 作番完了(2023/3/15)</t>
  </si>
  <si>
    <t>LCD不良、文字化けする(10分後)</t>
  </si>
  <si>
    <t>R23698</t>
  </si>
  <si>
    <t>IN15(CN2)のSD-SDI入力がNG、その他ﾌｫｰﾏｯﾄはOK</t>
  </si>
  <si>
    <t>仕掛週報D 残1/50
 20240903 修理完了予定</t>
  </si>
  <si>
    <t>OUT1 SDI出力せず(12G/3G/1.5G)
 OUT2~４はOK</t>
  </si>
  <si>
    <t>2023/1/30 CN6に半田不良
 石川Kへ修正依頼をする。
 仕掛週報D 残1/50
 20240903 修理完了予定。</t>
  </si>
  <si>
    <t>E04814-1</t>
  </si>
  <si>
    <t>R23593
 作番完了</t>
  </si>
  <si>
    <t>SW50が常時ON</t>
  </si>
  <si>
    <t>2023/2/7 SW50の1，2ピンが短絡
 仕掛週報に無し。
 2024/2/9 作番完了(2023/5/22)</t>
  </si>
  <si>
    <t>E03939-3</t>
  </si>
  <si>
    <t>SW50</t>
  </si>
  <si>
    <t>2023/3/10
 (22/11/16)</t>
  </si>
  <si>
    <t>R23544
 作番完了</t>
  </si>
  <si>
    <t>FPGAデータ書込み出来ない。
 Fbin転送中にエラーとなる</t>
  </si>
  <si>
    <t>2024/2/9 廃棄済(52期下期)
 仕掛週報に無し。</t>
  </si>
  <si>
    <t>R23961
 作番完了</t>
  </si>
  <si>
    <t>OSが再起動する</t>
  </si>
  <si>
    <t>品質異常報告発行予定
 仕掛週報に無し。OUからOUAへ引当？</t>
  </si>
  <si>
    <t>R23280
 作番完了</t>
  </si>
  <si>
    <t>POWER_LEDの点灯NG(輝度不足)</t>
  </si>
  <si>
    <t>2023/4/3 D3交換
 RS開発部より、対策不可のため交換対応
 仕掛週報に無し。</t>
  </si>
  <si>
    <t>３QB3L519EGW</t>
  </si>
  <si>
    <t>R23729
 作番完了</t>
  </si>
  <si>
    <t>SDI-OUTPUT</t>
  </si>
  <si>
    <t>MFR-5000組込でOUT1 EyeﾊﾟﾀｰﾝNG、CRCｴﾗｰ発生</t>
  </si>
  <si>
    <t>2023/5/2 IC1部品出庫依頼
 2023/9/8 リワーク戻り
 仕掛週報C 残5/48</t>
  </si>
  <si>
    <t>OUT6 BNC変形</t>
  </si>
  <si>
    <t>石川さんにより修正
 仕掛週報D 残1/30</t>
  </si>
  <si>
    <t>R23895
 作番完了</t>
  </si>
  <si>
    <t>12G-SDI(2160/59.94p)でGenlock(B.B)入力すると4系統の内2系統が黒出力となった。
 M/E経由出力に発生する。Ref挿抜は関係せず。電源再起動で復帰</t>
  </si>
  <si>
    <t>2023/6/26 SW開発部で調査
 仕掛週報に無し。
 2024/2/13 作番完了。(2023/11/13)</t>
  </si>
  <si>
    <t>SDI OUTPUT</t>
  </si>
  <si>
    <t>3G、HD出力せず(CN10)
 MFR-8000で検査中に発生</t>
  </si>
  <si>
    <t>仕掛週報C 残5/48</t>
  </si>
  <si>
    <t>R23707</t>
  </si>
  <si>
    <t>Ref出力が無い</t>
  </si>
  <si>
    <t>2023/8/23 IC134-28とFL21間に半田ボール有り
 仕掛週報D 残1/50
 2024/06/21 画像撮影後、センターへ報告現状のまま
 2024/08/28 組配後、動作確認予定。
 2024/8/26 半田ボール除去し、動作確認完了</t>
  </si>
  <si>
    <t>R23959</t>
  </si>
  <si>
    <t>CH25(CN8)の入力信号が出力せず</t>
  </si>
  <si>
    <t>2023/9/7 IC3,IC7,IC8半田ブリッジ
 仕掛週報D 残1/50
 20240903 修理完了予定。</t>
  </si>
  <si>
    <t>IC3,IC7,IC8</t>
  </si>
  <si>
    <t>FPGAのVerが正常に表示せず。
 FF-FF-FF-FF</t>
  </si>
  <si>
    <t>2023/9/19 IC51(+1.8V)出力が+0.8V
 仕掛週報D 残1/50
 20240903 修理完了予定。</t>
  </si>
  <si>
    <t>R23827
 作番完了</t>
  </si>
  <si>
    <t>CN7,8入力映像が出力しない</t>
  </si>
  <si>
    <t>2024/7/29 現品有り、R23959より引き当てか？
 仕掛週報D 残1/30</t>
  </si>
  <si>
    <t>CN5(IC5)入力映像が出力しない</t>
  </si>
  <si>
    <t>2023/9/12 IC1,IC3,IC4,IC5,IC6,IC7に半田ﾌﾞﾘｯｼﾞ
  MFGセンターで修正済？
 仕掛週報D 残1/50
 20240903 修理完了予定。</t>
  </si>
  <si>
    <t>SRC32の画像が表示されない</t>
  </si>
  <si>
    <t>2023/9/12 C38がとれてC40に接触
 現品不明、修正済？
 仕掛週報D 残1/50
 20240903 修理完了予定。</t>
  </si>
  <si>
    <t>IN20 3G-SDIの受信特性エラー
 70ｍSDI-MTRIXエラー</t>
  </si>
  <si>
    <t>2023/12/21 信号源TG700にて再確認
 2024/5/27 新しい5CFB 70Mで確認し、エラー無し
 仕掛週報C 残3/50</t>
  </si>
  <si>
    <t>FPGAのVerが正常に表示せず。
 00-00-00-00</t>
  </si>
  <si>
    <t>2023/9/19 IC79(+5V)の出力がGNDに
 IC79の周辺に半田はみだし
 2024/7/31 R381を取外して短絡ヶ所の特定する
 仕掛週報D 残1/50
 20240903 修理完了予定。</t>
  </si>
  <si>
    <t>IC79</t>
  </si>
  <si>
    <t>起動不良。+1.2V_FがGNDへ短絡</t>
  </si>
  <si>
    <t>2023/9/27 L45取外し。IC72側の短絡を確認。部品出庫依頼
 2023/10/25 リワーク依頼
 仕掛週報に無し。
 2024/2/13 作番完了。(2023/11/9)
 2024/5/31 現品は不良棚に有り。他基板流用し入庫完。</t>
  </si>
  <si>
    <t>E05437</t>
  </si>
  <si>
    <t>IC72</t>
  </si>
  <si>
    <t>3QA6Z9B9137E2</t>
  </si>
  <si>
    <t>R24089
 作番完了</t>
  </si>
  <si>
    <t>IC14(+1.8V)の出力が異常(+3.3V？)</t>
  </si>
  <si>
    <t>2023/10/4 R106が破損している。交換し3課へ
 仕掛週報C 残9/20</t>
  </si>
  <si>
    <t>R106</t>
  </si>
  <si>
    <t>3QDX0HQE3831</t>
  </si>
  <si>
    <t>R23867
 作番完了</t>
  </si>
  <si>
    <t>MAIN基板が起動しない
 LANが通信出来ない</t>
  </si>
  <si>
    <t>仕掛週報 C
 2024/2/15 CPLD書込みOK、FPGAはツールにて認識される
  DSPの起動状態が異常。開発部へ調査依頼の予定
 2024/3/26 開発部調査結果、DSPの実装不良/個別不良
2026/01/23
　FPGAのコンフィグは正常。DSPがブートしない。ブートローダが働いてない。項1042に似ている。
同様のチェックをしよう。
・電源；OK
・ブートモード：OK
・AED16bit：OK
・AEA25bit：OK
・CLK：OK
・RESET：OK
・CS2,3/WE/OE/ARNW：OK
・CPLDのベリファイ：OK
ブートローダーを動かそうとしてDSPのアドレスバスがトグルしている。つまりDSPは死んでいない。Flashの中身が異常で立ち上がらないってことか？→DSP(IC40.A9)が未半田濃厚。
20260203　製造にてDSPのリワーク実施予定。</t>
  </si>
  <si>
    <t>SRC10の映像が出力されない</t>
  </si>
  <si>
    <t>2023/12/20 IC7(29~31ピン)に半田くず有り、除去して後日確認
 仕掛週報C 残2/10</t>
  </si>
  <si>
    <t>3QA6Z6G12241</t>
  </si>
  <si>
    <t>IN10,15,17,18の3G-SDI受信NG
 分割画面がフリーズする</t>
  </si>
  <si>
    <t>2023/12/21 登録漏れ。信号源TG700にて再確認
 2024/07/01 最新データで動作確認し完了
 仕掛週報D 残3/50</t>
  </si>
  <si>
    <t>起動せず
 +1.8V出力無し ②</t>
  </si>
  <si>
    <t>仕掛週報B 残16/50
 20240619 20240404に開発確認後戻り(小川情報)
 20240619 リワーク出し
 20240729 IC107出力OK</t>
  </si>
  <si>
    <t>HVS-190I？</t>
  </si>
  <si>
    <t>書込み出来ない</t>
  </si>
  <si>
    <t>2024/4/18 3月入庫の為、R24298より基板借用
 仕掛週報B 残21/50
 20240621 不良棚 基板は190I DC/DC(IC107) 電圧NG
2025/3/3 IC107リワーク後復帰する(小川)
2025/12/17 S/N141として調整検査完了。F5560064-01ｿﾆｰﾏｰｹﾃｨﾝｸﾞ向けに出荷</t>
  </si>
  <si>
    <t>FPGA書込み出来ない。Xilinx認識せず</t>
  </si>
  <si>
    <t>2024/4/18 3月入庫の為、R24298より基板借用
 仕掛週報B 残21/50
 20240621 不良棚 IC107不良か？</t>
  </si>
  <si>
    <t>R24264
 作番完了</t>
  </si>
  <si>
    <t>CPUは起動しているが、GUIのバージョンが読込出来ず、チェンジオーバーする。書き直し手も改善せず</t>
  </si>
  <si>
    <t>2024/1/16 CN11-d1のコンタクトがスルーホールより見えない。(ピン折れ/曲がり？)
 CPU_RCK-pが断線/短絡の可能性あり
 2024/2/1 CN11交換依頼し、センターより受取
 仕掛週報に無し。</t>
  </si>
  <si>
    <t>R24256
 作番完了</t>
  </si>
  <si>
    <t>LCD７に縦線ノイズ</t>
  </si>
  <si>
    <t>2024/1/19 MFGセンターへ取外し依頼
 2024/2/1 センターより受取
 仕掛週報B 残19/70</t>
  </si>
  <si>
    <t>LCD7</t>
  </si>
  <si>
    <t>microSDより書込み不可</t>
  </si>
  <si>
    <t>2024/1/19 SATA IF基板のCN1-5に異物
 仕掛週報B 残24/30
 24/6/24 改造・ジャンパーOK 
 20240920 9/26出荷予定</t>
  </si>
  <si>
    <t>R24178
 作番完了</t>
  </si>
  <si>
    <t>ボタン63,64が動作しない。D125が破損</t>
  </si>
  <si>
    <t>2024/1/24 D125交換、D124も破損していた為交換
 仕掛週報C 残20/20</t>
  </si>
  <si>
    <t>D125</t>
  </si>
  <si>
    <t>MAIN基板起動せず
 +1.8V出力無し？ ③</t>
  </si>
  <si>
    <t>仕掛週報B 残16/50
 20240619 リワーク出し
 2024/7/26 リワーク上がり
 2024/7/29 IC107出力OK</t>
  </si>
  <si>
    <t>MAIN基板起動せず
 +1.8V出力無し？ ④</t>
  </si>
  <si>
    <t>仕掛週報B 残16/50
 2024/06/19 リワーク出し
 2024/7/29 IC107出力OK</t>
  </si>
  <si>
    <t>MAIN基板起動せず
 +1.8V出力無し？ ⑤</t>
  </si>
  <si>
    <t>仕掛週報B 残16/50
 20240619 リワーク出し
 20240809 リワーク戻り
 2024/9/10 IC107出力OK</t>
  </si>
  <si>
    <t>MAIN基板起動せず
 +1.8V出力無し？ ⑥</t>
  </si>
  <si>
    <t>MAIN基板起動せず
 +1.8V出力無し？ ⑨</t>
  </si>
  <si>
    <t>仕掛週報B 残16/50
 20240619 リワーク出し
 2024/9/10 IC107出力OK</t>
  </si>
  <si>
    <t>2024/2/14 C146交換し、3課へ
 仕掛週報B 残31/100</t>
  </si>
  <si>
    <t>⑬~⑲ D1~D3のLED赤色輝度不足</t>
  </si>
  <si>
    <t>2024/2/14 交換し2課へ(計7か所)
 仕掛週報B 残19/70</t>
  </si>
  <si>
    <t>D1~D3</t>
  </si>
  <si>
    <t>R24014
 作番完了</t>
  </si>
  <si>
    <t>偶にDCアラームが発生する。ACステータスは正常</t>
  </si>
  <si>
    <t>2024/2/21 品質異常報告書作成</t>
  </si>
  <si>
    <t>R24252</t>
  </si>
  <si>
    <t>USF-212PS</t>
  </si>
  <si>
    <t>リダンダント構成時にAC入力するとアラームが異常検出する</t>
  </si>
  <si>
    <t>2024/2/28 品質異常報告書発行 ?
 2024/7/4 接点洗浄、組直しにて復帰</t>
  </si>
  <si>
    <t>R24925</t>
  </si>
  <si>
    <t>18030727
 (18010181)</t>
  </si>
  <si>
    <t>HVS-1200組込。12G-SDI設定でKEY1/KEY2の映像がパタつく。
 DVE ONで常に発生するが、電源再起動で復帰する場合もある。
 波形モニタでは12G 2SI 4系統のBにのみ発生している。</t>
  </si>
  <si>
    <t>2024/2/26 原因ヶ所を開発へ調査依頼？
 20240822 開発から返却。最新Verで対策済みのはず。次回2課で組配。</t>
  </si>
  <si>
    <t>2課で組立後に電源起動しなかった ⑪</t>
  </si>
  <si>
    <t>20240619 リワーク出し
 2024/9/10 IC107出力OK</t>
  </si>
  <si>
    <t>2024/3/5 LCD取外し依頼
 2024/5/7 MFGセンターより受取、3課へ</t>
  </si>
  <si>
    <t>12G-SDIでGenlockﾁｪｯｸにてUnlock表示になる。</t>
  </si>
  <si>
    <t>2024/3/5 C146交換</t>
  </si>
  <si>
    <t>2024/3/5 C146交換
 2024/3/8 12G-SDIでジッタ値が大</t>
  </si>
  <si>
    <t>C146、C147</t>
  </si>
  <si>
    <t>3QCX1AMTCO476
 3QCX１AMTCT225</t>
  </si>
  <si>
    <t>LCD13,LCD18が点灯しない。
 同一CSパス(CN6 b17(BF_LCD_CS4),IC17-5,IC17-19,RA42,IC11-96) ？</t>
  </si>
  <si>
    <t>2024/7/30 作業指示書(S12009-1)の改造個所がずれている
 IC17 → IC13
 2024/7/31 動作完了、3課へ</t>
  </si>
  <si>
    <t>IC13,IC17</t>
  </si>
  <si>
    <t>3QA5LCC3245</t>
  </si>
  <si>
    <t>R24402</t>
  </si>
  <si>
    <t>C LevelのUnityボタン不良？</t>
  </si>
  <si>
    <t>2024/5/28 部品手配中
 2024/6/10 S18交換し、3課へ</t>
  </si>
  <si>
    <t>E04102</t>
  </si>
  <si>
    <t>S18</t>
  </si>
  <si>
    <t>3QF6B3W1152</t>
  </si>
  <si>
    <t>Blackボタンが反応しない。LEDは点灯する</t>
  </si>
  <si>
    <t>2024/5/28 D33導通無し。D33部品交換し、3課へ</t>
  </si>
  <si>
    <t>D33</t>
  </si>
  <si>
    <t>R23679
 作番完了</t>
  </si>
  <si>
    <t>2024/3/22 CN10(Connect_ME)の型名末尾がことなる。
 試しに交換を実施予定</t>
  </si>
  <si>
    <t>R24434</t>
  </si>
  <si>
    <t>起動しない。Q13の12Ｖ出力が1.3Ｖしかない。</t>
  </si>
  <si>
    <t>2024/4/3 作業指示書S12006のパターンカットがされていない</t>
  </si>
  <si>
    <t>2024/5/7 RL14,20交換</t>
  </si>
  <si>
    <t>RL3,RL4,RL5,RL6,RL9,RL10リレー不良
 RL9,RL19動作しない</t>
  </si>
  <si>
    <t>2024/5/8 RL3,RL4,RL6,RL9,RL10,RL19交換</t>
  </si>
  <si>
    <t>RL1,RL3,RL4,RL6,RL7,RL8リレー不良</t>
  </si>
  <si>
    <t>2024/5/21 RL1,RL3,RL4,RL6,RL7,RL8交換</t>
  </si>
  <si>
    <t>㊶15781560</t>
  </si>
  <si>
    <t>2024/5/7 RL4交換</t>
  </si>
  <si>
    <t>㊷</t>
  </si>
  <si>
    <t>RL2,RL18,RL20リレー不良</t>
  </si>
  <si>
    <t>2024/5/8 RL2,RL18,RL20交換</t>
  </si>
  <si>
    <t>㊸</t>
  </si>
  <si>
    <t>RL3,RL5,RL7,RL19リレー不良
 RL2,RL12 BYPASSNG</t>
  </si>
  <si>
    <t>2024/5/29 各リレー交換実施</t>
  </si>
  <si>
    <t>㊹</t>
  </si>
  <si>
    <t>2024/5/7 RL10交換</t>
  </si>
  <si>
    <t>㊺</t>
  </si>
  <si>
    <t>RL10,RL14リレー不良</t>
  </si>
  <si>
    <t>2024/5/7 RL10,RL14交換</t>
  </si>
  <si>
    <t>㊻</t>
  </si>
  <si>
    <t>RL1,RL3,RL4,RL7,RL,9,RL10,RL13,RL17リレー不良
 RL2,RL12動作しない</t>
  </si>
  <si>
    <t>RL1,RL3,RL4,RL7,RL9,RL17リレー不良</t>
  </si>
  <si>
    <t>2024/6/17 ㊼ 各リレー交換実施</t>
  </si>
  <si>
    <t>RL1,RL3,RL5,RL6,RL7,RL8,RL9,RL10リレー不良</t>
  </si>
  <si>
    <t>2024/6/17 ㊽ 各リレー交換実施</t>
  </si>
  <si>
    <t>㊾</t>
  </si>
  <si>
    <t>RL8,RL9リレー不良
 RL10,RL20切り替わらない</t>
  </si>
  <si>
    <t>RL2,RL8リレー不良</t>
  </si>
  <si>
    <t>2024/5/8 ㊿ RL2,RL8交換</t>
  </si>
  <si>
    <t>RL1,RL2,RL3,RL7,RL9,RL10リレー不良</t>
  </si>
  <si>
    <t>2024/6/17 各リレー交換実施</t>
  </si>
  <si>
    <t>RL1,RL5,RL6,リレー不良
 RL10,RL20切り替わらない</t>
  </si>
  <si>
    <t>RL2,RL3,RL4,RL7,RL10リレー不良
 RL1,RL11切り替わらない</t>
  </si>
  <si>
    <t>2024/5/7 (54) RL5交換</t>
  </si>
  <si>
    <t>BUSボタン23の赤点灯不良
 R53の導通無し</t>
  </si>
  <si>
    <t>2024/5/23 R53の電極が欠損している。SW後付け時に半田こてが触れたか？ 部品交換し3課へ</t>
  </si>
  <si>
    <t>1部のSWがボタン点灯するがSWの反応が無い</t>
  </si>
  <si>
    <t>2024/5/28 部品手配中
 2024/6/20 改造の部品取付向き間違い、CN1破損のため交換依頼
 2024/7/17 部品交換完了し、2課へ</t>
  </si>
  <si>
    <t>３QB2RB051L40</t>
  </si>
  <si>
    <t>Genlockが検査ツールにてUnlockとなる</t>
  </si>
  <si>
    <t>2024/5/30 C146交換</t>
  </si>
  <si>
    <t>12G-SDIにて偶にタイミングジッタ大</t>
  </si>
  <si>
    <t>2024/5/31 C146,C147交換
 2024/6/28 改善せず
 2024/7/25 C147交換、改善</t>
  </si>
  <si>
    <t>IN3のSDI入力が表示されない。</t>
  </si>
  <si>
    <t>2024/6/19 RL3交換し、3課へ</t>
  </si>
  <si>
    <t>μSDより書き込み不可 LAN_LED点灯せず</t>
  </si>
  <si>
    <t>24/6/24 開発指示で改造・ジャンパーの確認し問題見つからず。
 24/09/20 改造にて対策完了</t>
  </si>
  <si>
    <t>24/6/24 開発指示で改造・ジャンパーの確認し問題見つからず。
 24/09/20 開発にて調査に使用中</t>
  </si>
  <si>
    <t>2024/6/24 開発指示で改造・ジャンパーの確認し問題見つからず。
 2024/7/9 良品のSATA_IFに組込し起動確認、その後SATA_IFを戻しても製上に起動する</t>
  </si>
  <si>
    <t>起動したり、しなかったりする。
 開発調査依頼の戻り後、S2が取り外された？</t>
  </si>
  <si>
    <t>2024/6/27 CPUが朝日エンジニアリング製のため交換する？ → メーカー依存は無い？</t>
  </si>
  <si>
    <t>2024/7/2 ⑮ リレー交換完了、2課へ</t>
  </si>
  <si>
    <t>リフロー後：4ヶ
 半田DIP後：2ヶ</t>
  </si>
  <si>
    <t>2024/7/2 ⑯ リレー交換完了、2課へ</t>
  </si>
  <si>
    <t>2024/6/27 ⑰ リレー交換完了、2課へ</t>
  </si>
  <si>
    <t>リフロー後：2ヶ
 半田DIP後：1ヶ</t>
  </si>
  <si>
    <t>2024/6/27 ⑱ リレー交換完了、2課へ</t>
  </si>
  <si>
    <t>リフロー後：6ヶ
 半田DIP後：1ヶ</t>
  </si>
  <si>
    <t>2024/7/2 ⑲ リレー交換完了、2課へ</t>
  </si>
  <si>
    <t>リフロー後：6ヶ
 半田DIP後：3ヶ</t>
  </si>
  <si>
    <t>2024/7/2 ㉑ リレー交換完了、2課へ</t>
  </si>
  <si>
    <t>2024/7/2 ㉒ リレー交換完了、2課へ</t>
  </si>
  <si>
    <t>2024/7/2 ㉓ リレー交換完了、2課へ</t>
  </si>
  <si>
    <t>リフロー後：3ヶ
 半田DIP後：2ヶ</t>
  </si>
  <si>
    <t>2024/7/2 ㉔ リレー交換完了、2課へ</t>
  </si>
  <si>
    <t>リフロー後：6ヶ
 半田DIP後：2ヶ</t>
  </si>
  <si>
    <t>2024/7/2 ㉕ RL1,12交換</t>
  </si>
  <si>
    <t>2024/7/2 ㉗ RL3,4,5交換</t>
  </si>
  <si>
    <t>リフロー後：5ヶ
 半田DIP後：3ヶ</t>
  </si>
  <si>
    <t>2024/7/2 ㉘ RL1,6,10交換</t>
  </si>
  <si>
    <t>リフロー後：7ヶ
 半田DIP後：3ヶ</t>
  </si>
  <si>
    <t>R24365</t>
  </si>
  <si>
    <t>FA-16AES-UBL</t>
  </si>
  <si>
    <t>BNC変形(CN1)</t>
  </si>
  <si>
    <t>2024/7/1 CN1交換予定
 2024/7/2 CN1交換し、3課へ</t>
  </si>
  <si>
    <t>E04859</t>
  </si>
  <si>
    <t>BUSボタン D1~8(上段)、S1(下段)が非選択時に消灯する。正常時は薄く点灯</t>
  </si>
  <si>
    <t>2024/7/5 CN5のコンタクト向き変形有り、半田熱が原因か？
 コンタクト向き修正し、接点洗浄剤で復帰を確認、3課へ</t>
  </si>
  <si>
    <t>12G-SDI タイミングジッタ大
 HD-SDIのタイミングジッタが0.4UI</t>
  </si>
  <si>
    <t>2024/7/25 C147交換、3課へ
 2024/9/3 C146交換、3課へ</t>
  </si>
  <si>
    <t>C147、C146</t>
  </si>
  <si>
    <t>3QCX１AMTCT225
 3QCX1AMTCO476</t>
  </si>
  <si>
    <t>2024/7/23 C146交換、3課へ</t>
  </si>
  <si>
    <t>OU3_BUS16</t>
  </si>
  <si>
    <t>SW130,138,146,154,162,170,178,186の押し釦が反応しない。</t>
  </si>
  <si>
    <t>2024/7/8 sig(B_S_D1-1)パターンは正常(断線、ショート無し) 部品出庫依頼
 2024/7/11 部品交換し、2課へ</t>
  </si>
  <si>
    <t>IC18</t>
  </si>
  <si>
    <t>R24186
 作番完了</t>
  </si>
  <si>
    <t>LVDS出力が表示されない</t>
  </si>
  <si>
    <t>2024/7/1 品質異常報告書発行</t>
  </si>
  <si>
    <t>MaicroSDより起動しない
 HVS-190SのAストッロに組込
 HVS-490に組込しても同様</t>
  </si>
  <si>
    <t>2024/7/24 R916(0Ω)電極破損？ 導通無し
  交換したが改善せず。SW開発部へ調査依頼中。
 24/09/20 改造にて対策完了</t>
  </si>
  <si>
    <t>2024/7/24 C147交換、3課へ
  時々ジッタ値が大きくなるが、規定内のため組込へ引当</t>
  </si>
  <si>
    <t>バージョン表示 WEB_GUIでは表示するが、HVS-490OU GUIでは表示しない時がある。NIF基板は認識している。Aスロット/HVS-490OU</t>
  </si>
  <si>
    <t>2024/7/25 源投入時、LAN1/2 LED点灯するまでの時間が遅い。1.8V_VCCAUXの電圧が消灯時0.6V→点灯1.8V。
 24/09/20 改造にて対策完了</t>
  </si>
  <si>
    <t>Aスロット起動せず 1/5回程度</t>
  </si>
  <si>
    <t>2024/7/25 起動せず 2/4回実施。1.8V_VCCAUXの電圧が現象発生時は0.5V。
 24/09/20 改造にて対策完了</t>
  </si>
  <si>
    <t>R24466</t>
  </si>
  <si>
    <t>LCD1～LCD8が表示されない</t>
  </si>
  <si>
    <t>2024/7/31 CN5に接触不良。13~19ピンが変形していた。
 実装時の温度掛け過ぎか？。コンタクト修正し改善</t>
  </si>
  <si>
    <t>起動せず。D44点灯、点滅しない</t>
  </si>
  <si>
    <t>2024/7/29 記入漏れ為、追記 作番は残1式
 2024/8/30 L42破損しているため交換。D44は点灯</t>
  </si>
  <si>
    <t>L42</t>
  </si>
  <si>
    <t>SDI OUT</t>
  </si>
  <si>
    <t>IC201書込み出来ず</t>
  </si>
  <si>
    <t>2024/7/29 現品発見。IC201手配予定
 2024/8/22 部品交換し、3課へ
 2024/8/30 時々起動不良を発生する
 S12037未実施の為、処置を追加し、3課へ</t>
  </si>
  <si>
    <t>2024/7/30 部品取外し依頼
 2024/09/03 修理完了</t>
  </si>
  <si>
    <t>RL2~RL7/RL10リレー不良</t>
  </si>
  <si>
    <t>2024/7/9 ㉜ リレー交換実施、2課へ</t>
  </si>
  <si>
    <t>RL1,RL3,R7,RL10,RL18/RL2リレー不良</t>
  </si>
  <si>
    <t>2024/7/9 ㉝ リレー交換実施、2課へ</t>
  </si>
  <si>
    <t>RL3,R5,RL6,RL9/RL1,RL7,RL20リレー不良</t>
  </si>
  <si>
    <t>2024/7/9 ㉞ リレー交換実施、2課へ</t>
  </si>
  <si>
    <t>RL3,RL4,RL7~RL9,RL14/RL1,RL5,RL10,Rl13リレー不良</t>
  </si>
  <si>
    <t>2024/7/9 ㉟ リレー交換実施、2課へ</t>
  </si>
  <si>
    <t>RL5,RL9/RL2,RL6,RL19リレー不良</t>
  </si>
  <si>
    <t>2024/7/9 ㊱ リレー交換実施、2課へ</t>
  </si>
  <si>
    <t>RL5,RL9,RL15/RL20リレー不良</t>
  </si>
  <si>
    <t>224/7/9 ㊳ リレー交換実施、2課へ</t>
  </si>
  <si>
    <t>RL3,RL4,RL8/RL1リレー不良</t>
  </si>
  <si>
    <t>2024/7/9 ㊵ リレー交換実施、2課へ</t>
  </si>
  <si>
    <t>2024/7/31 C135交換</t>
  </si>
  <si>
    <t>2024/8/1 C135交換</t>
  </si>
  <si>
    <t>全てのボタンSWが点灯しない。</t>
  </si>
  <si>
    <t>2024/7/29 記入漏れ？
 D19及び680Ω抵抗が多数外れている？
 他製品基板からの流用/引き当て？
 2024/8/5 部品取付し、ボタンSWの点灯は復帰、2課へ</t>
  </si>
  <si>
    <t>STILLチャプチャー出来ない</t>
  </si>
  <si>
    <t>2024/8/8 作番完了。他作番から引き当てか？
 IC76~78をリワークしたが改善せず。</t>
  </si>
  <si>
    <t>R22914
 作番完了</t>
  </si>
  <si>
    <t>HDMI(CN14)のパターンが剥がれている</t>
  </si>
  <si>
    <t>2021/4/22 納品時の状態。
 2024/8/8 作番完了している。流用か？</t>
  </si>
  <si>
    <t>2022/</t>
  </si>
  <si>
    <t>R22296
 作番完了</t>
  </si>
  <si>
    <t>HVS-6000SDO</t>
  </si>
  <si>
    <t>BNCのネジ折れ(CN36)</t>
  </si>
  <si>
    <t>2022/10/13 部品取外し依頼
 2022/10/20 交換部品手配？(石川さん)</t>
  </si>
  <si>
    <t>E05434</t>
  </si>
  <si>
    <t>タイミングジッタ大(0.5UI程）</t>
  </si>
  <si>
    <t>2024/8/21 C147交換、3課へ</t>
  </si>
  <si>
    <t>RL1~RL3,R5,RL6,RL8,RL10,RL11RL16,RL18リレー不良</t>
  </si>
  <si>
    <t>2024/8/20 BNC実装後、2課へ</t>
  </si>
  <si>
    <t>T43278-239</t>
  </si>
  <si>
    <t>RL1,RL2,RL4~RL7,RL16,RL17リレー不良</t>
  </si>
  <si>
    <t>2024/8/29 MFGセンターへ返却(リレー交換,BNC取付)
 2024/9/4 MFGセンターより受取、リレー動作OK、2課へ</t>
  </si>
  <si>
    <t>RL2,RL9,RL16,RL20リレー不良</t>
  </si>
  <si>
    <t>R24541</t>
  </si>
  <si>
    <t>IN6のAnalog入力信号が出力されない。RL9をたたくと出力する</t>
  </si>
  <si>
    <t>2024/9/3 RL9交換し、3課へ</t>
  </si>
  <si>
    <t>R22716
 作番完了</t>
  </si>
  <si>
    <t>CPLD起動せず。書込み不可。
 FPGAは起動。ショートチェック問題なし。MFR-6000からの流用
 S/N.18080015と入替</t>
  </si>
  <si>
    <t>組立中の基板挿抜にてCN16のコネクタ損傷。(BNCのホット側が凹んだ</t>
  </si>
  <si>
    <t>2024/9/10 MFGセンターへ交換依頼
 2024/9/24 MFGセンターより戻り。2課へ</t>
  </si>
  <si>
    <t>IN1の入力が表示されない
 IC1(+3.3V)の出力無し</t>
  </si>
  <si>
    <t>2024/9/9 R2006破損。ｼｬｰｼ組込時に破損した？</t>
  </si>
  <si>
    <t>3QDX0CQJG104</t>
  </si>
  <si>
    <t>IN1のｺﾝﾎﾟｼﾞｯﾄ入力信号が出力されない</t>
  </si>
  <si>
    <t>2024/9/24 R2006破損。ｼｬｰｼ組込時に破損した？</t>
  </si>
  <si>
    <t>R24499</t>
  </si>
  <si>
    <t>F3のエンコーダ動作不良
 左回転すると反転動作となる</t>
  </si>
  <si>
    <t>2024/9/26 ENC3交換し、3課へ</t>
  </si>
  <si>
    <t>ENC</t>
  </si>
  <si>
    <t>LEDの赤色輝度不足。
 9式(10ヶ所)、R2欠損</t>
  </si>
  <si>
    <t>2024/10/2 LED交換実施、2課へ</t>
  </si>
  <si>
    <t>2021/11/04 現象確認、不良個所調査中
 仕掛週報D 残5/30
 20241101 修理完了、出荷可能。</t>
  </si>
  <si>
    <t>製造不良コード一覧</t>
  </si>
  <si>
    <t>第1分類</t>
  </si>
  <si>
    <t>第2分類</t>
  </si>
  <si>
    <t>第3分類</t>
  </si>
  <si>
    <t>M</t>
  </si>
  <si>
    <t>製造</t>
  </si>
  <si>
    <t>A</t>
  </si>
  <si>
    <t>資材</t>
  </si>
  <si>
    <t>MA1</t>
  </si>
  <si>
    <t>員数不足</t>
  </si>
  <si>
    <t>I</t>
  </si>
  <si>
    <t>筐体組配</t>
  </si>
  <si>
    <t>MI1</t>
  </si>
  <si>
    <t>位置ずれ</t>
  </si>
  <si>
    <t>MA2</t>
  </si>
  <si>
    <t>品違い</t>
  </si>
  <si>
    <t>MI2</t>
  </si>
  <si>
    <t>異物混入</t>
  </si>
  <si>
    <t>MA3</t>
  </si>
  <si>
    <t>混入</t>
  </si>
  <si>
    <t>MI3</t>
  </si>
  <si>
    <t>傷</t>
  </si>
  <si>
    <t>MI4</t>
  </si>
  <si>
    <t>ネジ止め不良</t>
  </si>
  <si>
    <t>MI99</t>
  </si>
  <si>
    <t>その他</t>
  </si>
  <si>
    <t>J</t>
  </si>
  <si>
    <t>ワイヤリング</t>
  </si>
  <si>
    <t>MJ1</t>
  </si>
  <si>
    <t>誤配線</t>
  </si>
  <si>
    <t>（ＰＷ）</t>
  </si>
  <si>
    <t>MJ2</t>
  </si>
  <si>
    <t>未半田</t>
  </si>
  <si>
    <t>MA99</t>
  </si>
  <si>
    <t>MJ3</t>
  </si>
  <si>
    <t>板金</t>
  </si>
  <si>
    <t>MB1</t>
  </si>
  <si>
    <t>MJ4</t>
  </si>
  <si>
    <t>(板金</t>
  </si>
  <si>
    <t>MB2</t>
  </si>
  <si>
    <t>色違い</t>
  </si>
  <si>
    <t>MJ99</t>
  </si>
  <si>
    <t>部品不良）</t>
  </si>
  <si>
    <t>MB3</t>
  </si>
  <si>
    <t>錆</t>
  </si>
  <si>
    <t>K</t>
  </si>
  <si>
    <t>調整</t>
  </si>
  <si>
    <t>MK1</t>
  </si>
  <si>
    <t>レベル調整</t>
  </si>
  <si>
    <t>MB4</t>
  </si>
  <si>
    <t>指紋</t>
  </si>
  <si>
    <t>MK2</t>
  </si>
  <si>
    <t>設定不良</t>
  </si>
  <si>
    <t>MB5</t>
  </si>
  <si>
    <t>作業忘れ</t>
  </si>
  <si>
    <t>MK3</t>
  </si>
  <si>
    <t>設計不良</t>
  </si>
  <si>
    <t>MB6</t>
  </si>
  <si>
    <t>取付ミス</t>
  </si>
  <si>
    <t>MB7</t>
  </si>
  <si>
    <t>寸法不良</t>
  </si>
  <si>
    <t>MK99</t>
  </si>
  <si>
    <t>MB8</t>
  </si>
  <si>
    <t>シルク不良</t>
  </si>
  <si>
    <t>MB99</t>
  </si>
  <si>
    <t>部品不良</t>
  </si>
  <si>
    <t>MC1</t>
  </si>
  <si>
    <t>部品コード</t>
  </si>
  <si>
    <t>Z</t>
  </si>
  <si>
    <t>未回答</t>
  </si>
  <si>
    <t>DZ1</t>
  </si>
  <si>
    <t>上位2桁</t>
  </si>
  <si>
    <t>DZ2</t>
  </si>
  <si>
    <t>未終了</t>
  </si>
  <si>
    <t>MZ1</t>
  </si>
  <si>
    <t>MC99</t>
  </si>
  <si>
    <t>MZ2</t>
  </si>
  <si>
    <t>基板不良</t>
  </si>
  <si>
    <t>MD1</t>
  </si>
  <si>
    <t>パターン切れ</t>
  </si>
  <si>
    <t>MD2</t>
  </si>
  <si>
    <t>パターンショート</t>
  </si>
  <si>
    <t>MD3</t>
  </si>
  <si>
    <t>※使用上の注意</t>
  </si>
  <si>
    <t>●社内の帳票不良内容を記録する際に不良コードを</t>
  </si>
  <si>
    <t>記入する。</t>
  </si>
  <si>
    <t>●不良コード記入欄がない場合には不良内容の記入欄</t>
  </si>
  <si>
    <t>MD99</t>
  </si>
  <si>
    <t>に合わせて記入する。（記入欄の右下隅に記入）</t>
  </si>
  <si>
    <t>E</t>
  </si>
  <si>
    <t>リフロー</t>
  </si>
  <si>
    <t>ME1</t>
  </si>
  <si>
    <t>●T及びBは後ろに付ける。</t>
  </si>
  <si>
    <t>表：Ｔ</t>
  </si>
  <si>
    <t>ME2</t>
  </si>
  <si>
    <t>半田ブリッジ</t>
  </si>
  <si>
    <t>リフロー実装の未半田で裏面で発生した場合</t>
  </si>
  <si>
    <t>裏：B</t>
  </si>
  <si>
    <t>ME3</t>
  </si>
  <si>
    <t>誤挿入</t>
  </si>
  <si>
    <t>ME1B</t>
  </si>
  <si>
    <t>ME4</t>
  </si>
  <si>
    <t>欠品</t>
  </si>
  <si>
    <t>●ディップか手付けか改造か不明の場合は</t>
  </si>
  <si>
    <t>ME5</t>
  </si>
  <si>
    <t>ピン浮き</t>
  </si>
  <si>
    <t>ディップにする。</t>
  </si>
  <si>
    <t>ME6</t>
  </si>
  <si>
    <t>ピンズレ</t>
  </si>
  <si>
    <t>●手付けか改造か迷った場合手付けにする。</t>
  </si>
  <si>
    <t>ME99</t>
  </si>
  <si>
    <t>F</t>
  </si>
  <si>
    <t>ディップ</t>
  </si>
  <si>
    <t>MF1</t>
  </si>
  <si>
    <t>MF2</t>
  </si>
  <si>
    <t>MF3</t>
  </si>
  <si>
    <t>MF4</t>
  </si>
  <si>
    <t>MF5</t>
  </si>
  <si>
    <t>MF6</t>
  </si>
  <si>
    <t>MF99</t>
  </si>
  <si>
    <t>G</t>
  </si>
  <si>
    <t>手付け</t>
  </si>
  <si>
    <t>MG1</t>
  </si>
  <si>
    <t>MG2</t>
  </si>
  <si>
    <t>MG3</t>
  </si>
  <si>
    <t>MG4</t>
  </si>
  <si>
    <t>MG5</t>
  </si>
  <si>
    <t>MG6</t>
  </si>
  <si>
    <t>MG99</t>
  </si>
  <si>
    <t>H</t>
  </si>
  <si>
    <t>改造</t>
  </si>
  <si>
    <t>MH1</t>
  </si>
  <si>
    <t>MH2</t>
  </si>
  <si>
    <t>ブリッジ</t>
  </si>
  <si>
    <t>MH3</t>
  </si>
  <si>
    <t>MH4</t>
  </si>
  <si>
    <t>MH5</t>
  </si>
  <si>
    <t>カットミス</t>
  </si>
  <si>
    <t>MH6</t>
  </si>
  <si>
    <t>ジャンパーミス</t>
  </si>
  <si>
    <t>MH7</t>
  </si>
  <si>
    <t>MH99</t>
  </si>
  <si>
    <t>ソフト判断用、手動での更新は原則禁止</t>
  </si>
  <si>
    <t>復元用ヘッダー(番号から復元)</t>
  </si>
  <si>
    <t>最終使用番号</t>
  </si>
  <si>
    <t>番号更新日</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</si>
</sst>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m/d"/>
    <numFmt numFmtId="166" formatCode="yyyy/m/d"/>
    <numFmt numFmtId="167" formatCode="yyyy/mm/dd"/>
    <numFmt numFmtId="168" formatCode="m月d日"/>
    <numFmt numFmtId="169" formatCode="mm月dd日"/>
  </numFmts>
  <fonts count="62">
    <font>
      <sz val="10.0"/>
      <color rgb="FF000000"/>
      <name val="Arial"/>
      <scheme val="minor"/>
    </font>
    <font>
      <b/>
      <sz val="10.0"/>
      <color rgb="FFD9D9D9"/>
      <name val="Arial"/>
      <scheme val="minor"/>
    </font>
    <font>
      <sz val="10.0"/>
      <color rgb="FFD9D9D9"/>
      <name val="Arial"/>
      <scheme val="minor"/>
    </font>
    <font>
      <b/>
      <sz val="10.0"/>
      <color theme="1"/>
      <name val="Arial"/>
      <scheme val="minor"/>
    </font>
    <font>
      <sz val="10.0"/>
      <color theme="1"/>
      <name val="Arial"/>
      <scheme val="minor"/>
    </font>
    <font>
      <b/>
      <sz val="11.0"/>
      <color theme="1"/>
      <name val="Arial"/>
      <scheme val="minor"/>
    </font>
    <font>
      <sz val="11.0"/>
      <color theme="1"/>
      <name val="游ゴシック"/>
    </font>
    <font>
      <sz val="10.0"/>
      <color theme="1"/>
      <name val="游ゴシック"/>
    </font>
    <font>
      <sz val="11.0"/>
      <color rgb="FFFF0000"/>
      <name val="游ゴシック"/>
    </font>
    <font>
      <b/>
      <sz val="10.0"/>
      <color rgb="FFFF0000"/>
      <name val="Arial"/>
      <scheme val="minor"/>
    </font>
    <font>
      <sz val="11.0"/>
      <color theme="1"/>
      <name val="&quot;ＭＳ ゴシック&quot;"/>
    </font>
    <font>
      <b/>
      <color rgb="FFFF0000"/>
      <name val="Arial"/>
      <scheme val="minor"/>
    </font>
    <font>
      <sz val="10.0"/>
      <color rgb="FFFF0000"/>
      <name val="Arial"/>
      <scheme val="minor"/>
    </font>
    <font>
      <color theme="1"/>
      <name val="Arial"/>
      <scheme val="minor"/>
    </font>
    <font>
      <sz val="11.0"/>
      <color theme="1"/>
      <name val="&quot;Google Sans&quot;"/>
    </font>
    <font>
      <color rgb="FF000000"/>
      <name val="Arial"/>
    </font>
    <font>
      <sz val="11.0"/>
      <color rgb="FF000000"/>
      <name val="游ゴシック"/>
    </font>
    <font>
      <sz val="10.0"/>
      <color rgb="FF000000"/>
      <name val="游ゴシック"/>
    </font>
    <font>
      <color rgb="FF000000"/>
      <name val="&quot;ＭＳ ゴシック&quot;"/>
    </font>
    <font>
      <sz val="11.0"/>
      <color theme="1"/>
      <name val="Arial"/>
      <scheme val="minor"/>
    </font>
    <font>
      <sz val="11.0"/>
      <color rgb="FF000000"/>
      <name val="Arial"/>
      <scheme val="minor"/>
    </font>
    <font>
      <color rgb="FF434343"/>
      <name val="Roboto"/>
    </font>
    <font>
      <color theme="1"/>
      <name val="Roboto"/>
    </font>
    <font>
      <color theme="1"/>
      <name val="Arial"/>
    </font>
    <font>
      <sz val="10.0"/>
      <color theme="1"/>
      <name val="Arial"/>
    </font>
    <font>
      <sz val="9.0"/>
      <color theme="1"/>
      <name val="Arial"/>
      <scheme val="minor"/>
    </font>
    <font>
      <sz val="10.0"/>
      <color theme="1"/>
      <name val="&quot;ＭＳ ゴシック&quot;"/>
    </font>
    <font>
      <sz val="10.0"/>
      <color theme="1"/>
      <name val="Roboto"/>
    </font>
    <font>
      <sz val="10.0"/>
      <color rgb="FF000000"/>
      <name val="Roboto"/>
    </font>
    <font>
      <b/>
      <sz val="10.0"/>
      <color rgb="FF000000"/>
      <name val="Arial"/>
      <scheme val="minor"/>
    </font>
    <font>
      <b/>
      <sz val="11.0"/>
      <color rgb="FFFF0000"/>
      <name val="游ゴシック"/>
    </font>
    <font>
      <sz val="16.0"/>
      <color theme="1"/>
      <name val="游ゴシック"/>
    </font>
    <font>
      <sz val="11.0"/>
      <color theme="1"/>
      <name val="Arial"/>
    </font>
    <font>
      <color rgb="FF434343"/>
      <name val="Arial"/>
    </font>
    <font>
      <sz val="11.0"/>
      <color rgb="FFFF0000"/>
      <name val="Arial"/>
    </font>
    <font>
      <sz val="7.0"/>
      <color theme="1"/>
      <name val="Arial"/>
      <scheme val="minor"/>
    </font>
    <font>
      <color theme="1"/>
      <name val="&quot;Arial&quot;"/>
    </font>
    <font>
      <sz val="11.0"/>
      <color rgb="FFFF0000"/>
      <name val="Arial"/>
      <scheme val="minor"/>
    </font>
    <font>
      <color rgb="FF000000"/>
      <name val="&quot;Arial&quot;"/>
    </font>
    <font>
      <sz val="11.0"/>
      <color rgb="FF000000"/>
      <name val="&quot;Arial&quot;"/>
    </font>
    <font>
      <sz val="16.0"/>
      <color rgb="FF000000"/>
      <name val="游ゴシック"/>
    </font>
    <font>
      <strike/>
      <color theme="1"/>
      <name val="Arial"/>
    </font>
    <font>
      <sz val="8.0"/>
      <color rgb="FF000000"/>
      <name val="游ゴシック"/>
    </font>
    <font>
      <sz val="8.0"/>
      <color theme="1"/>
      <name val="游ゴシック"/>
    </font>
    <font>
      <sz val="11.0"/>
      <color rgb="FF434343"/>
      <name val="Arial"/>
    </font>
    <font>
      <strike/>
      <sz val="10.0"/>
      <color theme="1"/>
      <name val="Arial"/>
      <scheme val="minor"/>
    </font>
    <font>
      <color rgb="FFFF0000"/>
      <name val="Arial"/>
    </font>
    <font>
      <sz val="8.0"/>
      <color rgb="FF000000"/>
      <name val="Arial"/>
    </font>
    <font>
      <sz val="16.0"/>
      <color rgb="FF000000"/>
      <name val="&quot;Arial&quot;"/>
    </font>
    <font>
      <sz val="11.0"/>
      <color theme="1"/>
      <name val="&quot;ＭＳ Ｐゴシック&quot;"/>
    </font>
    <font>
      <sz val="11.0"/>
      <color rgb="FF434343"/>
      <name val="Roboto"/>
    </font>
    <font>
      <color rgb="FFFF0000"/>
      <name val="Roboto"/>
    </font>
    <font>
      <b/>
      <color rgb="FFFFFFFF"/>
      <name val="Arial"/>
      <scheme val="minor"/>
    </font>
    <font>
      <b/>
      <sz val="9.0"/>
      <color rgb="FFFFFFFF"/>
      <name val="Arial"/>
      <scheme val="minor"/>
    </font>
    <font>
      <sz val="9.0"/>
      <color rgb="FFFFFFFF"/>
      <name val="Arial"/>
      <scheme val="minor"/>
    </font>
    <font>
      <sz val="14.0"/>
      <color rgb="FF000000"/>
      <name val="游ゴシック"/>
    </font>
    <font>
      <strike/>
      <sz val="11.0"/>
      <color rgb="FF000000"/>
      <name val="游ゴシック"/>
    </font>
    <font>
      <sz val="11.0"/>
      <color rgb="FF000000"/>
      <name val="&quot;ＭＳ Ｐゴシック&quot;"/>
    </font>
    <font>
      <b/>
      <sz val="11.0"/>
      <color rgb="FFFF0000"/>
      <name val="&quot;ＭＳ Ｐゴシック&quot;"/>
    </font>
    <font>
      <strike/>
      <sz val="11.0"/>
      <color theme="1"/>
      <name val="游ゴシック"/>
    </font>
    <font>
      <color rgb="FF000000"/>
      <name val="游ゴシック"/>
    </font>
    <font>
      <b/>
      <sz val="16.0"/>
      <color theme="1"/>
      <name val="Arial"/>
      <scheme val="minor"/>
    </font>
  </fonts>
  <fills count="18">
    <fill>
      <patternFill patternType="none"/>
    </fill>
    <fill>
      <patternFill patternType="lightGray"/>
    </fill>
    <fill>
      <patternFill patternType="solid">
        <fgColor rgb="FFD9D9D9"/>
        <bgColor rgb="FFD9D9D9"/>
      </patternFill>
    </fill>
    <fill>
      <patternFill patternType="solid">
        <fgColor rgb="FFFF00FF"/>
        <bgColor rgb="FFFF00FF"/>
      </patternFill>
    </fill>
    <fill>
      <patternFill patternType="solid">
        <fgColor rgb="FF00FFFF"/>
        <bgColor rgb="FF00FFFF"/>
      </patternFill>
    </fill>
    <fill>
      <patternFill patternType="solid">
        <fgColor rgb="FFFFFF00"/>
        <bgColor rgb="FFFFFF00"/>
      </patternFill>
    </fill>
    <fill>
      <patternFill patternType="solid">
        <fgColor rgb="FFC5E0B4"/>
        <bgColor rgb="FFC5E0B4"/>
      </patternFill>
    </fill>
    <fill>
      <patternFill patternType="solid">
        <fgColor rgb="FFBDD7EE"/>
        <bgColor rgb="FFBDD7EE"/>
      </patternFill>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C6E0B4"/>
        <bgColor rgb="FFC6E0B4"/>
      </patternFill>
    </fill>
    <fill>
      <patternFill patternType="solid">
        <fgColor rgb="FFF6F8F9"/>
        <bgColor rgb="FFF6F8F9"/>
      </patternFill>
    </fill>
    <fill>
      <patternFill patternType="solid">
        <fgColor rgb="FF26A69A"/>
        <bgColor rgb="FF26A69A"/>
      </patternFill>
    </fill>
    <fill>
      <patternFill patternType="solid">
        <fgColor rgb="FFDDF2F0"/>
        <bgColor rgb="FFDDF2F0"/>
      </patternFill>
    </fill>
    <fill>
      <patternFill patternType="solid">
        <fgColor rgb="FFFFC000"/>
        <bgColor rgb="FFFFC000"/>
      </patternFill>
    </fill>
    <fill>
      <patternFill patternType="solid">
        <fgColor rgb="FFF8CBAD"/>
        <bgColor rgb="FFF8CBAD"/>
      </patternFill>
    </fill>
    <fill>
      <patternFill patternType="solid">
        <fgColor rgb="FF81D41A"/>
        <bgColor rgb="FF81D41A"/>
      </patternFill>
    </fill>
  </fills>
  <borders count="41">
    <border/>
    <border>
      <left style="thin">
        <color rgb="FF000000"/>
      </left>
      <right style="thin">
        <color rgb="FF000000"/>
      </right>
      <top style="thin">
        <color rgb="FF000000"/>
      </top>
      <bottom style="thin">
        <color rgb="FF000000"/>
      </bottom>
    </border>
    <border>
      <left style="thin">
        <color rgb="FF999999"/>
      </left>
      <right style="thin">
        <color rgb="FF999999"/>
      </right>
      <top style="thin">
        <color rgb="FF999999"/>
      </top>
      <bottom style="thin">
        <color rgb="FF999999"/>
      </bottom>
    </border>
    <border>
      <left style="thin">
        <color rgb="FF666666"/>
      </left>
      <right style="thin">
        <color rgb="FF666666"/>
      </right>
      <top style="thin">
        <color rgb="FF666666"/>
      </top>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left style="thin">
        <color rgb="FF666666"/>
      </left>
      <right style="thin">
        <color rgb="FF666666"/>
      </right>
      <bottom style="thin">
        <color rgb="FF666666"/>
      </bottom>
    </border>
    <border>
      <left style="thin">
        <color rgb="FF666666"/>
      </left>
      <bottom style="thin">
        <color rgb="FF666666"/>
      </bottom>
    </border>
    <border>
      <left style="thin">
        <color rgb="FF999999"/>
      </left>
      <right style="thin">
        <color rgb="FF999999"/>
      </right>
      <bottom style="thin">
        <color rgb="FF999999"/>
      </bottom>
    </border>
    <border>
      <left style="thin">
        <color rgb="FF000000"/>
      </left>
      <right style="thin">
        <color rgb="FF000000"/>
      </right>
      <bottom style="thin">
        <color rgb="FF000000"/>
      </bottom>
    </border>
    <border>
      <left style="thin">
        <color rgb="FF666666"/>
      </left>
      <right style="thin">
        <color rgb="FF666666"/>
      </right>
      <top style="thin">
        <color rgb="FF666666"/>
      </top>
      <bottom style="thick">
        <color rgb="FF0000FF"/>
      </bottom>
    </border>
    <border>
      <left style="thin">
        <color rgb="FF666666"/>
      </left>
      <top style="thin">
        <color rgb="FF666666"/>
      </top>
      <bottom style="thick">
        <color rgb="FF0000FF"/>
      </bottom>
    </border>
    <border>
      <left style="thin">
        <color rgb="FF999999"/>
      </left>
      <right style="thin">
        <color rgb="FF999999"/>
      </right>
      <top style="thin">
        <color rgb="FF999999"/>
      </top>
      <bottom style="thick">
        <color rgb="FF0000FF"/>
      </bottom>
    </border>
    <border>
      <left style="thin">
        <color rgb="FF000000"/>
      </left>
      <right style="thin">
        <color rgb="FF000000"/>
      </right>
      <top style="thin">
        <color rgb="FF000000"/>
      </top>
      <bottom style="thick">
        <color rgb="FF0000FF"/>
      </bottom>
    </border>
    <border>
      <left style="thin">
        <color rgb="FF999999"/>
      </left>
      <right style="thin">
        <color rgb="FF999999"/>
      </right>
      <top style="thin">
        <color rgb="FF999999"/>
      </top>
    </border>
    <border>
      <right style="thin">
        <color rgb="FF000000"/>
      </right>
      <top style="thin">
        <color rgb="FF000000"/>
      </top>
      <bottom style="thin">
        <color rgb="FF000000"/>
      </bottom>
    </border>
    <border>
      <left style="thin">
        <color rgb="FF666666"/>
      </left>
      <right style="thin">
        <color rgb="FF666666"/>
      </right>
      <top style="thin">
        <color rgb="FF666666"/>
      </top>
      <bottom style="thick">
        <color rgb="FF000000"/>
      </bottom>
    </border>
    <border>
      <left style="thin">
        <color rgb="FF666666"/>
      </left>
      <top style="thin">
        <color rgb="FF666666"/>
      </top>
      <bottom style="thick">
        <color rgb="FF000000"/>
      </bottom>
    </border>
    <border>
      <left style="thin">
        <color rgb="FF999999"/>
      </left>
      <right style="thin">
        <color rgb="FF999999"/>
      </right>
      <top style="thin">
        <color rgb="FF999999"/>
      </top>
      <bottom style="thick">
        <color rgb="FF000000"/>
      </bottom>
    </border>
    <border>
      <top style="thin">
        <color rgb="FF000000"/>
      </top>
      <bottom style="thin">
        <color rgb="FF000000"/>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right style="thin">
        <color rgb="FF666666"/>
      </right>
      <bottom style="thin">
        <color rgb="FF666666"/>
      </bottom>
    </border>
    <border>
      <right style="thin">
        <color rgb="FF999999"/>
      </right>
      <bottom style="thin">
        <color rgb="FF666666"/>
      </bottom>
    </border>
    <border>
      <left style="thin">
        <color rgb="FF666666"/>
      </left>
      <right style="thin">
        <color rgb="FFFFFFFF"/>
      </right>
      <top style="thin">
        <color rgb="FF666666"/>
      </top>
      <bottom style="thin">
        <color rgb="FF666666"/>
      </bottom>
    </border>
    <border>
      <left style="thin">
        <color rgb="FF666666"/>
      </left>
      <right style="thin">
        <color rgb="FFC5E0B4"/>
      </right>
      <top style="thin">
        <color rgb="FF666666"/>
      </top>
      <bottom style="thin">
        <color rgb="FF666666"/>
      </bottom>
    </border>
    <border>
      <left style="thin">
        <color rgb="FF666666"/>
      </left>
      <right style="thin">
        <color rgb="FFC6E0B4"/>
      </right>
      <top style="thin">
        <color rgb="FF666666"/>
      </top>
      <bottom style="thin">
        <color rgb="FF666666"/>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000000"/>
      </bottom>
    </border>
    <border>
      <left style="thin">
        <color rgb="FF666666"/>
      </left>
      <right style="thin">
        <color rgb="FFF6F8F9"/>
      </right>
      <top style="thin">
        <color rgb="FF666666"/>
      </top>
      <bottom style="thin">
        <color rgb="FF666666"/>
      </bottom>
    </border>
    <border>
      <left style="thin">
        <color rgb="FFC5E0B4"/>
      </left>
      <right style="thin">
        <color rgb="FFC5E0B4"/>
      </right>
      <top style="thin">
        <color rgb="FFC5E0B4"/>
      </top>
      <bottom style="thin">
        <color rgb="FFC5E0B4"/>
      </bottom>
    </border>
    <border>
      <left style="thin">
        <color rgb="FFF6F8F9"/>
      </left>
      <right style="thin">
        <color rgb="FF284E3F"/>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666666"/>
      </left>
      <right style="thin">
        <color rgb="FFC5E0B4"/>
      </right>
      <top style="thin">
        <color rgb="FF666666"/>
      </top>
      <bottom style="thin">
        <color rgb="FFC5E0B4"/>
      </bottom>
    </border>
    <border>
      <right style="thin">
        <color rgb="FF000000"/>
      </right>
    </border>
    <border>
      <right style="thin">
        <color rgb="FF000000"/>
      </right>
      <bottom style="thin">
        <color rgb="FF000000"/>
      </bottom>
    </border>
    <border>
      <left style="medium">
        <color rgb="FF0000FF"/>
      </left>
      <right style="double">
        <color rgb="FFC9DAF8"/>
      </right>
      <top style="medium">
        <color rgb="FF0000FF"/>
      </top>
      <bottom style="dotted">
        <color rgb="FFC9DAF8"/>
      </bottom>
    </border>
    <border>
      <left style="double">
        <color rgb="FFC9DAF8"/>
      </left>
      <right style="medium">
        <color rgb="FF0000FF"/>
      </right>
      <top style="medium">
        <color rgb="FF0000FF"/>
      </top>
      <bottom style="dotted">
        <color rgb="FFC9DAF8"/>
      </bottom>
    </border>
    <border>
      <left style="medium">
        <color rgb="FF0000FF"/>
      </left>
      <right style="double">
        <color rgb="FFC9DAF8"/>
      </right>
      <bottom style="medium">
        <color rgb="FF0000FF"/>
      </bottom>
    </border>
    <border>
      <left style="double">
        <color rgb="FFC9DAF8"/>
      </left>
      <right style="medium">
        <color rgb="FF0000FF"/>
      </right>
      <bottom style="medium">
        <color rgb="FF0000FF"/>
      </bottom>
    </border>
  </borders>
  <cellStyleXfs count="1">
    <xf borderId="0" fillId="0" fontId="0" numFmtId="0" applyAlignment="1" applyFont="1"/>
  </cellStyleXfs>
  <cellXfs count="1086">
    <xf borderId="0" fillId="0" fontId="0" numFmtId="0" xfId="0" applyAlignment="1" applyFont="1">
      <alignment readingOrder="0" shrinkToFit="0" vertical="bottom" wrapText="0"/>
    </xf>
    <xf borderId="0" fillId="2" fontId="1" numFmtId="3" xfId="0" applyAlignment="1" applyFill="1" applyFont="1" applyNumberFormat="1">
      <alignment horizontal="left" readingOrder="0" shrinkToFit="0" vertical="center" wrapText="0"/>
    </xf>
    <xf borderId="0" fillId="2" fontId="2" numFmtId="3" xfId="0" applyAlignment="1" applyFont="1" applyNumberFormat="1">
      <alignment readingOrder="0" shrinkToFit="0" vertical="center" wrapText="0"/>
    </xf>
    <xf borderId="0" fillId="2" fontId="1" numFmtId="3"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1"/>
    </xf>
    <xf borderId="0" fillId="0" fontId="4" numFmtId="164" xfId="0" applyAlignment="1" applyFont="1" applyNumberFormat="1">
      <alignment horizontal="center" readingOrder="0" shrinkToFit="0" vertical="center" wrapText="0"/>
    </xf>
    <xf borderId="0" fillId="0" fontId="4" numFmtId="0" xfId="0" applyAlignment="1" applyFont="1">
      <alignment horizontal="left" readingOrder="0" shrinkToFit="0" vertical="center" wrapText="0"/>
    </xf>
    <xf borderId="0" fillId="0" fontId="3" numFmtId="0" xfId="0" applyAlignment="1" applyFont="1">
      <alignment horizontal="center" readingOrder="0" shrinkToFit="0" vertical="center" wrapText="0"/>
    </xf>
    <xf borderId="0" fillId="0" fontId="4" numFmtId="49" xfId="0" applyAlignment="1" applyFont="1" applyNumberFormat="1">
      <alignment horizontal="left" readingOrder="0" shrinkToFit="0" vertical="center" wrapText="1"/>
    </xf>
    <xf borderId="0" fillId="0" fontId="4"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4" numFmtId="164" xfId="0" applyAlignment="1" applyFont="1" applyNumberFormat="1">
      <alignment horizontal="left" readingOrder="0" shrinkToFit="0" vertical="center" wrapText="0"/>
    </xf>
    <xf borderId="0" fillId="0" fontId="5" numFmtId="0" xfId="0" applyAlignment="1" applyFont="1">
      <alignment horizontal="left" readingOrder="0" shrinkToFit="0" vertical="center" wrapText="0"/>
    </xf>
    <xf borderId="0" fillId="0" fontId="4" numFmtId="0" xfId="0" applyAlignment="1" applyFont="1">
      <alignment horizontal="left" readingOrder="0" shrinkToFit="0" vertical="center" wrapText="1"/>
    </xf>
    <xf borderId="1" fillId="0" fontId="4" numFmtId="0" xfId="0" applyAlignment="1" applyBorder="1" applyFont="1">
      <alignment horizontal="right" readingOrder="0" shrinkToFit="0" vertical="center" wrapText="0"/>
    </xf>
    <xf borderId="1" fillId="0" fontId="4" numFmtId="164" xfId="0" applyAlignment="1" applyBorder="1" applyFont="1" applyNumberFormat="1">
      <alignment readingOrder="0" shrinkToFit="0" vertical="center" wrapText="0"/>
    </xf>
    <xf borderId="1" fillId="0" fontId="4" numFmtId="0" xfId="0" applyAlignment="1" applyBorder="1" applyFont="1">
      <alignment readingOrder="0" shrinkToFit="0" vertical="center" wrapText="0"/>
    </xf>
    <xf borderId="1" fillId="3" fontId="4" numFmtId="0" xfId="0" applyAlignment="1" applyBorder="1" applyFill="1" applyFont="1">
      <alignment readingOrder="0" shrinkToFit="0" vertical="center" wrapText="0"/>
    </xf>
    <xf borderId="1" fillId="0" fontId="4" numFmtId="0" xfId="0" applyAlignment="1" applyBorder="1" applyFont="1">
      <alignment readingOrder="0" shrinkToFit="0" vertical="center" wrapText="0"/>
    </xf>
    <xf borderId="1" fillId="0" fontId="4" numFmtId="49" xfId="0" applyAlignment="1" applyBorder="1" applyFont="1" applyNumberFormat="1">
      <alignment readingOrder="0" shrinkToFit="0" vertical="center" wrapText="1"/>
    </xf>
    <xf borderId="1" fillId="4" fontId="4" numFmtId="49" xfId="0" applyAlignment="1" applyBorder="1" applyFill="1" applyFont="1" applyNumberFormat="1">
      <alignment readingOrder="0" shrinkToFit="0" vertical="top" wrapText="1"/>
    </xf>
    <xf borderId="1" fillId="0" fontId="6" numFmtId="0" xfId="0" applyAlignment="1" applyBorder="1" applyFont="1">
      <alignment readingOrder="0" shrinkToFit="0" vertical="center" wrapText="0"/>
    </xf>
    <xf borderId="1" fillId="0" fontId="6" numFmtId="0" xfId="0" applyAlignment="1" applyBorder="1" applyFont="1">
      <alignment shrinkToFit="0" vertical="center" wrapText="0"/>
    </xf>
    <xf borderId="1" fillId="0" fontId="6" numFmtId="164" xfId="0" applyAlignment="1" applyBorder="1" applyFont="1" applyNumberFormat="1">
      <alignment shrinkToFit="0" vertical="center" wrapText="0"/>
    </xf>
    <xf borderId="1" fillId="0" fontId="7" numFmtId="164" xfId="0" applyAlignment="1" applyBorder="1" applyFont="1" applyNumberFormat="1">
      <alignment shrinkToFit="0" vertical="center" wrapText="0"/>
    </xf>
    <xf borderId="1" fillId="0" fontId="6" numFmtId="164" xfId="0" applyAlignment="1" applyBorder="1" applyFont="1" applyNumberFormat="1">
      <alignment readingOrder="0" shrinkToFit="0" vertical="center" wrapText="0"/>
    </xf>
    <xf borderId="1" fillId="0" fontId="8" numFmtId="0" xfId="0" applyAlignment="1" applyBorder="1" applyFont="1">
      <alignment horizontal="left" readingOrder="0" shrinkToFit="0" vertical="top" wrapText="1"/>
    </xf>
    <xf borderId="1" fillId="0" fontId="6" numFmtId="0" xfId="0" applyAlignment="1" applyBorder="1" applyFont="1">
      <alignment horizontal="left" readingOrder="0" shrinkToFit="0" vertical="top" wrapText="1"/>
    </xf>
    <xf borderId="1" fillId="5" fontId="4" numFmtId="49" xfId="0" applyAlignment="1" applyBorder="1" applyFill="1" applyFont="1" applyNumberFormat="1">
      <alignment readingOrder="0" shrinkToFit="0" vertical="top" wrapText="1"/>
    </xf>
    <xf borderId="1" fillId="0" fontId="6" numFmtId="49" xfId="0" applyAlignment="1" applyBorder="1" applyFont="1" applyNumberFormat="1">
      <alignment shrinkToFit="0" vertical="center" wrapText="0"/>
    </xf>
    <xf borderId="1" fillId="0" fontId="6" numFmtId="0" xfId="0" applyAlignment="1" applyBorder="1" applyFont="1">
      <alignment horizontal="left" shrinkToFit="0" vertical="top" wrapText="1"/>
    </xf>
    <xf borderId="1" fillId="4" fontId="4" numFmtId="0" xfId="0" applyAlignment="1" applyBorder="1" applyFont="1">
      <alignment horizontal="right" readingOrder="0" shrinkToFit="0" vertical="center" wrapText="0"/>
    </xf>
    <xf borderId="1" fillId="5" fontId="9" numFmtId="49" xfId="0" applyAlignment="1" applyBorder="1" applyFont="1" applyNumberFormat="1">
      <alignment readingOrder="0" shrinkToFit="0" vertical="top" wrapText="1"/>
    </xf>
    <xf borderId="1" fillId="0" fontId="10" numFmtId="0" xfId="0" applyAlignment="1" applyBorder="1" applyFont="1">
      <alignment readingOrder="0" shrinkToFit="0" vertical="center" wrapText="0"/>
    </xf>
    <xf borderId="1" fillId="0" fontId="6" numFmtId="0" xfId="0" applyAlignment="1" applyBorder="1" applyFont="1">
      <alignment horizontal="left" readingOrder="0" shrinkToFit="0" vertical="top" wrapText="1"/>
    </xf>
    <xf borderId="1" fillId="5" fontId="4" numFmtId="0" xfId="0" applyAlignment="1" applyBorder="1" applyFont="1">
      <alignment horizontal="right" readingOrder="0" shrinkToFit="0" vertical="center" wrapText="0"/>
    </xf>
    <xf borderId="1" fillId="6" fontId="4" numFmtId="49" xfId="0" applyAlignment="1" applyBorder="1" applyFill="1" applyFont="1" applyNumberFormat="1">
      <alignment readingOrder="0" shrinkToFit="0" vertical="top" wrapText="1"/>
    </xf>
    <xf borderId="1" fillId="7" fontId="4" numFmtId="0" xfId="0" applyAlignment="1" applyBorder="1" applyFill="1" applyFont="1">
      <alignment horizontal="right" readingOrder="0" shrinkToFit="0" vertical="center" wrapText="0"/>
    </xf>
    <xf borderId="1" fillId="7" fontId="4" numFmtId="164" xfId="0" applyAlignment="1" applyBorder="1" applyFont="1" applyNumberFormat="1">
      <alignment readingOrder="0" shrinkToFit="0" vertical="center" wrapText="0"/>
    </xf>
    <xf borderId="1" fillId="7" fontId="4" numFmtId="0" xfId="0" applyAlignment="1" applyBorder="1" applyFont="1">
      <alignment readingOrder="0" shrinkToFit="0" vertical="center" wrapText="0"/>
    </xf>
    <xf borderId="1" fillId="7" fontId="4" numFmtId="0" xfId="0" applyAlignment="1" applyBorder="1" applyFont="1">
      <alignment readingOrder="0" shrinkToFit="0" vertical="center" wrapText="0"/>
    </xf>
    <xf borderId="1" fillId="5" fontId="11" numFmtId="49" xfId="0" applyAlignment="1" applyBorder="1" applyFont="1" applyNumberFormat="1">
      <alignment horizontal="left" readingOrder="0" shrinkToFit="0" vertical="top" wrapText="1"/>
    </xf>
    <xf borderId="1" fillId="0" fontId="4" numFmtId="49" xfId="0" applyAlignment="1" applyBorder="1" applyFont="1" applyNumberFormat="1">
      <alignment readingOrder="0" shrinkToFit="0" vertical="top" wrapText="1"/>
    </xf>
    <xf borderId="1" fillId="0" fontId="6" numFmtId="49" xfId="0" applyAlignment="1" applyBorder="1" applyFont="1" applyNumberFormat="1">
      <alignment readingOrder="0" shrinkToFit="0" vertical="center" wrapText="0"/>
    </xf>
    <xf borderId="1" fillId="0" fontId="12" numFmtId="0" xfId="0" applyAlignment="1" applyBorder="1" applyFont="1">
      <alignment horizontal="left" readingOrder="0" shrinkToFit="0" vertical="top" wrapText="1"/>
    </xf>
    <xf borderId="1" fillId="6" fontId="13" numFmtId="0" xfId="0" applyAlignment="1" applyBorder="1" applyFont="1">
      <alignment readingOrder="0" shrinkToFit="0" vertical="center" wrapText="0"/>
    </xf>
    <xf borderId="1" fillId="0" fontId="4" numFmtId="0" xfId="0" applyAlignment="1" applyBorder="1" applyFont="1">
      <alignment shrinkToFit="0" vertical="center" wrapText="0"/>
    </xf>
    <xf quotePrefix="1" borderId="1" fillId="8" fontId="14" numFmtId="49" xfId="0" applyAlignment="1" applyBorder="1" applyFill="1" applyFont="1" applyNumberFormat="1">
      <alignment readingOrder="0" shrinkToFit="0" vertical="center" wrapText="0"/>
    </xf>
    <xf borderId="1" fillId="0" fontId="6" numFmtId="0" xfId="0" applyAlignment="1" applyBorder="1" applyFont="1">
      <alignment shrinkToFit="0" vertical="center" wrapText="1"/>
    </xf>
    <xf borderId="1" fillId="9" fontId="4" numFmtId="49" xfId="0" applyAlignment="1" applyBorder="1" applyFill="1" applyFont="1" applyNumberFormat="1">
      <alignment readingOrder="0" shrinkToFit="0" vertical="top" wrapText="1"/>
    </xf>
    <xf borderId="1" fillId="0" fontId="7" numFmtId="0" xfId="0" applyAlignment="1" applyBorder="1" applyFont="1">
      <alignment readingOrder="0" shrinkToFit="0" vertical="center" wrapText="0"/>
    </xf>
    <xf borderId="1" fillId="0" fontId="7" numFmtId="0" xfId="0" applyAlignment="1" applyBorder="1" applyFont="1">
      <alignment readingOrder="0" shrinkToFit="0" vertical="center" wrapText="0"/>
    </xf>
    <xf borderId="1" fillId="10" fontId="4" numFmtId="164" xfId="0" applyAlignment="1" applyBorder="1" applyFill="1" applyFont="1" applyNumberFormat="1">
      <alignment readingOrder="0" shrinkToFit="0" vertical="center" wrapText="0"/>
    </xf>
    <xf borderId="1" fillId="10" fontId="4" numFmtId="0" xfId="0" applyAlignment="1" applyBorder="1" applyFont="1">
      <alignment readingOrder="0" shrinkToFit="0" vertical="center" wrapText="0"/>
    </xf>
    <xf borderId="1" fillId="10" fontId="4" numFmtId="0" xfId="0" applyAlignment="1" applyBorder="1" applyFont="1">
      <alignment readingOrder="0" shrinkToFit="0" vertical="center" wrapText="0"/>
    </xf>
    <xf borderId="1" fillId="10" fontId="4" numFmtId="49" xfId="0" applyAlignment="1" applyBorder="1" applyFont="1" applyNumberFormat="1">
      <alignment readingOrder="0" shrinkToFit="0" vertical="center" wrapText="1"/>
    </xf>
    <xf borderId="1" fillId="10" fontId="4" numFmtId="49" xfId="0" applyAlignment="1" applyBorder="1" applyFont="1" applyNumberFormat="1">
      <alignment readingOrder="0" shrinkToFit="0" vertical="top" wrapText="1"/>
    </xf>
    <xf borderId="1" fillId="0" fontId="6" numFmtId="0" xfId="0" applyAlignment="1" applyBorder="1" applyFont="1">
      <alignment readingOrder="0" shrinkToFit="0" vertical="center" wrapText="0"/>
    </xf>
    <xf borderId="1" fillId="6" fontId="0" numFmtId="49" xfId="0" applyAlignment="1" applyBorder="1" applyFont="1" applyNumberFormat="1">
      <alignment readingOrder="0" shrinkToFit="0" vertical="top" wrapText="1"/>
    </xf>
    <xf borderId="1" fillId="0" fontId="6" numFmtId="49" xfId="0" applyAlignment="1" applyBorder="1" applyFont="1" applyNumberFormat="1">
      <alignment shrinkToFit="0" vertical="center" wrapText="0"/>
    </xf>
    <xf borderId="1" fillId="0" fontId="10" numFmtId="0" xfId="0" applyAlignment="1" applyBorder="1" applyFont="1">
      <alignment shrinkToFit="0" vertical="center" wrapText="0"/>
    </xf>
    <xf borderId="1" fillId="0" fontId="4" numFmtId="49" xfId="0" applyAlignment="1" applyBorder="1" applyFont="1" applyNumberFormat="1">
      <alignment readingOrder="0" shrinkToFit="0" vertical="center" wrapText="0"/>
    </xf>
    <xf borderId="1" fillId="0" fontId="15" numFmtId="49" xfId="0" applyAlignment="1" applyBorder="1" applyFont="1" applyNumberFormat="1">
      <alignment readingOrder="0" shrinkToFit="0" vertical="center" wrapText="0"/>
    </xf>
    <xf borderId="1" fillId="6" fontId="15" numFmtId="49" xfId="0" applyAlignment="1" applyBorder="1" applyFont="1" applyNumberFormat="1">
      <alignment readingOrder="0" shrinkToFit="0" vertical="top" wrapText="0"/>
    </xf>
    <xf borderId="1" fillId="0" fontId="6" numFmtId="0" xfId="0" applyAlignment="1" applyBorder="1" applyFont="1">
      <alignment shrinkToFit="0" vertical="center" wrapText="0"/>
    </xf>
    <xf borderId="1" fillId="5" fontId="15" numFmtId="49" xfId="0" applyAlignment="1" applyBorder="1" applyFont="1" applyNumberFormat="1">
      <alignment readingOrder="0" shrinkToFit="0" vertical="top" wrapText="0"/>
    </xf>
    <xf borderId="1" fillId="0" fontId="6" numFmtId="49" xfId="0" applyAlignment="1" applyBorder="1" applyFont="1" applyNumberFormat="1">
      <alignment readingOrder="0" shrinkToFit="0" vertical="center" wrapText="0"/>
    </xf>
    <xf borderId="1" fillId="0" fontId="15" numFmtId="0" xfId="0" applyAlignment="1" applyBorder="1" applyFont="1">
      <alignment horizontal="right" readingOrder="0" shrinkToFit="0" vertical="center" wrapText="0"/>
    </xf>
    <xf quotePrefix="1" borderId="1" fillId="0" fontId="4" numFmtId="49" xfId="0" applyAlignment="1" applyBorder="1" applyFont="1" applyNumberFormat="1">
      <alignment readingOrder="0" shrinkToFit="0" vertical="center" wrapText="1"/>
    </xf>
    <xf borderId="1" fillId="0" fontId="4" numFmtId="49" xfId="0" applyAlignment="1" applyBorder="1" applyFont="1" applyNumberFormat="1">
      <alignment shrinkToFit="0" vertical="top" wrapText="1"/>
    </xf>
    <xf borderId="1" fillId="0" fontId="13" numFmtId="0" xfId="0" applyAlignment="1" applyBorder="1" applyFont="1">
      <alignment readingOrder="0" shrinkToFit="0" vertical="center" wrapText="0"/>
    </xf>
    <xf borderId="1" fillId="10" fontId="4" numFmtId="0" xfId="0" applyAlignment="1" applyBorder="1" applyFont="1">
      <alignment horizontal="right" readingOrder="0" shrinkToFit="0" vertical="center" wrapText="0"/>
    </xf>
    <xf borderId="1" fillId="10" fontId="4" numFmtId="0" xfId="0" applyAlignment="1" applyBorder="1" applyFont="1">
      <alignment shrinkToFit="0" vertical="center" wrapText="0"/>
    </xf>
    <xf borderId="1" fillId="10" fontId="6" numFmtId="0" xfId="0" applyAlignment="1" applyBorder="1" applyFont="1">
      <alignment shrinkToFit="0" vertical="center" wrapText="0"/>
    </xf>
    <xf borderId="1" fillId="10" fontId="6" numFmtId="49" xfId="0" applyAlignment="1" applyBorder="1" applyFont="1" applyNumberFormat="1">
      <alignment shrinkToFit="0" vertical="center" wrapText="0"/>
    </xf>
    <xf borderId="1" fillId="10" fontId="6" numFmtId="0" xfId="0" applyAlignment="1" applyBorder="1" applyFont="1">
      <alignment shrinkToFit="0" vertical="center" wrapText="0"/>
    </xf>
    <xf borderId="1" fillId="10" fontId="6" numFmtId="164" xfId="0" applyAlignment="1" applyBorder="1" applyFont="1" applyNumberFormat="1">
      <alignment shrinkToFit="0" vertical="center" wrapText="0"/>
    </xf>
    <xf borderId="1" fillId="10" fontId="7" numFmtId="164" xfId="0" applyAlignment="1" applyBorder="1" applyFont="1" applyNumberFormat="1">
      <alignment shrinkToFit="0" vertical="center" wrapText="0"/>
    </xf>
    <xf borderId="1" fillId="10" fontId="8" numFmtId="0" xfId="0" applyAlignment="1" applyBorder="1" applyFont="1">
      <alignment readingOrder="0" shrinkToFit="0" vertical="center" wrapText="1"/>
    </xf>
    <xf borderId="1" fillId="10" fontId="6" numFmtId="0" xfId="0" applyAlignment="1" applyBorder="1" applyFont="1">
      <alignment horizontal="left" shrinkToFit="0" vertical="top" wrapText="1"/>
    </xf>
    <xf borderId="1" fillId="10" fontId="6" numFmtId="0" xfId="0" applyAlignment="1" applyBorder="1" applyFont="1">
      <alignment readingOrder="0" shrinkToFit="0" vertical="center" wrapText="0"/>
    </xf>
    <xf borderId="1" fillId="0" fontId="0" numFmtId="0" xfId="0" applyAlignment="1" applyBorder="1" applyFont="1">
      <alignment horizontal="right" readingOrder="0" shrinkToFit="0" vertical="center" wrapText="0"/>
    </xf>
    <xf borderId="1" fillId="0" fontId="0" numFmtId="164" xfId="0" applyAlignment="1" applyBorder="1" applyFont="1" applyNumberFormat="1">
      <alignment readingOrder="0" shrinkToFit="0" vertical="center" wrapText="0"/>
    </xf>
    <xf borderId="1" fillId="0" fontId="0" numFmtId="0" xfId="0" applyAlignment="1" applyBorder="1" applyFont="1">
      <alignment readingOrder="0" shrinkToFit="0" vertical="center" wrapText="0"/>
    </xf>
    <xf borderId="1" fillId="0" fontId="0" numFmtId="0" xfId="0" applyAlignment="1" applyBorder="1" applyFont="1">
      <alignment readingOrder="0" shrinkToFit="0" vertical="center" wrapText="0"/>
    </xf>
    <xf borderId="1" fillId="0" fontId="16" numFmtId="0" xfId="0" applyAlignment="1" applyBorder="1" applyFont="1">
      <alignment readingOrder="0" shrinkToFit="0" vertical="center" wrapText="0"/>
    </xf>
    <xf borderId="1" fillId="0" fontId="16" numFmtId="0" xfId="0" applyAlignment="1" applyBorder="1" applyFont="1">
      <alignment readingOrder="0" shrinkToFit="0" vertical="center" wrapText="0"/>
    </xf>
    <xf borderId="1" fillId="0" fontId="16" numFmtId="0" xfId="0" applyAlignment="1" applyBorder="1" applyFont="1">
      <alignment shrinkToFit="0" vertical="center" wrapText="0"/>
    </xf>
    <xf borderId="1" fillId="0" fontId="16" numFmtId="164" xfId="0" applyAlignment="1" applyBorder="1" applyFont="1" applyNumberFormat="1">
      <alignment shrinkToFit="0" vertical="center" wrapText="0"/>
    </xf>
    <xf borderId="1" fillId="0" fontId="17" numFmtId="164" xfId="0" applyAlignment="1" applyBorder="1" applyFont="1" applyNumberFormat="1">
      <alignment shrinkToFit="0" vertical="center" wrapText="0"/>
    </xf>
    <xf borderId="1" fillId="0" fontId="16" numFmtId="164" xfId="0" applyAlignment="1" applyBorder="1" applyFont="1" applyNumberFormat="1">
      <alignment readingOrder="0" shrinkToFit="0" vertical="center" wrapText="0"/>
    </xf>
    <xf borderId="1" fillId="0" fontId="4" numFmtId="0" xfId="0" applyAlignment="1" applyBorder="1" applyFont="1">
      <alignment horizontal="right" readingOrder="0" shrinkToFit="0" vertical="center" wrapText="0"/>
    </xf>
    <xf borderId="1" fillId="0" fontId="4" numFmtId="164" xfId="0" applyAlignment="1" applyBorder="1" applyFont="1" applyNumberFormat="1">
      <alignment readingOrder="0" shrinkToFit="0" vertical="center" wrapText="0"/>
    </xf>
    <xf borderId="1" fillId="0" fontId="18" numFmtId="49" xfId="0" applyAlignment="1" applyBorder="1" applyFont="1" applyNumberFormat="1">
      <alignment readingOrder="0" shrinkToFit="0" vertical="center" wrapText="0"/>
    </xf>
    <xf borderId="1" fillId="0" fontId="4" numFmtId="0" xfId="0" applyAlignment="1" applyBorder="1" applyFont="1">
      <alignment shrinkToFit="0" vertical="center" wrapText="0"/>
    </xf>
    <xf borderId="1" fillId="0" fontId="4" numFmtId="164" xfId="0" applyAlignment="1" applyBorder="1" applyFont="1" applyNumberFormat="1">
      <alignment shrinkToFit="0" vertical="center" wrapText="0"/>
    </xf>
    <xf borderId="1" fillId="0" fontId="19" numFmtId="164" xfId="0" applyAlignment="1" applyBorder="1" applyFont="1" applyNumberFormat="1">
      <alignment shrinkToFit="0" vertical="center" wrapText="0"/>
    </xf>
    <xf borderId="1" fillId="0" fontId="4" numFmtId="0" xfId="0" applyAlignment="1" applyBorder="1" applyFont="1">
      <alignment shrinkToFit="0" vertical="center" wrapText="1"/>
    </xf>
    <xf borderId="1" fillId="0" fontId="4" numFmtId="49" xfId="0" applyAlignment="1" applyBorder="1" applyFont="1" applyNumberFormat="1">
      <alignment shrinkToFit="0" vertical="center" wrapText="0"/>
    </xf>
    <xf borderId="1" fillId="0" fontId="4" numFmtId="49" xfId="0" applyAlignment="1" applyBorder="1" applyFont="1" applyNumberFormat="1">
      <alignment shrinkToFit="0" vertical="center" wrapText="0"/>
    </xf>
    <xf borderId="1" fillId="0" fontId="4" numFmtId="164" xfId="0" applyAlignment="1" applyBorder="1" applyFont="1" applyNumberFormat="1">
      <alignment shrinkToFit="0" vertical="center" wrapText="0"/>
    </xf>
    <xf borderId="1" fillId="0" fontId="20" numFmtId="164" xfId="0" applyAlignment="1" applyBorder="1" applyFont="1" applyNumberFormat="1">
      <alignment shrinkToFit="0" vertical="center" wrapText="0"/>
    </xf>
    <xf borderId="1" fillId="0" fontId="0" numFmtId="164" xfId="0" applyAlignment="1" applyBorder="1" applyFont="1" applyNumberFormat="1">
      <alignment shrinkToFit="0" vertical="center" wrapText="0"/>
    </xf>
    <xf borderId="1" fillId="0" fontId="12" numFmtId="0" xfId="0" applyAlignment="1" applyBorder="1" applyFont="1">
      <alignment readingOrder="0" shrinkToFit="0" vertical="center" wrapText="0"/>
    </xf>
    <xf borderId="1" fillId="0" fontId="4" numFmtId="0" xfId="0" applyAlignment="1" applyBorder="1" applyFont="1">
      <alignment horizontal="left" readingOrder="0" shrinkToFit="0" vertical="center" wrapText="1"/>
    </xf>
    <xf borderId="1" fillId="0" fontId="4" numFmtId="0" xfId="0" applyAlignment="1" applyBorder="1" applyFont="1">
      <alignment readingOrder="0" shrinkToFit="0" vertical="center" wrapText="1"/>
    </xf>
    <xf borderId="1" fillId="3" fontId="4" numFmtId="0" xfId="0" applyAlignment="1" applyBorder="1" applyFont="1">
      <alignment readingOrder="0" shrinkToFit="0" vertical="center" wrapText="0"/>
    </xf>
    <xf borderId="1" fillId="6" fontId="19" numFmtId="164" xfId="0" applyAlignment="1" applyBorder="1" applyFont="1" applyNumberFormat="1">
      <alignment shrinkToFit="0" vertical="center" wrapText="0"/>
    </xf>
    <xf borderId="1" fillId="8" fontId="21" numFmtId="0" xfId="0" applyAlignment="1" applyBorder="1" applyFont="1">
      <alignment horizontal="right" shrinkToFit="0" vertical="center" wrapText="0"/>
    </xf>
    <xf borderId="1" fillId="8" fontId="21" numFmtId="164" xfId="0" applyAlignment="1" applyBorder="1" applyFont="1" applyNumberFormat="1">
      <alignment shrinkToFit="0" vertical="center" wrapText="0"/>
    </xf>
    <xf borderId="1" fillId="8" fontId="21" numFmtId="0" xfId="0" applyAlignment="1" applyBorder="1" applyFont="1">
      <alignment readingOrder="0" shrinkToFit="0" vertical="center" wrapText="0"/>
    </xf>
    <xf borderId="1" fillId="0" fontId="21" numFmtId="0" xfId="0" applyAlignment="1" applyBorder="1" applyFont="1">
      <alignment shrinkToFit="0" vertical="center" wrapText="0"/>
    </xf>
    <xf borderId="1" fillId="8" fontId="21" numFmtId="0" xfId="0" applyAlignment="1" applyBorder="1" applyFont="1">
      <alignment shrinkToFit="0" vertical="center" wrapText="0"/>
    </xf>
    <xf borderId="1" fillId="8" fontId="22" numFmtId="0" xfId="0" applyAlignment="1" applyBorder="1" applyFont="1">
      <alignment shrinkToFit="0" vertical="center" wrapText="0"/>
    </xf>
    <xf borderId="1" fillId="8" fontId="21" numFmtId="49" xfId="0" applyAlignment="1" applyBorder="1" applyFont="1" applyNumberFormat="1">
      <alignment shrinkToFit="0" vertical="center" wrapText="1"/>
    </xf>
    <xf borderId="1" fillId="8" fontId="21" numFmtId="49" xfId="0" applyAlignment="1" applyBorder="1" applyFont="1" applyNumberFormat="1">
      <alignment shrinkToFit="0" vertical="top" wrapText="1"/>
    </xf>
    <xf borderId="1" fillId="8" fontId="23" numFmtId="49" xfId="0" applyAlignment="1" applyBorder="1" applyFont="1" applyNumberFormat="1">
      <alignment shrinkToFit="0" vertical="center" wrapText="0"/>
    </xf>
    <xf borderId="1" fillId="8" fontId="23" numFmtId="0" xfId="0" applyAlignment="1" applyBorder="1" applyFont="1">
      <alignment shrinkToFit="0" vertical="center" wrapText="0"/>
    </xf>
    <xf borderId="1" fillId="8" fontId="23" numFmtId="164" xfId="0" applyAlignment="1" applyBorder="1" applyFont="1" applyNumberFormat="1">
      <alignment shrinkToFit="0" vertical="center" wrapText="0"/>
    </xf>
    <xf borderId="1" fillId="8" fontId="24" numFmtId="164" xfId="0" applyAlignment="1" applyBorder="1" applyFont="1" applyNumberFormat="1">
      <alignment shrinkToFit="0" vertical="center" wrapText="0"/>
    </xf>
    <xf borderId="1" fillId="4" fontId="13" numFmtId="0" xfId="0" applyAlignment="1" applyBorder="1" applyFont="1">
      <alignment readingOrder="0" shrinkToFit="0" vertical="top" wrapText="0"/>
    </xf>
    <xf borderId="1" fillId="4" fontId="4" numFmtId="0" xfId="0" applyAlignment="1" applyBorder="1" applyFont="1">
      <alignment horizontal="right" readingOrder="0" shrinkToFit="0" vertical="center" wrapText="0"/>
    </xf>
    <xf borderId="1" fillId="4" fontId="4" numFmtId="0" xfId="0" applyAlignment="1" applyBorder="1" applyFont="1">
      <alignment readingOrder="0" shrinkToFit="0" vertical="center" wrapText="0"/>
    </xf>
    <xf borderId="1" fillId="0" fontId="12" numFmtId="0" xfId="0" applyAlignment="1" applyBorder="1" applyFont="1">
      <alignment readingOrder="0" shrinkToFit="0" vertical="center" wrapText="1"/>
    </xf>
    <xf borderId="1" fillId="6" fontId="4" numFmtId="164" xfId="0" applyAlignment="1" applyBorder="1" applyFont="1" applyNumberFormat="1">
      <alignment readingOrder="0" shrinkToFit="0" vertical="center" wrapText="0"/>
    </xf>
    <xf borderId="1" fillId="6" fontId="4" numFmtId="0" xfId="0" applyAlignment="1" applyBorder="1" applyFont="1">
      <alignment readingOrder="0" shrinkToFit="0" vertical="center" wrapText="0"/>
    </xf>
    <xf borderId="1" fillId="6" fontId="4" numFmtId="49" xfId="0" applyAlignment="1" applyBorder="1" applyFont="1" applyNumberFormat="1">
      <alignment readingOrder="0" shrinkToFit="0" vertical="center" wrapText="1"/>
    </xf>
    <xf borderId="1" fillId="0" fontId="25" numFmtId="0" xfId="0" applyAlignment="1" applyBorder="1" applyFont="1">
      <alignment readingOrder="0" shrinkToFit="0" vertical="center" wrapText="0"/>
    </xf>
    <xf borderId="1" fillId="4" fontId="15" numFmtId="49" xfId="0" applyAlignment="1" applyBorder="1" applyFont="1" applyNumberFormat="1">
      <alignment readingOrder="0" shrinkToFit="0" vertical="top" wrapText="0"/>
    </xf>
    <xf borderId="1" fillId="0" fontId="23" numFmtId="0" xfId="0" applyAlignment="1" applyBorder="1" applyFont="1">
      <alignment shrinkToFit="0" vertical="center" wrapText="0"/>
    </xf>
    <xf borderId="1" fillId="0" fontId="26" numFmtId="0" xfId="0" applyAlignment="1" applyBorder="1" applyFont="1">
      <alignment readingOrder="0" shrinkToFit="0" vertical="center" wrapText="0"/>
    </xf>
    <xf borderId="1" fillId="0" fontId="27" numFmtId="0" xfId="0" applyAlignment="1" applyBorder="1" applyFont="1">
      <alignment readingOrder="0" shrinkToFit="0" vertical="center" wrapText="0"/>
    </xf>
    <xf borderId="1" fillId="6" fontId="4" numFmtId="0" xfId="0" applyAlignment="1" applyBorder="1" applyFont="1">
      <alignment shrinkToFit="0" vertical="center" wrapText="0"/>
    </xf>
    <xf borderId="1" fillId="0" fontId="4" numFmtId="0" xfId="0" applyAlignment="1" applyBorder="1" applyFont="1">
      <alignment readingOrder="0" shrinkToFit="0" vertical="center" wrapText="0"/>
    </xf>
    <xf borderId="1" fillId="0" fontId="13" numFmtId="0" xfId="0" applyAlignment="1" applyBorder="1" applyFont="1">
      <alignment shrinkToFit="0" vertical="center" wrapText="0"/>
    </xf>
    <xf borderId="1" fillId="0" fontId="27" numFmtId="49" xfId="0" applyAlignment="1" applyBorder="1" applyFont="1" applyNumberFormat="1">
      <alignment readingOrder="0" shrinkToFit="0" vertical="center" wrapText="0"/>
    </xf>
    <xf borderId="1" fillId="11" fontId="4" numFmtId="164" xfId="0" applyAlignment="1" applyBorder="1" applyFill="1" applyFont="1" applyNumberFormat="1">
      <alignment readingOrder="0" shrinkToFit="0" vertical="center" wrapText="0"/>
    </xf>
    <xf borderId="1" fillId="11" fontId="4" numFmtId="0" xfId="0" applyAlignment="1" applyBorder="1" applyFont="1">
      <alignment readingOrder="0" shrinkToFit="0" vertical="center" wrapText="0"/>
    </xf>
    <xf borderId="1" fillId="11" fontId="4" numFmtId="0" xfId="0" applyAlignment="1" applyBorder="1" applyFont="1">
      <alignment shrinkToFit="0" vertical="center" wrapText="0"/>
    </xf>
    <xf borderId="1" fillId="11" fontId="4" numFmtId="49" xfId="0" applyAlignment="1" applyBorder="1" applyFont="1" applyNumberFormat="1">
      <alignment readingOrder="0" shrinkToFit="0" vertical="center" wrapText="1"/>
    </xf>
    <xf borderId="1" fillId="0" fontId="13" numFmtId="0" xfId="0" applyAlignment="1" applyBorder="1" applyFont="1">
      <alignment readingOrder="0" shrinkToFit="0" vertical="center" wrapText="0"/>
    </xf>
    <xf borderId="1" fillId="5" fontId="4" numFmtId="0" xfId="0" applyAlignment="1" applyBorder="1" applyFont="1">
      <alignment readingOrder="0" shrinkToFit="0" vertical="top" wrapText="1"/>
    </xf>
    <xf borderId="1" fillId="6" fontId="4"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4" numFmtId="0" xfId="0" applyAlignment="1" applyBorder="1" applyFont="1">
      <alignment horizontal="left" readingOrder="0" shrinkToFit="0" vertical="center" wrapText="0"/>
    </xf>
    <xf borderId="1" fillId="6" fontId="4" numFmtId="0" xfId="0" applyAlignment="1" applyBorder="1" applyFont="1">
      <alignment horizontal="right" readingOrder="0" shrinkToFit="0" vertical="center" wrapText="0"/>
    </xf>
    <xf borderId="1" fillId="6" fontId="4" numFmtId="0" xfId="0" applyAlignment="1" applyBorder="1" applyFont="1">
      <alignment readingOrder="0" shrinkToFit="0" vertical="center" wrapText="1"/>
    </xf>
    <xf borderId="1" fillId="12" fontId="21" numFmtId="0" xfId="0" applyAlignment="1" applyBorder="1" applyFill="1" applyFont="1">
      <alignment readingOrder="0" shrinkToFit="0" vertical="center" wrapText="0"/>
    </xf>
    <xf borderId="1" fillId="12" fontId="23" numFmtId="49" xfId="0" applyAlignment="1" applyBorder="1" applyFont="1" applyNumberFormat="1">
      <alignment readingOrder="0" shrinkToFit="0" vertical="center" wrapText="0"/>
    </xf>
    <xf borderId="1" fillId="6" fontId="4" numFmtId="0" xfId="0" applyAlignment="1" applyBorder="1" applyFont="1">
      <alignment horizontal="left" readingOrder="0" shrinkToFit="0" vertical="center" wrapText="0"/>
    </xf>
    <xf borderId="1" fillId="0" fontId="17" numFmtId="0" xfId="0" applyAlignment="1" applyBorder="1" applyFont="1">
      <alignment readingOrder="0" shrinkToFit="0" vertical="center" wrapText="0"/>
    </xf>
    <xf borderId="1" fillId="0" fontId="4" numFmtId="0" xfId="0" applyAlignment="1" applyBorder="1" applyFont="1">
      <alignment shrinkToFit="0" vertical="center" wrapText="0"/>
    </xf>
    <xf borderId="1" fillId="0" fontId="17" numFmtId="0" xfId="0" applyAlignment="1" applyBorder="1" applyFont="1">
      <alignment readingOrder="0" shrinkToFit="0" vertical="bottom" wrapText="0"/>
    </xf>
    <xf borderId="1" fillId="0" fontId="17" numFmtId="49" xfId="0" applyAlignment="1" applyBorder="1" applyFont="1" applyNumberFormat="1">
      <alignment readingOrder="0" shrinkToFit="0" vertical="bottom" wrapText="0"/>
    </xf>
    <xf borderId="1" fillId="0" fontId="10" numFmtId="0" xfId="0" applyAlignment="1" applyBorder="1" applyFont="1">
      <alignment readingOrder="0" shrinkToFit="0" vertical="center" wrapText="0"/>
    </xf>
    <xf borderId="1" fillId="12" fontId="21" numFmtId="0" xfId="0" applyAlignment="1" applyBorder="1" applyFont="1">
      <alignment shrinkToFit="0" vertical="center" wrapText="0"/>
    </xf>
    <xf borderId="1" fillId="12" fontId="23" numFmtId="49" xfId="0" applyAlignment="1" applyBorder="1" applyFont="1" applyNumberFormat="1">
      <alignment shrinkToFit="0" vertical="bottom" wrapText="0"/>
    </xf>
    <xf borderId="1" fillId="12" fontId="23" numFmtId="49" xfId="0" applyAlignment="1" applyBorder="1" applyFont="1" applyNumberFormat="1">
      <alignment readingOrder="0" shrinkToFit="0" vertical="bottom" wrapText="0"/>
    </xf>
    <xf borderId="1" fillId="12" fontId="23" numFmtId="49" xfId="0" applyAlignment="1" applyBorder="1" applyFont="1" applyNumberFormat="1">
      <alignment shrinkToFit="0" vertical="center" wrapText="0"/>
    </xf>
    <xf borderId="1" fillId="6" fontId="4" numFmtId="0" xfId="0" applyAlignment="1" applyBorder="1" applyFont="1">
      <alignment readingOrder="0" shrinkToFit="0" vertical="center" wrapText="0"/>
    </xf>
    <xf borderId="1" fillId="0" fontId="23" numFmtId="49" xfId="0" applyAlignment="1" applyBorder="1" applyFont="1" applyNumberFormat="1">
      <alignment readingOrder="0" shrinkToFit="0" vertical="center" wrapText="0"/>
    </xf>
    <xf borderId="1" fillId="8" fontId="4" numFmtId="164" xfId="0" applyAlignment="1" applyBorder="1" applyFont="1" applyNumberFormat="1">
      <alignment readingOrder="0" shrinkToFit="0" vertical="center" wrapText="0"/>
    </xf>
    <xf borderId="1" fillId="8" fontId="4" numFmtId="0" xfId="0" applyAlignment="1" applyBorder="1" applyFont="1">
      <alignment readingOrder="0" shrinkToFit="0" vertical="center" wrapText="0"/>
    </xf>
    <xf borderId="1" fillId="8" fontId="4" numFmtId="0" xfId="0" applyAlignment="1" applyBorder="1" applyFont="1">
      <alignment readingOrder="0" shrinkToFit="0" vertical="center" wrapText="0"/>
    </xf>
    <xf borderId="1" fillId="8" fontId="4" numFmtId="0" xfId="0" applyAlignment="1" applyBorder="1" applyFont="1">
      <alignment horizontal="right" readingOrder="0" shrinkToFit="0" vertical="center" wrapText="0"/>
    </xf>
    <xf borderId="1" fillId="8" fontId="4" numFmtId="49" xfId="0" applyAlignment="1" applyBorder="1" applyFont="1" applyNumberFormat="1">
      <alignment readingOrder="0" shrinkToFit="0" vertical="center" wrapText="1"/>
    </xf>
    <xf borderId="1" fillId="6" fontId="4" numFmtId="0" xfId="0" applyAlignment="1" applyBorder="1" applyFont="1">
      <alignment horizontal="left" readingOrder="0" shrinkToFit="0" vertical="center" wrapText="1"/>
    </xf>
    <xf borderId="1" fillId="0" fontId="4" numFmtId="0" xfId="0" applyAlignment="1" applyBorder="1" applyFont="1">
      <alignment horizontal="center" shrinkToFit="0" vertical="center" wrapText="0"/>
    </xf>
    <xf borderId="1" fillId="0" fontId="4" numFmtId="164" xfId="0" applyAlignment="1" applyBorder="1" applyFont="1" applyNumberFormat="1">
      <alignment horizontal="center" shrinkToFit="0" vertical="center" wrapText="0"/>
    </xf>
    <xf borderId="1" fillId="0" fontId="4" numFmtId="0" xfId="0" applyAlignment="1" applyBorder="1" applyFont="1">
      <alignment horizontal="right" readingOrder="0" shrinkToFit="0" vertical="center" wrapText="0"/>
    </xf>
    <xf borderId="1" fillId="0" fontId="4" numFmtId="164" xfId="0" applyAlignment="1" applyBorder="1" applyFont="1" applyNumberFormat="1">
      <alignment readingOrder="0" shrinkToFit="0" vertical="center" wrapText="0"/>
    </xf>
    <xf borderId="1" fillId="0" fontId="4" numFmtId="49" xfId="0" applyAlignment="1" applyBorder="1" applyFont="1" applyNumberFormat="1">
      <alignment shrinkToFit="0" vertical="center" wrapText="0"/>
    </xf>
    <xf borderId="1" fillId="0" fontId="4" numFmtId="0" xfId="0" applyAlignment="1" applyBorder="1" applyFont="1">
      <alignment shrinkToFit="0" vertical="center" wrapText="0"/>
    </xf>
    <xf borderId="1" fillId="0" fontId="4" numFmtId="0" xfId="0" applyAlignment="1" applyBorder="1" applyFont="1">
      <alignment horizontal="center" shrinkToFit="0" vertical="center" wrapText="0"/>
    </xf>
    <xf borderId="1" fillId="0" fontId="4" numFmtId="164" xfId="0" applyAlignment="1" applyBorder="1" applyFont="1" applyNumberFormat="1">
      <alignment shrinkToFit="0" vertical="center" wrapText="0"/>
    </xf>
    <xf borderId="1" fillId="0" fontId="4" numFmtId="164" xfId="0" applyAlignment="1" applyBorder="1" applyFont="1" applyNumberFormat="1">
      <alignment horizontal="center" shrinkToFit="0" vertical="center" wrapText="0"/>
    </xf>
    <xf borderId="1" fillId="0" fontId="4" numFmtId="0" xfId="0" applyAlignment="1" applyBorder="1" applyFont="1">
      <alignment shrinkToFit="0" vertical="center" wrapText="1"/>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8" fontId="4" numFmtId="0" xfId="0" applyAlignment="1" applyBorder="1" applyFont="1">
      <alignment readingOrder="0" shrinkToFit="0" vertical="center" wrapText="0"/>
    </xf>
    <xf borderId="1" fillId="8" fontId="4" numFmtId="0" xfId="0" applyAlignment="1" applyBorder="1" applyFont="1">
      <alignment readingOrder="0" shrinkToFit="0" vertical="center" wrapText="0"/>
    </xf>
    <xf borderId="1" fillId="8" fontId="4" numFmtId="0" xfId="0" applyAlignment="1" applyBorder="1" applyFont="1">
      <alignment horizontal="right" readingOrder="0" shrinkToFit="0" vertical="center" wrapText="0"/>
    </xf>
    <xf borderId="1" fillId="6" fontId="4" numFmtId="0" xfId="0" applyAlignment="1" applyBorder="1" applyFont="1">
      <alignment readingOrder="0" shrinkToFit="0" vertical="center" wrapText="1"/>
    </xf>
    <xf borderId="1" fillId="12" fontId="23" numFmtId="49" xfId="0" applyAlignment="1" applyBorder="1" applyFont="1" applyNumberFormat="1">
      <alignment readingOrder="0" shrinkToFit="0" vertical="center" wrapText="0"/>
    </xf>
    <xf borderId="1" fillId="0" fontId="4" numFmtId="165" xfId="0" applyAlignment="1" applyBorder="1" applyFont="1" applyNumberFormat="1">
      <alignment horizontal="center" readingOrder="0" shrinkToFit="0" vertical="center" wrapText="0"/>
    </xf>
    <xf borderId="1" fillId="0" fontId="4" numFmtId="164" xfId="0" applyAlignment="1" applyBorder="1" applyFont="1" applyNumberFormat="1">
      <alignment horizontal="center" readingOrder="0" shrinkToFit="0" vertical="center" wrapText="0"/>
    </xf>
    <xf borderId="1" fillId="6" fontId="4" numFmtId="0" xfId="0" applyAlignment="1" applyBorder="1" applyFont="1">
      <alignment readingOrder="0" shrinkToFit="0" vertical="center" wrapText="0"/>
    </xf>
    <xf borderId="1" fillId="0" fontId="4" numFmtId="0" xfId="0" applyAlignment="1" applyBorder="1" applyFont="1">
      <alignment readingOrder="0" shrinkToFit="0" vertical="center" wrapText="1"/>
    </xf>
    <xf borderId="1" fillId="0" fontId="4" numFmtId="49" xfId="0" applyAlignment="1" applyBorder="1" applyFont="1" applyNumberFormat="1">
      <alignment readingOrder="0" shrinkToFit="0" vertical="top" wrapText="1"/>
    </xf>
    <xf borderId="1" fillId="0" fontId="7" numFmtId="0" xfId="0" applyAlignment="1" applyBorder="1" applyFont="1">
      <alignment readingOrder="0" shrinkToFit="0" vertical="center" wrapText="0"/>
    </xf>
    <xf borderId="0" fillId="0" fontId="26" numFmtId="0" xfId="0" applyAlignment="1" applyFont="1">
      <alignment readingOrder="0" shrinkToFit="0" vertical="center" wrapText="0"/>
    </xf>
    <xf borderId="1" fillId="6" fontId="4" numFmtId="49" xfId="0" applyAlignment="1" applyBorder="1" applyFont="1" applyNumberFormat="1">
      <alignment readingOrder="0" shrinkToFit="0" vertical="top" wrapText="1"/>
    </xf>
    <xf borderId="1" fillId="0" fontId="4" numFmtId="49" xfId="0" applyAlignment="1" applyBorder="1" applyFont="1" applyNumberFormat="1">
      <alignment readingOrder="0" shrinkToFit="0" vertical="center" wrapText="0"/>
    </xf>
    <xf borderId="1" fillId="8" fontId="4" numFmtId="0" xfId="0" applyAlignment="1" applyBorder="1" applyFont="1">
      <alignment shrinkToFit="0" vertical="center" wrapText="0"/>
    </xf>
    <xf borderId="1" fillId="5" fontId="4" numFmtId="49" xfId="0" applyAlignment="1" applyBorder="1" applyFont="1" applyNumberFormat="1">
      <alignment readingOrder="0" shrinkToFit="0" vertical="center" wrapText="1"/>
    </xf>
    <xf borderId="1" fillId="5" fontId="4" numFmtId="49" xfId="0" applyAlignment="1" applyBorder="1" applyFont="1" applyNumberFormat="1">
      <alignment readingOrder="0" shrinkToFit="0" vertical="top" wrapText="1"/>
    </xf>
    <xf borderId="1" fillId="0" fontId="4" numFmtId="0" xfId="0" applyAlignment="1" applyBorder="1" applyFont="1">
      <alignment shrinkToFit="0" vertical="center" wrapText="0"/>
    </xf>
    <xf borderId="1" fillId="0" fontId="27" numFmtId="0" xfId="0" applyAlignment="1" applyBorder="1" applyFont="1">
      <alignment horizontal="right" readingOrder="0" shrinkToFit="0" vertical="center" wrapText="0"/>
    </xf>
    <xf borderId="1" fillId="0" fontId="27" numFmtId="164" xfId="0" applyAlignment="1" applyBorder="1" applyFont="1" applyNumberFormat="1">
      <alignment readingOrder="0" shrinkToFit="0" vertical="center" wrapText="0"/>
    </xf>
    <xf borderId="1" fillId="8" fontId="27" numFmtId="0" xfId="0" applyAlignment="1" applyBorder="1" applyFont="1">
      <alignment readingOrder="0" shrinkToFit="0" vertical="center" wrapText="0"/>
    </xf>
    <xf borderId="1" fillId="8" fontId="27" numFmtId="0" xfId="0" applyAlignment="1" applyBorder="1" applyFont="1">
      <alignment shrinkToFit="0" vertical="center" wrapText="0"/>
    </xf>
    <xf borderId="1" fillId="0" fontId="27" numFmtId="0" xfId="0" applyAlignment="1" applyBorder="1" applyFont="1">
      <alignment readingOrder="0" shrinkToFit="0" vertical="center" wrapText="0"/>
    </xf>
    <xf borderId="1" fillId="5" fontId="27" numFmtId="49" xfId="0" applyAlignment="1" applyBorder="1" applyFont="1" applyNumberFormat="1">
      <alignment readingOrder="0" shrinkToFit="0" vertical="center" wrapText="1"/>
    </xf>
    <xf borderId="1" fillId="6" fontId="27" numFmtId="49" xfId="0" applyAlignment="1" applyBorder="1" applyFont="1" applyNumberFormat="1">
      <alignment readingOrder="0" shrinkToFit="0" vertical="top" wrapText="1"/>
    </xf>
    <xf borderId="2" fillId="0" fontId="27" numFmtId="0" xfId="0" applyAlignment="1" applyBorder="1" applyFont="1">
      <alignment readingOrder="0" shrinkToFit="0" vertical="center" wrapText="0"/>
    </xf>
    <xf borderId="2" fillId="0" fontId="27" numFmtId="0" xfId="0" applyAlignment="1" applyBorder="1" applyFont="1">
      <alignment readingOrder="0" shrinkToFit="0" vertical="center" wrapText="0"/>
    </xf>
    <xf borderId="1" fillId="0" fontId="27" numFmtId="0" xfId="0" applyAlignment="1" applyBorder="1" applyFont="1">
      <alignment horizontal="center" shrinkToFit="0" vertical="center" wrapText="0"/>
    </xf>
    <xf borderId="1" fillId="0" fontId="27" numFmtId="0" xfId="0" applyAlignment="1" applyBorder="1" applyFont="1">
      <alignment readingOrder="0" shrinkToFit="0" vertical="center" wrapText="0"/>
    </xf>
    <xf borderId="1" fillId="0" fontId="27" numFmtId="164" xfId="0" applyAlignment="1" applyBorder="1" applyFont="1" applyNumberFormat="1">
      <alignment shrinkToFit="0" vertical="center" wrapText="0"/>
    </xf>
    <xf borderId="1" fillId="0" fontId="27" numFmtId="164" xfId="0" applyAlignment="1" applyBorder="1" applyFont="1" applyNumberFormat="1">
      <alignment horizontal="center" shrinkToFit="0" vertical="center" wrapText="0"/>
    </xf>
    <xf borderId="1" fillId="0" fontId="27" numFmtId="0" xfId="0" applyAlignment="1" applyBorder="1" applyFont="1">
      <alignment shrinkToFit="0" vertical="center" wrapText="1"/>
    </xf>
    <xf borderId="1" fillId="6" fontId="27" numFmtId="49" xfId="0" applyAlignment="1" applyBorder="1" applyFont="1" applyNumberFormat="1">
      <alignment readingOrder="0" shrinkToFit="0" vertical="top" wrapText="1"/>
    </xf>
    <xf borderId="0" fillId="0" fontId="27" numFmtId="0" xfId="0" applyAlignment="1" applyFont="1">
      <alignment readingOrder="0" shrinkToFit="0" vertical="center" wrapText="0"/>
    </xf>
    <xf borderId="1" fillId="0" fontId="27" numFmtId="0" xfId="0" applyAlignment="1" applyBorder="1" applyFont="1">
      <alignment horizontal="right" readingOrder="0" shrinkToFit="0" vertical="center" wrapText="0"/>
    </xf>
    <xf borderId="1" fillId="6" fontId="27" numFmtId="164" xfId="0" applyAlignment="1" applyBorder="1" applyFont="1" applyNumberFormat="1">
      <alignment readingOrder="0" shrinkToFit="0" vertical="center" wrapText="0"/>
    </xf>
    <xf borderId="1" fillId="6" fontId="27" numFmtId="0" xfId="0" applyAlignment="1" applyBorder="1" applyFont="1">
      <alignment readingOrder="0" shrinkToFit="0" vertical="center" wrapText="0"/>
    </xf>
    <xf borderId="1" fillId="6" fontId="27" numFmtId="0" xfId="0" applyAlignment="1" applyBorder="1" applyFont="1">
      <alignment shrinkToFit="0" vertical="center" wrapText="0"/>
    </xf>
    <xf borderId="1" fillId="6" fontId="27" numFmtId="49" xfId="0" applyAlignment="1" applyBorder="1" applyFont="1" applyNumberFormat="1">
      <alignment readingOrder="0" shrinkToFit="0" vertical="center" wrapText="1"/>
    </xf>
    <xf borderId="1" fillId="0" fontId="27" numFmtId="49" xfId="0" applyAlignment="1" applyBorder="1" applyFont="1" applyNumberFormat="1">
      <alignment readingOrder="0" shrinkToFit="0" vertical="center" wrapText="0"/>
    </xf>
    <xf borderId="1" fillId="0" fontId="27" numFmtId="165" xfId="0" applyAlignment="1" applyBorder="1" applyFont="1" applyNumberFormat="1">
      <alignment horizontal="center" readingOrder="0" shrinkToFit="0" vertical="center" wrapText="0"/>
    </xf>
    <xf borderId="1" fillId="0" fontId="27" numFmtId="164" xfId="0" applyAlignment="1" applyBorder="1" applyFont="1" applyNumberFormat="1">
      <alignment horizontal="center" readingOrder="0" shrinkToFit="0" vertical="center" wrapText="0"/>
    </xf>
    <xf borderId="1" fillId="11" fontId="27" numFmtId="49" xfId="0" applyAlignment="1" applyBorder="1" applyFont="1" applyNumberFormat="1">
      <alignment readingOrder="0" shrinkToFit="0" vertical="top" wrapText="1"/>
    </xf>
    <xf borderId="1" fillId="0" fontId="28" numFmtId="0" xfId="0" applyAlignment="1" applyBorder="1" applyFont="1">
      <alignment readingOrder="0" shrinkToFit="0" vertical="center" wrapText="0"/>
    </xf>
    <xf borderId="1" fillId="0" fontId="28" numFmtId="0" xfId="0" applyAlignment="1" applyBorder="1" applyFont="1">
      <alignment readingOrder="0" shrinkToFit="0" vertical="center" wrapText="0"/>
    </xf>
    <xf borderId="0" fillId="6" fontId="27" numFmtId="49" xfId="0" applyAlignment="1" applyFont="1" applyNumberFormat="1">
      <alignment readingOrder="0" shrinkToFit="0" vertical="top" wrapText="1"/>
    </xf>
    <xf borderId="0" fillId="11" fontId="27" numFmtId="49" xfId="0" applyAlignment="1" applyFont="1" applyNumberFormat="1">
      <alignment readingOrder="0" shrinkToFit="0" vertical="top" wrapText="1"/>
    </xf>
    <xf borderId="1" fillId="0" fontId="11" numFmtId="0" xfId="0" applyAlignment="1" applyBorder="1" applyFont="1">
      <alignment readingOrder="0" shrinkToFit="0" vertical="center" wrapText="0"/>
    </xf>
    <xf borderId="1" fillId="0" fontId="28" numFmtId="0" xfId="0" applyAlignment="1" applyBorder="1" applyFont="1">
      <alignment shrinkToFit="0" vertical="center" wrapText="0"/>
    </xf>
    <xf borderId="1" fillId="0" fontId="27" numFmtId="0" xfId="0" applyAlignment="1" applyBorder="1" applyFont="1">
      <alignment horizontal="left" readingOrder="0" shrinkToFit="0" vertical="center" wrapText="0"/>
    </xf>
    <xf borderId="1" fillId="0" fontId="4" numFmtId="49" xfId="0" applyAlignment="1" applyBorder="1" applyFont="1" applyNumberFormat="1">
      <alignment readingOrder="0" shrinkToFit="0" vertical="center" wrapText="1"/>
    </xf>
    <xf borderId="1" fillId="5" fontId="21" numFmtId="49" xfId="0" applyAlignment="1" applyBorder="1" applyFont="1" applyNumberFormat="1">
      <alignment readingOrder="0" shrinkToFit="0" vertical="top" wrapText="1"/>
    </xf>
    <xf borderId="1" fillId="8" fontId="21" numFmtId="0" xfId="0" applyAlignment="1" applyBorder="1" applyFont="1">
      <alignment horizontal="right" readingOrder="0" shrinkToFit="0" wrapText="0"/>
    </xf>
    <xf borderId="1" fillId="0" fontId="27" numFmtId="164" xfId="0" applyAlignment="1" applyBorder="1" applyFont="1" applyNumberFormat="1">
      <alignment readingOrder="0" vertical="center"/>
    </xf>
    <xf borderId="1" fillId="8" fontId="27" numFmtId="0" xfId="0" applyAlignment="1" applyBorder="1" applyFont="1">
      <alignment readingOrder="0" vertical="center"/>
    </xf>
    <xf borderId="1" fillId="0" fontId="4" numFmtId="0" xfId="0" applyAlignment="1" applyBorder="1" applyFont="1">
      <alignment readingOrder="0" vertical="center"/>
    </xf>
    <xf borderId="1" fillId="8" fontId="21" numFmtId="0" xfId="0" applyAlignment="1" applyBorder="1" applyFont="1">
      <alignment shrinkToFit="0" wrapText="0"/>
    </xf>
    <xf borderId="1" fillId="8" fontId="21" numFmtId="0" xfId="0" applyAlignment="1" applyBorder="1" applyFont="1">
      <alignment horizontal="right" shrinkToFit="0" wrapText="0"/>
    </xf>
    <xf borderId="1" fillId="8" fontId="21" numFmtId="49" xfId="0" applyAlignment="1" applyBorder="1" applyFont="1" applyNumberFormat="1">
      <alignment shrinkToFit="0" wrapText="0"/>
    </xf>
    <xf borderId="1" fillId="0" fontId="4" numFmtId="49" xfId="0" applyAlignment="1" applyBorder="1" applyFont="1" applyNumberFormat="1">
      <alignment readingOrder="0" shrinkToFit="0" vertical="center" wrapText="1"/>
    </xf>
    <xf borderId="1" fillId="5" fontId="21" numFmtId="49" xfId="0" applyAlignment="1" applyBorder="1" applyFont="1" applyNumberFormat="1">
      <alignment readingOrder="0" shrinkToFit="0" vertical="top" wrapText="1"/>
    </xf>
    <xf borderId="1" fillId="8" fontId="23" numFmtId="0" xfId="0" applyBorder="1" applyFont="1"/>
    <xf borderId="1" fillId="8" fontId="23" numFmtId="164" xfId="0" applyBorder="1" applyFont="1" applyNumberFormat="1"/>
    <xf borderId="1" fillId="8" fontId="24" numFmtId="164" xfId="0" applyBorder="1" applyFont="1" applyNumberFormat="1"/>
    <xf borderId="1" fillId="0" fontId="13" numFmtId="0" xfId="0" applyBorder="1" applyFont="1"/>
    <xf borderId="1" fillId="0" fontId="13" numFmtId="164" xfId="0" applyBorder="1" applyFont="1" applyNumberFormat="1"/>
    <xf borderId="1" fillId="0" fontId="13" numFmtId="49" xfId="0" applyBorder="1" applyFont="1" applyNumberFormat="1"/>
    <xf borderId="1" fillId="0" fontId="4" numFmtId="164" xfId="0" applyBorder="1" applyFont="1" applyNumberFormat="1"/>
    <xf borderId="3" fillId="0" fontId="16" numFmtId="0" xfId="0" applyAlignment="1" applyBorder="1" applyFont="1">
      <alignment horizontal="left" readingOrder="0" shrinkToFit="0" vertical="center" wrapText="0"/>
    </xf>
    <xf borderId="3" fillId="0" fontId="16" numFmtId="164" xfId="0" applyAlignment="1" applyBorder="1" applyFont="1" applyNumberFormat="1">
      <alignment horizontal="center" readingOrder="0" shrinkToFit="0" vertical="center" wrapText="0"/>
    </xf>
    <xf borderId="3" fillId="0" fontId="16" numFmtId="0" xfId="0" applyAlignment="1" applyBorder="1" applyFont="1">
      <alignment readingOrder="0" shrinkToFit="0" vertical="center" wrapText="0"/>
    </xf>
    <xf borderId="4" fillId="0" fontId="29" numFmtId="0" xfId="0" applyAlignment="1" applyBorder="1" applyFont="1">
      <alignment horizontal="center" readingOrder="0" shrinkToFit="0" vertical="center" wrapText="0"/>
    </xf>
    <xf borderId="3" fillId="0" fontId="16" numFmtId="49" xfId="0" applyAlignment="1" applyBorder="1" applyFont="1" applyNumberFormat="1">
      <alignment readingOrder="0" shrinkToFit="0" vertical="center" wrapText="1"/>
    </xf>
    <xf borderId="3" fillId="0" fontId="16" numFmtId="0" xfId="0" applyAlignment="1" applyBorder="1" applyFont="1">
      <alignment readingOrder="0" vertical="center"/>
    </xf>
    <xf borderId="3" fillId="0" fontId="30" numFmtId="0" xfId="0" applyAlignment="1" applyBorder="1" applyFont="1">
      <alignment readingOrder="0" vertical="center"/>
    </xf>
    <xf borderId="3" fillId="0" fontId="16" numFmtId="164" xfId="0" applyAlignment="1" applyBorder="1" applyFont="1" applyNumberFormat="1">
      <alignment readingOrder="0" shrinkToFit="0" vertical="center" wrapText="0"/>
    </xf>
    <xf borderId="3" fillId="5" fontId="30" numFmtId="0" xfId="0" applyAlignment="1" applyBorder="1" applyFont="1">
      <alignment horizontal="left" readingOrder="0" vertical="center"/>
    </xf>
    <xf borderId="3" fillId="5" fontId="16" numFmtId="0" xfId="0" applyAlignment="1" applyBorder="1" applyFont="1">
      <alignment readingOrder="0" vertical="center"/>
    </xf>
    <xf borderId="3" fillId="5" fontId="16" numFmtId="0" xfId="0" applyAlignment="1" applyBorder="1" applyFont="1">
      <alignment horizontal="left" readingOrder="0" vertical="center"/>
    </xf>
    <xf borderId="1" fillId="6" fontId="4" numFmtId="0" xfId="0" applyAlignment="1" applyBorder="1" applyFont="1">
      <alignment horizontal="right" readingOrder="0" shrinkToFit="0" vertical="center" wrapText="0"/>
    </xf>
    <xf borderId="1" fillId="6" fontId="4" numFmtId="164" xfId="0" applyAlignment="1" applyBorder="1" applyFont="1" applyNumberFormat="1">
      <alignment horizontal="center" readingOrder="0" shrinkToFit="0" vertical="center" wrapText="0"/>
    </xf>
    <xf borderId="1" fillId="6" fontId="4" numFmtId="0" xfId="0" applyAlignment="1" applyBorder="1" applyFont="1">
      <alignment readingOrder="0" vertical="center"/>
    </xf>
    <xf borderId="1" fillId="6" fontId="4" numFmtId="0" xfId="0" applyAlignment="1" applyBorder="1" applyFont="1">
      <alignment readingOrder="0" shrinkToFit="0" vertical="center" wrapText="0"/>
    </xf>
    <xf borderId="1" fillId="6" fontId="4" numFmtId="0" xfId="0" applyAlignment="1" applyBorder="1" applyFont="1">
      <alignment shrinkToFit="0" vertical="center" wrapText="0"/>
    </xf>
    <xf borderId="1" fillId="6" fontId="4" numFmtId="49" xfId="0" applyAlignment="1" applyBorder="1" applyFont="1" applyNumberFormat="1">
      <alignment readingOrder="0" shrinkToFit="0" vertical="center" wrapText="1"/>
    </xf>
    <xf borderId="1" fillId="0" fontId="6" numFmtId="0" xfId="0" applyAlignment="1" applyBorder="1" applyFont="1">
      <alignment shrinkToFit="0" wrapText="0"/>
    </xf>
    <xf borderId="1" fillId="0" fontId="6" numFmtId="164" xfId="0" applyAlignment="1" applyBorder="1" applyFont="1" applyNumberFormat="1">
      <alignment shrinkToFit="0" wrapText="0"/>
    </xf>
    <xf borderId="1" fillId="6" fontId="31" numFmtId="0" xfId="0" applyAlignment="1" applyBorder="1" applyFont="1">
      <alignment shrinkToFit="0" wrapText="0"/>
    </xf>
    <xf borderId="1" fillId="0" fontId="6" numFmtId="0" xfId="0" applyAlignment="1" applyBorder="1" applyFont="1">
      <alignment readingOrder="0" shrinkToFit="0" vertical="top" wrapText="1"/>
    </xf>
    <xf borderId="1" fillId="0" fontId="6" numFmtId="0" xfId="0" applyAlignment="1" applyBorder="1" applyFont="1">
      <alignment horizontal="left" shrinkToFit="0" vertical="top" wrapText="1"/>
    </xf>
    <xf borderId="1" fillId="0" fontId="4" numFmtId="0" xfId="0" applyAlignment="1" applyBorder="1" applyFont="1">
      <alignment horizontal="right" readingOrder="0" vertical="center"/>
    </xf>
    <xf borderId="1" fillId="0" fontId="4" numFmtId="164" xfId="0" applyAlignment="1" applyBorder="1" applyFont="1" applyNumberFormat="1">
      <alignment horizontal="center" readingOrder="0" vertical="center"/>
    </xf>
    <xf borderId="1" fillId="0" fontId="12" numFmtId="49" xfId="0" applyAlignment="1" applyBorder="1" applyFont="1" applyNumberFormat="1">
      <alignment readingOrder="0" shrinkToFit="0" vertical="center" wrapText="1"/>
    </xf>
    <xf borderId="1" fillId="5" fontId="12" numFmtId="49" xfId="0" applyAlignment="1" applyBorder="1" applyFont="1" applyNumberFormat="1">
      <alignment readingOrder="0" shrinkToFit="0" vertical="top" wrapText="1"/>
    </xf>
    <xf borderId="1" fillId="0" fontId="4" numFmtId="0" xfId="0" applyAlignment="1" applyBorder="1" applyFont="1">
      <alignment vertical="center"/>
    </xf>
    <xf borderId="1" fillId="0" fontId="4" numFmtId="0" xfId="0" applyAlignment="1" applyBorder="1" applyFont="1">
      <alignment horizontal="center" vertical="center"/>
    </xf>
    <xf borderId="1" fillId="0" fontId="4" numFmtId="164" xfId="0" applyAlignment="1" applyBorder="1" applyFont="1" applyNumberFormat="1">
      <alignment vertical="center"/>
    </xf>
    <xf borderId="1" fillId="5" fontId="19" numFmtId="0" xfId="0" applyAlignment="1" applyBorder="1" applyFont="1">
      <alignment horizontal="center" readingOrder="0" vertical="center"/>
    </xf>
    <xf borderId="1" fillId="0" fontId="4" numFmtId="0" xfId="0" applyAlignment="1" applyBorder="1" applyFont="1">
      <alignment shrinkToFit="0" vertical="center" wrapText="1"/>
    </xf>
    <xf borderId="1" fillId="12" fontId="21" numFmtId="0" xfId="0" applyAlignment="1" applyBorder="1" applyFont="1">
      <alignment horizontal="right" shrinkToFit="0" wrapText="0"/>
    </xf>
    <xf borderId="1" fillId="6" fontId="21" numFmtId="164" xfId="0" applyAlignment="1" applyBorder="1" applyFont="1" applyNumberFormat="1">
      <alignment horizontal="center" shrinkToFit="0" wrapText="0"/>
    </xf>
    <xf borderId="1" fillId="6" fontId="21" numFmtId="0" xfId="0" applyAlignment="1" applyBorder="1" applyFont="1">
      <alignment shrinkToFit="0" wrapText="0"/>
    </xf>
    <xf borderId="1" fillId="6" fontId="23" numFmtId="0" xfId="0" applyBorder="1" applyFont="1"/>
    <xf borderId="1" fillId="6" fontId="21" numFmtId="0" xfId="0" applyAlignment="1" applyBorder="1" applyFont="1">
      <alignment horizontal="right" shrinkToFit="0" wrapText="0"/>
    </xf>
    <xf borderId="1" fillId="6" fontId="21" numFmtId="49" xfId="0" applyAlignment="1" applyBorder="1" applyFont="1" applyNumberFormat="1">
      <alignment shrinkToFit="0" wrapText="1"/>
    </xf>
    <xf borderId="1" fillId="6" fontId="21" numFmtId="49" xfId="0" applyAlignment="1" applyBorder="1" applyFont="1" applyNumberFormat="1">
      <alignment readingOrder="0" shrinkToFit="0" vertical="top" wrapText="1"/>
    </xf>
    <xf borderId="1" fillId="12" fontId="21" numFmtId="0" xfId="0" applyAlignment="1" applyBorder="1" applyFont="1">
      <alignment shrinkToFit="0" wrapText="0"/>
    </xf>
    <xf borderId="1" fillId="12" fontId="21" numFmtId="0" xfId="0" applyAlignment="1" applyBorder="1" applyFont="1">
      <alignment shrinkToFit="0" wrapText="0"/>
    </xf>
    <xf borderId="1" fillId="12" fontId="23" numFmtId="0" xfId="0" applyBorder="1" applyFont="1"/>
    <xf borderId="1" fillId="12" fontId="21" numFmtId="0" xfId="0" applyAlignment="1" applyBorder="1" applyFont="1">
      <alignment horizontal="center" shrinkToFit="0" wrapText="0"/>
    </xf>
    <xf borderId="1" fillId="12" fontId="21" numFmtId="164" xfId="0" applyAlignment="1" applyBorder="1" applyFont="1" applyNumberFormat="1">
      <alignment horizontal="right" shrinkToFit="0" wrapText="0"/>
    </xf>
    <xf borderId="1" fillId="12" fontId="23" numFmtId="164" xfId="0" applyBorder="1" applyFont="1" applyNumberFormat="1"/>
    <xf borderId="1" fillId="12" fontId="21" numFmtId="49" xfId="0" applyAlignment="1" applyBorder="1" applyFont="1" applyNumberFormat="1">
      <alignment shrinkToFit="0" wrapText="1"/>
    </xf>
    <xf borderId="1" fillId="8" fontId="21" numFmtId="0" xfId="0" applyAlignment="1" applyBorder="1" applyFont="1">
      <alignment horizontal="right" shrinkToFit="0" wrapText="0"/>
    </xf>
    <xf borderId="1" fillId="8" fontId="21" numFmtId="0" xfId="0" applyAlignment="1" applyBorder="1" applyFont="1">
      <alignment shrinkToFit="0" wrapText="0"/>
    </xf>
    <xf borderId="1" fillId="8" fontId="21" numFmtId="0" xfId="0" applyAlignment="1" applyBorder="1" applyFont="1">
      <alignment shrinkToFit="0" wrapText="0"/>
    </xf>
    <xf borderId="1" fillId="8" fontId="23" numFmtId="0" xfId="0" applyBorder="1" applyFont="1"/>
    <xf borderId="1" fillId="8" fontId="21" numFmtId="0" xfId="0" applyAlignment="1" applyBorder="1" applyFont="1">
      <alignment horizontal="center" shrinkToFit="0" wrapText="0"/>
    </xf>
    <xf borderId="1" fillId="8" fontId="21" numFmtId="164" xfId="0" applyAlignment="1" applyBorder="1" applyFont="1" applyNumberFormat="1">
      <alignment horizontal="right" shrinkToFit="0" wrapText="0"/>
    </xf>
    <xf borderId="1" fillId="8" fontId="23" numFmtId="164" xfId="0" applyBorder="1" applyFont="1" applyNumberFormat="1"/>
    <xf borderId="1" fillId="12" fontId="23" numFmtId="49" xfId="0" applyBorder="1" applyFont="1" applyNumberFormat="1"/>
    <xf borderId="1" fillId="8" fontId="23" numFmtId="49" xfId="0" applyBorder="1" applyFont="1" applyNumberFormat="1"/>
    <xf borderId="1" fillId="8" fontId="21" numFmtId="49" xfId="0" applyAlignment="1" applyBorder="1" applyFont="1" applyNumberFormat="1">
      <alignment shrinkToFit="0" wrapText="0"/>
    </xf>
    <xf borderId="1" fillId="12" fontId="21" numFmtId="49" xfId="0" applyAlignment="1" applyBorder="1" applyFont="1" applyNumberFormat="1">
      <alignment shrinkToFit="0" wrapText="0"/>
    </xf>
    <xf borderId="1" fillId="8" fontId="23" numFmtId="0" xfId="0" applyBorder="1" applyFont="1"/>
    <xf borderId="1" fillId="12" fontId="23" numFmtId="0" xfId="0" applyBorder="1" applyFont="1"/>
    <xf borderId="1" fillId="12" fontId="21" numFmtId="0" xfId="0" applyAlignment="1" applyBorder="1" applyFont="1">
      <alignment horizontal="center" shrinkToFit="0" wrapText="0"/>
    </xf>
    <xf borderId="1" fillId="8" fontId="21" numFmtId="0" xfId="0" applyAlignment="1" applyBorder="1" applyFont="1">
      <alignment horizontal="center" shrinkToFit="0" wrapText="0"/>
    </xf>
    <xf borderId="1" fillId="12" fontId="21" numFmtId="164" xfId="0" applyAlignment="1" applyBorder="1" applyFont="1" applyNumberFormat="1">
      <alignment horizontal="center" shrinkToFit="0" wrapText="0"/>
    </xf>
    <xf borderId="1" fillId="8" fontId="21" numFmtId="164" xfId="0" applyAlignment="1" applyBorder="1" applyFont="1" applyNumberFormat="1">
      <alignment horizontal="center" shrinkToFit="0" wrapText="0"/>
    </xf>
    <xf borderId="1" fillId="8" fontId="21" numFmtId="49" xfId="0" applyAlignment="1" applyBorder="1" applyFont="1" applyNumberFormat="1">
      <alignment shrinkToFit="0" wrapText="1"/>
    </xf>
    <xf borderId="1" fillId="6" fontId="23" numFmtId="49" xfId="0" applyAlignment="1" applyBorder="1" applyFont="1" applyNumberFormat="1">
      <alignment readingOrder="0" shrinkToFit="0" vertical="top" wrapText="0"/>
    </xf>
    <xf borderId="1" fillId="8" fontId="21" numFmtId="166" xfId="0" applyAlignment="1" applyBorder="1" applyFont="1" applyNumberFormat="1">
      <alignment horizontal="right" shrinkToFit="0" wrapText="0"/>
    </xf>
    <xf borderId="1" fillId="0" fontId="23" numFmtId="0" xfId="0" applyAlignment="1" applyBorder="1" applyFont="1">
      <alignment horizontal="right"/>
    </xf>
    <xf borderId="1" fillId="6" fontId="23" numFmtId="164" xfId="0" applyAlignment="1" applyBorder="1" applyFont="1" applyNumberFormat="1">
      <alignment horizontal="center"/>
    </xf>
    <xf borderId="1" fillId="6" fontId="23" numFmtId="0" xfId="0" applyAlignment="1" applyBorder="1" applyFont="1">
      <alignment horizontal="right"/>
    </xf>
    <xf borderId="1" fillId="6" fontId="23" numFmtId="49" xfId="0" applyAlignment="1" applyBorder="1" applyFont="1" applyNumberFormat="1">
      <alignment shrinkToFit="0" wrapText="1"/>
    </xf>
    <xf borderId="1" fillId="6" fontId="23" numFmtId="49" xfId="0" applyAlignment="1" applyBorder="1" applyFont="1" applyNumberFormat="1">
      <alignment readingOrder="0" shrinkToFit="0" vertical="top" wrapText="1"/>
    </xf>
    <xf borderId="1" fillId="0" fontId="23" numFmtId="0" xfId="0" applyBorder="1" applyFont="1"/>
    <xf borderId="1" fillId="0" fontId="23" numFmtId="0" xfId="0" applyBorder="1" applyFont="1"/>
    <xf borderId="1" fillId="0" fontId="23" numFmtId="0" xfId="0" applyAlignment="1" applyBorder="1" applyFont="1">
      <alignment vertical="bottom"/>
    </xf>
    <xf borderId="1" fillId="0" fontId="23" numFmtId="0" xfId="0" applyAlignment="1" applyBorder="1" applyFont="1">
      <alignment horizontal="center"/>
    </xf>
    <xf borderId="1" fillId="0" fontId="23" numFmtId="164" xfId="0" applyAlignment="1" applyBorder="1" applyFont="1" applyNumberFormat="1">
      <alignment horizontal="right"/>
    </xf>
    <xf borderId="1" fillId="0" fontId="23" numFmtId="164" xfId="0" applyBorder="1" applyFont="1" applyNumberFormat="1"/>
    <xf borderId="1" fillId="0" fontId="23" numFmtId="166" xfId="0" applyAlignment="1" applyBorder="1" applyFont="1" applyNumberFormat="1">
      <alignment horizontal="right"/>
    </xf>
    <xf borderId="1" fillId="3" fontId="21" numFmtId="0" xfId="0" applyAlignment="1" applyBorder="1" applyFont="1">
      <alignment shrinkToFit="0" wrapText="0"/>
    </xf>
    <xf borderId="1" fillId="0" fontId="32" numFmtId="0" xfId="0" applyAlignment="1" applyBorder="1" applyFont="1">
      <alignment vertical="bottom"/>
    </xf>
    <xf borderId="1" fillId="0" fontId="23" numFmtId="0" xfId="0" applyAlignment="1" applyBorder="1" applyFont="1">
      <alignment horizontal="center"/>
    </xf>
    <xf borderId="4" fillId="0" fontId="23" numFmtId="0" xfId="0" applyAlignment="1" applyBorder="1" applyFont="1">
      <alignment horizontal="right"/>
    </xf>
    <xf borderId="4" fillId="6" fontId="23" numFmtId="164" xfId="0" applyAlignment="1" applyBorder="1" applyFont="1" applyNumberFormat="1">
      <alignment horizontal="center"/>
    </xf>
    <xf borderId="4" fillId="6" fontId="23" numFmtId="0" xfId="0" applyBorder="1" applyFont="1"/>
    <xf borderId="4" fillId="6" fontId="23" numFmtId="0" xfId="0" applyAlignment="1" applyBorder="1" applyFont="1">
      <alignment horizontal="right"/>
    </xf>
    <xf borderId="4" fillId="6" fontId="23" numFmtId="49" xfId="0" applyAlignment="1" applyBorder="1" applyFont="1" applyNumberFormat="1">
      <alignment shrinkToFit="0" wrapText="1"/>
    </xf>
    <xf borderId="5" fillId="6" fontId="23" numFmtId="49" xfId="0" applyAlignment="1" applyBorder="1" applyFont="1" applyNumberFormat="1">
      <alignment readingOrder="0" shrinkToFit="0" vertical="top" wrapText="1"/>
    </xf>
    <xf borderId="2" fillId="0" fontId="23" numFmtId="0" xfId="0" applyBorder="1" applyFont="1"/>
    <xf borderId="2" fillId="0" fontId="23" numFmtId="0" xfId="0" applyBorder="1" applyFont="1"/>
    <xf borderId="2" fillId="0" fontId="23" numFmtId="0" xfId="0" applyAlignment="1" applyBorder="1" applyFont="1">
      <alignment horizontal="center"/>
    </xf>
    <xf borderId="2" fillId="0" fontId="23" numFmtId="164" xfId="0" applyAlignment="1" applyBorder="1" applyFont="1" applyNumberFormat="1">
      <alignment horizontal="right"/>
    </xf>
    <xf borderId="2" fillId="0" fontId="23" numFmtId="164" xfId="0" applyBorder="1" applyFont="1" applyNumberFormat="1"/>
    <xf borderId="6" fillId="0" fontId="23" numFmtId="0" xfId="0" applyAlignment="1" applyBorder="1" applyFont="1">
      <alignment horizontal="right"/>
    </xf>
    <xf borderId="6" fillId="6" fontId="23" numFmtId="164" xfId="0" applyAlignment="1" applyBorder="1" applyFont="1" applyNumberFormat="1">
      <alignment horizontal="center"/>
    </xf>
    <xf borderId="6" fillId="6" fontId="23" numFmtId="0" xfId="0" applyBorder="1" applyFont="1"/>
    <xf borderId="6" fillId="6" fontId="23" numFmtId="0" xfId="0" applyAlignment="1" applyBorder="1" applyFont="1">
      <alignment horizontal="right"/>
    </xf>
    <xf borderId="6" fillId="6" fontId="23" numFmtId="49" xfId="0" applyAlignment="1" applyBorder="1" applyFont="1" applyNumberFormat="1">
      <alignment shrinkToFit="0" wrapText="1"/>
    </xf>
    <xf borderId="7" fillId="6" fontId="23" numFmtId="49" xfId="0" applyAlignment="1" applyBorder="1" applyFont="1" applyNumberFormat="1">
      <alignment readingOrder="0" shrinkToFit="0" vertical="top" wrapText="1"/>
    </xf>
    <xf borderId="8" fillId="0" fontId="23" numFmtId="0" xfId="0" applyBorder="1" applyFont="1"/>
    <xf borderId="8" fillId="0" fontId="23" numFmtId="0" xfId="0" applyBorder="1" applyFont="1"/>
    <xf borderId="8" fillId="0" fontId="23" numFmtId="0" xfId="0" applyAlignment="1" applyBorder="1" applyFont="1">
      <alignment horizontal="center"/>
    </xf>
    <xf borderId="8" fillId="0" fontId="23" numFmtId="164" xfId="0" applyAlignment="1" applyBorder="1" applyFont="1" applyNumberFormat="1">
      <alignment horizontal="right"/>
    </xf>
    <xf borderId="8" fillId="0" fontId="23" numFmtId="164" xfId="0" applyBorder="1" applyFont="1" applyNumberFormat="1"/>
    <xf borderId="1" fillId="6" fontId="23" numFmtId="0" xfId="0" applyBorder="1" applyFont="1"/>
    <xf borderId="1" fillId="6" fontId="23" numFmtId="0" xfId="0" applyAlignment="1" applyBorder="1" applyFont="1">
      <alignment horizontal="center"/>
    </xf>
    <xf borderId="1" fillId="6" fontId="23" numFmtId="164" xfId="0" applyAlignment="1" applyBorder="1" applyFont="1" applyNumberFormat="1">
      <alignment horizontal="right"/>
    </xf>
    <xf borderId="1" fillId="6" fontId="23" numFmtId="49" xfId="0" applyAlignment="1" applyBorder="1" applyFont="1" applyNumberFormat="1">
      <alignment shrinkToFit="0" vertical="top" wrapText="1"/>
    </xf>
    <xf borderId="1" fillId="8" fontId="23" numFmtId="0" xfId="0" applyAlignment="1" applyBorder="1" applyFont="1">
      <alignment vertical="bottom"/>
    </xf>
    <xf borderId="1" fillId="12" fontId="33" numFmtId="0" xfId="0" applyBorder="1" applyFont="1"/>
    <xf borderId="1" fillId="12" fontId="33" numFmtId="0" xfId="0" applyAlignment="1" applyBorder="1" applyFont="1">
      <alignment horizontal="right" shrinkToFit="0" wrapText="0"/>
    </xf>
    <xf borderId="1" fillId="6" fontId="33" numFmtId="164" xfId="0" applyAlignment="1" applyBorder="1" applyFont="1" applyNumberFormat="1">
      <alignment horizontal="center" shrinkToFit="0" wrapText="0"/>
    </xf>
    <xf borderId="1" fillId="6" fontId="33" numFmtId="0" xfId="0" applyAlignment="1" applyBorder="1" applyFont="1">
      <alignment shrinkToFit="0" wrapText="0"/>
    </xf>
    <xf borderId="1" fillId="6" fontId="33" numFmtId="0" xfId="0" applyAlignment="1" applyBorder="1" applyFont="1">
      <alignment horizontal="right" shrinkToFit="0" wrapText="0"/>
    </xf>
    <xf borderId="1" fillId="6" fontId="33" numFmtId="49" xfId="0" applyAlignment="1" applyBorder="1" applyFont="1" applyNumberFormat="1">
      <alignment shrinkToFit="0" wrapText="1"/>
    </xf>
    <xf borderId="1" fillId="6" fontId="33" numFmtId="49" xfId="0" applyAlignment="1" applyBorder="1" applyFont="1" applyNumberFormat="1">
      <alignment readingOrder="0" shrinkToFit="0" vertical="top" wrapText="1"/>
    </xf>
    <xf borderId="1" fillId="12" fontId="33" numFmtId="0" xfId="0" applyAlignment="1" applyBorder="1" applyFont="1">
      <alignment shrinkToFit="0" wrapText="0"/>
    </xf>
    <xf borderId="1" fillId="12" fontId="33" numFmtId="0" xfId="0" applyAlignment="1" applyBorder="1" applyFont="1">
      <alignment horizontal="center" shrinkToFit="0" wrapText="0"/>
    </xf>
    <xf borderId="1" fillId="12" fontId="33" numFmtId="164" xfId="0" applyAlignment="1" applyBorder="1" applyFont="1" applyNumberFormat="1">
      <alignment horizontal="right" shrinkToFit="0" wrapText="0"/>
    </xf>
    <xf borderId="1" fillId="0" fontId="23" numFmtId="165" xfId="0" applyAlignment="1" applyBorder="1" applyFont="1" applyNumberFormat="1">
      <alignment horizontal="right"/>
    </xf>
    <xf borderId="1" fillId="0" fontId="32" numFmtId="0" xfId="0" applyAlignment="1" applyBorder="1" applyFont="1">
      <alignment vertical="bottom"/>
    </xf>
    <xf borderId="1" fillId="0" fontId="23" numFmtId="0" xfId="0" applyAlignment="1" applyBorder="1" applyFont="1">
      <alignment vertical="bottom"/>
    </xf>
    <xf borderId="1" fillId="6" fontId="4" numFmtId="164" xfId="0" applyAlignment="1" applyBorder="1" applyFont="1" applyNumberFormat="1">
      <alignment horizontal="center" readingOrder="0" vertical="center"/>
    </xf>
    <xf borderId="1" fillId="6" fontId="4" numFmtId="0" xfId="0" applyAlignment="1" applyBorder="1" applyFont="1">
      <alignment vertical="center"/>
    </xf>
    <xf borderId="1" fillId="6" fontId="4" numFmtId="49" xfId="0" applyAlignment="1" applyBorder="1" applyFont="1" applyNumberFormat="1">
      <alignment readingOrder="0" shrinkToFit="0" vertical="top" wrapText="1"/>
    </xf>
    <xf borderId="1" fillId="0" fontId="4" numFmtId="0" xfId="0" applyAlignment="1" applyBorder="1" applyFont="1">
      <alignment horizontal="center" readingOrder="0" vertical="center"/>
    </xf>
    <xf borderId="1" fillId="0" fontId="4" numFmtId="164" xfId="0" applyAlignment="1" applyBorder="1" applyFont="1" applyNumberFormat="1">
      <alignment readingOrder="0" vertical="center"/>
    </xf>
    <xf borderId="1" fillId="0" fontId="19" numFmtId="0" xfId="0" applyAlignment="1" applyBorder="1" applyFont="1">
      <alignment horizontal="center" vertical="center"/>
    </xf>
    <xf borderId="1" fillId="5" fontId="23" numFmtId="164" xfId="0" applyAlignment="1" applyBorder="1" applyFont="1" applyNumberFormat="1">
      <alignment horizontal="center"/>
    </xf>
    <xf borderId="1" fillId="5" fontId="23" numFmtId="0" xfId="0" applyBorder="1" applyFont="1"/>
    <xf borderId="1" fillId="5" fontId="23" numFmtId="0" xfId="0" applyAlignment="1" applyBorder="1" applyFont="1">
      <alignment horizontal="right" vertical="bottom"/>
    </xf>
    <xf borderId="1" fillId="5" fontId="23" numFmtId="49" xfId="0" applyAlignment="1" applyBorder="1" applyFont="1" applyNumberFormat="1">
      <alignment shrinkToFit="0" wrapText="1"/>
    </xf>
    <xf borderId="1" fillId="5" fontId="23" numFmtId="49" xfId="0" applyAlignment="1" applyBorder="1" applyFont="1" applyNumberFormat="1">
      <alignment readingOrder="0" shrinkToFit="0" vertical="top" wrapText="1"/>
    </xf>
    <xf borderId="1" fillId="5" fontId="32" numFmtId="0" xfId="0" applyAlignment="1" applyBorder="1" applyFont="1">
      <alignment horizontal="center"/>
    </xf>
    <xf borderId="1" fillId="0" fontId="34" numFmtId="0" xfId="0" applyAlignment="1" applyBorder="1" applyFont="1">
      <alignment shrinkToFit="0" vertical="top" wrapText="1"/>
    </xf>
    <xf borderId="1" fillId="6" fontId="23" numFmtId="0" xfId="0" applyAlignment="1" applyBorder="1" applyFont="1">
      <alignment readingOrder="0"/>
    </xf>
    <xf borderId="1" fillId="0" fontId="23" numFmtId="0" xfId="0" applyAlignment="1" applyBorder="1" applyFont="1">
      <alignment readingOrder="0"/>
    </xf>
    <xf borderId="1" fillId="5" fontId="23" numFmtId="0" xfId="0" applyAlignment="1" applyBorder="1" applyFont="1">
      <alignment horizontal="right"/>
    </xf>
    <xf borderId="1" fillId="0" fontId="23" numFmtId="167" xfId="0" applyAlignment="1" applyBorder="1" applyFont="1" applyNumberFormat="1">
      <alignment horizontal="right"/>
    </xf>
    <xf borderId="1" fillId="0" fontId="6" numFmtId="0" xfId="0" applyAlignment="1" applyBorder="1" applyFont="1">
      <alignment readingOrder="0" shrinkToFit="0" wrapText="0"/>
    </xf>
    <xf borderId="1" fillId="0" fontId="23" numFmtId="164" xfId="0" applyAlignment="1" applyBorder="1" applyFont="1" applyNumberFormat="1">
      <alignment horizontal="center"/>
    </xf>
    <xf borderId="1" fillId="0" fontId="23" numFmtId="49" xfId="0" applyAlignment="1" applyBorder="1" applyFont="1" applyNumberFormat="1">
      <alignment shrinkToFit="0" wrapText="1"/>
    </xf>
    <xf borderId="1" fillId="0" fontId="23" numFmtId="49" xfId="0" applyAlignment="1" applyBorder="1" applyFont="1" applyNumberFormat="1">
      <alignment readingOrder="0" shrinkToFit="0" vertical="top" wrapText="1"/>
    </xf>
    <xf borderId="1" fillId="6" fontId="19" numFmtId="0" xfId="0" applyAlignment="1" applyBorder="1" applyFont="1">
      <alignment horizontal="center" vertical="center"/>
    </xf>
    <xf borderId="1" fillId="9" fontId="4" numFmtId="0" xfId="0" applyAlignment="1" applyBorder="1" applyFont="1">
      <alignment horizontal="right" readingOrder="0" shrinkToFit="0" vertical="center" wrapText="0"/>
    </xf>
    <xf borderId="1" fillId="3" fontId="4" numFmtId="0" xfId="0" applyAlignment="1" applyBorder="1" applyFont="1">
      <alignment readingOrder="0" shrinkToFit="0" vertical="center" wrapText="0"/>
    </xf>
    <xf borderId="1" fillId="0" fontId="4" numFmtId="0" xfId="0" applyAlignment="1" applyBorder="1" applyFont="1">
      <alignment readingOrder="0" shrinkToFit="0" vertical="center" wrapText="1"/>
    </xf>
    <xf borderId="1" fillId="0" fontId="25" numFmtId="0" xfId="0" applyAlignment="1" applyBorder="1" applyFont="1">
      <alignment readingOrder="0" vertical="center"/>
    </xf>
    <xf borderId="1" fillId="0" fontId="35" numFmtId="0" xfId="0" applyAlignment="1" applyBorder="1" applyFont="1">
      <alignment readingOrder="0" vertical="center"/>
    </xf>
    <xf borderId="1" fillId="0" fontId="4" numFmtId="49" xfId="0" applyAlignment="1" applyBorder="1" applyFont="1" applyNumberFormat="1">
      <alignment readingOrder="0" shrinkToFit="0" vertical="top" wrapText="1"/>
    </xf>
    <xf borderId="1" fillId="6" fontId="21" numFmtId="167" xfId="0" applyAlignment="1" applyBorder="1" applyFont="1" applyNumberFormat="1">
      <alignment horizontal="center" shrinkToFit="0" wrapText="0"/>
    </xf>
    <xf borderId="1" fillId="8" fontId="33" numFmtId="0" xfId="0" applyBorder="1" applyFont="1"/>
    <xf borderId="1" fillId="11" fontId="4" numFmtId="164" xfId="0" applyAlignment="1" applyBorder="1" applyFont="1" applyNumberFormat="1">
      <alignment horizontal="center" readingOrder="0" vertical="center"/>
    </xf>
    <xf borderId="1" fillId="11" fontId="4" numFmtId="0" xfId="0" applyAlignment="1" applyBorder="1" applyFont="1">
      <alignment readingOrder="0" vertical="center"/>
    </xf>
    <xf borderId="1" fillId="11" fontId="4" numFmtId="49" xfId="0" applyAlignment="1" applyBorder="1" applyFont="1" applyNumberFormat="1">
      <alignment readingOrder="0" shrinkToFit="0" vertical="center" wrapText="1"/>
    </xf>
    <xf borderId="1" fillId="0" fontId="12" numFmtId="0" xfId="0" applyAlignment="1" applyBorder="1" applyFont="1">
      <alignment readingOrder="0" shrinkToFit="0" vertical="center" wrapText="1"/>
    </xf>
    <xf borderId="1" fillId="0" fontId="4" numFmtId="0" xfId="0" applyAlignment="1" applyBorder="1" applyFont="1">
      <alignment readingOrder="0" shrinkToFit="0" wrapText="0"/>
    </xf>
    <xf borderId="1" fillId="0" fontId="13" numFmtId="0" xfId="0" applyAlignment="1" applyBorder="1" applyFont="1">
      <alignment readingOrder="0" vertical="center"/>
    </xf>
    <xf borderId="1" fillId="0" fontId="3" numFmtId="0" xfId="0" applyAlignment="1" applyBorder="1" applyFont="1">
      <alignment horizontal="center" readingOrder="0" vertical="center"/>
    </xf>
    <xf borderId="1" fillId="0" fontId="4" numFmtId="164" xfId="0" applyAlignment="1" applyBorder="1" applyFont="1" applyNumberFormat="1">
      <alignment horizontal="center" vertical="center"/>
    </xf>
    <xf borderId="1" fillId="0" fontId="23" numFmtId="0" xfId="0" applyAlignment="1" applyBorder="1" applyFont="1">
      <alignment shrinkToFit="0" wrapText="1"/>
    </xf>
    <xf borderId="1" fillId="6" fontId="13" numFmtId="0" xfId="0" applyAlignment="1" applyBorder="1" applyFont="1">
      <alignment horizontal="left" readingOrder="0"/>
    </xf>
    <xf borderId="1" fillId="6" fontId="4" numFmtId="0" xfId="0" applyAlignment="1" applyBorder="1" applyFont="1">
      <alignment horizontal="center" readingOrder="0" vertical="center"/>
    </xf>
    <xf borderId="1" fillId="6" fontId="19" numFmtId="0" xfId="0" applyAlignment="1" applyBorder="1" applyFont="1">
      <alignment horizontal="center" readingOrder="0" shrinkToFit="0" vertical="center" wrapText="1"/>
    </xf>
    <xf borderId="1" fillId="0" fontId="23" numFmtId="0" xfId="0" applyAlignment="1" applyBorder="1" applyFont="1">
      <alignment horizontal="right"/>
    </xf>
    <xf borderId="0" fillId="6" fontId="23" numFmtId="0" xfId="0" applyFont="1"/>
    <xf borderId="1" fillId="11" fontId="4" numFmtId="0" xfId="0" applyAlignment="1" applyBorder="1" applyFont="1">
      <alignment horizontal="right" readingOrder="0" vertical="center"/>
    </xf>
    <xf borderId="1" fillId="0" fontId="17" numFmtId="0" xfId="0" applyAlignment="1" applyBorder="1" applyFont="1">
      <alignment readingOrder="0" shrinkToFit="0" vertical="bottom" wrapText="0"/>
    </xf>
    <xf borderId="1" fillId="6" fontId="4" numFmtId="0" xfId="0" applyAlignment="1" applyBorder="1" applyFont="1">
      <alignment horizontal="right" readingOrder="0" vertical="center"/>
    </xf>
    <xf borderId="1" fillId="0" fontId="12" numFmtId="0" xfId="0" applyAlignment="1" applyBorder="1" applyFont="1">
      <alignment horizontal="left" readingOrder="0" shrinkToFit="0" vertical="top" wrapText="1"/>
    </xf>
    <xf borderId="2" fillId="0" fontId="4" numFmtId="0" xfId="0" applyAlignment="1" applyBorder="1" applyFont="1">
      <alignment readingOrder="0" vertical="center"/>
    </xf>
    <xf borderId="1" fillId="0" fontId="23" numFmtId="0" xfId="0" applyAlignment="1" applyBorder="1" applyFont="1">
      <alignment horizontal="right" vertical="bottom"/>
    </xf>
    <xf borderId="1" fillId="6" fontId="23" numFmtId="164" xfId="0" applyAlignment="1" applyBorder="1" applyFont="1" applyNumberFormat="1">
      <alignment horizontal="center" vertical="bottom"/>
    </xf>
    <xf borderId="1" fillId="6" fontId="23" numFmtId="0" xfId="0" applyAlignment="1" applyBorder="1" applyFont="1">
      <alignment vertical="bottom"/>
    </xf>
    <xf borderId="1" fillId="6" fontId="23" numFmtId="0" xfId="0" applyAlignment="1" applyBorder="1" applyFont="1">
      <alignment horizontal="right" vertical="bottom"/>
    </xf>
    <xf borderId="1" fillId="6" fontId="23" numFmtId="49" xfId="0" applyAlignment="1" applyBorder="1" applyFont="1" applyNumberFormat="1">
      <alignment shrinkToFit="0" vertical="bottom" wrapText="1"/>
    </xf>
    <xf borderId="1" fillId="0" fontId="23" numFmtId="0" xfId="0" applyAlignment="1" applyBorder="1" applyFont="1">
      <alignment horizontal="center" vertical="bottom"/>
    </xf>
    <xf borderId="1" fillId="0" fontId="23" numFmtId="164" xfId="0" applyAlignment="1" applyBorder="1" applyFont="1" applyNumberFormat="1">
      <alignment vertical="bottom"/>
    </xf>
    <xf borderId="1" fillId="6" fontId="23" numFmtId="0" xfId="0" applyAlignment="1" applyBorder="1" applyFont="1">
      <alignment vertical="bottom"/>
    </xf>
    <xf borderId="1" fillId="0" fontId="8" numFmtId="0" xfId="0" applyAlignment="1" applyBorder="1" applyFont="1">
      <alignment horizontal="left" readingOrder="0" shrinkToFit="0" vertical="top" wrapText="1"/>
    </xf>
    <xf borderId="1" fillId="3" fontId="23" numFmtId="0" xfId="0" applyBorder="1" applyFont="1"/>
    <xf borderId="1" fillId="0" fontId="4" numFmtId="167" xfId="0" applyAlignment="1" applyBorder="1" applyFont="1" applyNumberFormat="1">
      <alignment readingOrder="0" vertical="center"/>
    </xf>
    <xf borderId="1" fillId="0" fontId="23" numFmtId="164" xfId="0" applyAlignment="1" applyBorder="1" applyFont="1" applyNumberFormat="1">
      <alignment horizontal="right" vertical="bottom"/>
    </xf>
    <xf borderId="1" fillId="6" fontId="6" numFmtId="49" xfId="0" applyAlignment="1" applyBorder="1" applyFont="1" applyNumberFormat="1">
      <alignment readingOrder="0"/>
    </xf>
    <xf borderId="1" fillId="6" fontId="16" numFmtId="49" xfId="0" applyAlignment="1" applyBorder="1" applyFont="1" applyNumberFormat="1">
      <alignment readingOrder="0"/>
    </xf>
    <xf borderId="1" fillId="6" fontId="16" numFmtId="0" xfId="0" applyAlignment="1" applyBorder="1" applyFont="1">
      <alignment horizontal="left" readingOrder="0" shrinkToFit="0" vertical="center" wrapText="0"/>
    </xf>
    <xf borderId="1" fillId="6" fontId="16"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0" fillId="0" fontId="4" numFmtId="0" xfId="0" applyAlignment="1" applyFont="1">
      <alignment vertical="center"/>
    </xf>
    <xf borderId="1" fillId="6" fontId="16" numFmtId="0" xfId="0" applyAlignment="1" applyBorder="1" applyFont="1">
      <alignment readingOrder="0" shrinkToFit="0" wrapText="0"/>
    </xf>
    <xf borderId="1" fillId="0" fontId="10" numFmtId="0" xfId="0" applyAlignment="1" applyBorder="1" applyFont="1">
      <alignment readingOrder="0" shrinkToFit="0" wrapText="0"/>
    </xf>
    <xf borderId="1" fillId="0" fontId="16" numFmtId="0" xfId="0" applyAlignment="1" applyBorder="1" applyFont="1">
      <alignment readingOrder="0" shrinkToFit="0" wrapText="0"/>
    </xf>
    <xf borderId="9" fillId="0" fontId="4" numFmtId="0" xfId="0" applyAlignment="1" applyBorder="1" applyFont="1">
      <alignment horizontal="right" readingOrder="0" vertical="center"/>
    </xf>
    <xf borderId="9" fillId="6" fontId="4" numFmtId="164" xfId="0" applyAlignment="1" applyBorder="1" applyFont="1" applyNumberFormat="1">
      <alignment horizontal="center" readingOrder="0" vertical="center"/>
    </xf>
    <xf borderId="9" fillId="6" fontId="4" numFmtId="0" xfId="0" applyAlignment="1" applyBorder="1" applyFont="1">
      <alignment readingOrder="0" vertical="center"/>
    </xf>
    <xf borderId="9" fillId="6" fontId="4" numFmtId="0" xfId="0" applyAlignment="1" applyBorder="1" applyFont="1">
      <alignment vertical="center"/>
    </xf>
    <xf borderId="9" fillId="6" fontId="4" numFmtId="49" xfId="0" applyAlignment="1" applyBorder="1" applyFont="1" applyNumberFormat="1">
      <alignment readingOrder="0" shrinkToFit="0" vertical="center" wrapText="1"/>
    </xf>
    <xf borderId="9" fillId="6" fontId="4" numFmtId="49" xfId="0" applyAlignment="1" applyBorder="1" applyFont="1" applyNumberFormat="1">
      <alignment readingOrder="0" shrinkToFit="0" vertical="top" wrapText="1"/>
    </xf>
    <xf borderId="9" fillId="0" fontId="4" numFmtId="0" xfId="0" applyAlignment="1" applyBorder="1" applyFont="1">
      <alignment vertical="center"/>
    </xf>
    <xf borderId="9" fillId="0" fontId="4" numFmtId="0" xfId="0" applyAlignment="1" applyBorder="1" applyFont="1">
      <alignment horizontal="center" vertical="center"/>
    </xf>
    <xf borderId="9" fillId="0" fontId="4" numFmtId="164" xfId="0" applyAlignment="1" applyBorder="1" applyFont="1" applyNumberFormat="1">
      <alignment vertical="center"/>
    </xf>
    <xf borderId="9" fillId="0" fontId="4" numFmtId="0" xfId="0" applyAlignment="1" applyBorder="1" applyFont="1">
      <alignment horizontal="center" readingOrder="0" vertical="center"/>
    </xf>
    <xf borderId="9" fillId="0" fontId="4" numFmtId="164" xfId="0" applyAlignment="1" applyBorder="1" applyFont="1" applyNumberFormat="1">
      <alignment readingOrder="0" vertical="center"/>
    </xf>
    <xf borderId="9" fillId="6" fontId="19" numFmtId="0" xfId="0" applyAlignment="1" applyBorder="1" applyFont="1">
      <alignment horizontal="center" vertical="center"/>
    </xf>
    <xf borderId="9" fillId="0" fontId="4" numFmtId="0" xfId="0" applyAlignment="1" applyBorder="1" applyFont="1">
      <alignment shrinkToFit="0" vertical="center" wrapText="1"/>
    </xf>
    <xf borderId="10" fillId="0" fontId="4" numFmtId="0" xfId="0" applyAlignment="1" applyBorder="1" applyFont="1">
      <alignment horizontal="right" readingOrder="0" vertical="center"/>
    </xf>
    <xf borderId="10" fillId="6" fontId="4" numFmtId="164" xfId="0" applyAlignment="1" applyBorder="1" applyFont="1" applyNumberFormat="1">
      <alignment horizontal="center" readingOrder="0" vertical="center"/>
    </xf>
    <xf borderId="10" fillId="6" fontId="4" numFmtId="0" xfId="0" applyAlignment="1" applyBorder="1" applyFont="1">
      <alignment readingOrder="0" vertical="center"/>
    </xf>
    <xf borderId="10" fillId="6" fontId="4" numFmtId="0" xfId="0" applyAlignment="1" applyBorder="1" applyFont="1">
      <alignment vertical="center"/>
    </xf>
    <xf borderId="10" fillId="6" fontId="4" numFmtId="49" xfId="0" applyAlignment="1" applyBorder="1" applyFont="1" applyNumberFormat="1">
      <alignment readingOrder="0" shrinkToFit="0" vertical="center" wrapText="1"/>
    </xf>
    <xf borderId="11" fillId="6" fontId="4" numFmtId="49" xfId="0" applyAlignment="1" applyBorder="1" applyFont="1" applyNumberFormat="1">
      <alignment readingOrder="0" shrinkToFit="0" vertical="top" wrapText="1"/>
    </xf>
    <xf borderId="12" fillId="0" fontId="4" numFmtId="0" xfId="0" applyAlignment="1" applyBorder="1" applyFont="1">
      <alignment readingOrder="0" vertical="center"/>
    </xf>
    <xf borderId="12" fillId="0" fontId="4" numFmtId="0" xfId="0" applyAlignment="1" applyBorder="1" applyFont="1">
      <alignment vertical="center"/>
    </xf>
    <xf borderId="12" fillId="0" fontId="4" numFmtId="0" xfId="0" applyAlignment="1" applyBorder="1" applyFont="1">
      <alignment horizontal="center" readingOrder="0" vertical="center"/>
    </xf>
    <xf borderId="12" fillId="0" fontId="4" numFmtId="164" xfId="0" applyAlignment="1" applyBorder="1" applyFont="1" applyNumberFormat="1">
      <alignment readingOrder="0" vertical="center"/>
    </xf>
    <xf borderId="12" fillId="0" fontId="4" numFmtId="0" xfId="0" applyAlignment="1" applyBorder="1" applyFont="1">
      <alignment horizontal="center" vertical="center"/>
    </xf>
    <xf borderId="12" fillId="0" fontId="4" numFmtId="164" xfId="0" applyAlignment="1" applyBorder="1" applyFont="1" applyNumberFormat="1">
      <alignment vertical="center"/>
    </xf>
    <xf borderId="12" fillId="6" fontId="19" numFmtId="0" xfId="0" applyAlignment="1" applyBorder="1" applyFont="1">
      <alignment horizontal="center" vertical="center"/>
    </xf>
    <xf borderId="12" fillId="0" fontId="4" numFmtId="0" xfId="0" applyAlignment="1" applyBorder="1" applyFont="1">
      <alignment shrinkToFit="0" vertical="center" wrapText="1"/>
    </xf>
    <xf borderId="9" fillId="0" fontId="4" numFmtId="0" xfId="0" applyAlignment="1" applyBorder="1" applyFont="1">
      <alignment readingOrder="0" vertical="center"/>
    </xf>
    <xf borderId="9" fillId="0" fontId="12" numFmtId="0" xfId="0" applyAlignment="1" applyBorder="1" applyFont="1">
      <alignment readingOrder="0" shrinkToFit="0" vertical="center" wrapText="1"/>
    </xf>
    <xf borderId="9" fillId="0" fontId="19" numFmtId="0" xfId="0" applyAlignment="1" applyBorder="1" applyFont="1">
      <alignment horizontal="center" vertical="center"/>
    </xf>
    <xf borderId="9" fillId="0" fontId="12" numFmtId="0" xfId="0" applyAlignment="1" applyBorder="1" applyFont="1">
      <alignment horizontal="left" readingOrder="0" shrinkToFit="0" vertical="top" wrapText="1"/>
    </xf>
    <xf borderId="1" fillId="6" fontId="4" numFmtId="0" xfId="0" applyAlignment="1" applyBorder="1" applyFont="1">
      <alignment horizontal="center" vertical="center"/>
    </xf>
    <xf borderId="1" fillId="0" fontId="6" numFmtId="0" xfId="0" applyAlignment="1" applyBorder="1" applyFont="1">
      <alignment horizontal="left" readingOrder="0" shrinkToFit="0" vertical="top" wrapText="1"/>
    </xf>
    <xf borderId="1" fillId="6" fontId="0" numFmtId="0" xfId="0" applyAlignment="1" applyBorder="1" applyFont="1">
      <alignment readingOrder="0" shrinkToFit="0" vertical="center" wrapText="0"/>
    </xf>
    <xf borderId="13" fillId="0" fontId="4" numFmtId="0" xfId="0" applyAlignment="1" applyBorder="1" applyFont="1">
      <alignment horizontal="right" readingOrder="0" vertical="center"/>
    </xf>
    <xf borderId="13" fillId="6" fontId="4" numFmtId="164" xfId="0" applyAlignment="1" applyBorder="1" applyFont="1" applyNumberFormat="1">
      <alignment horizontal="center" readingOrder="0" vertical="center"/>
    </xf>
    <xf borderId="13" fillId="6" fontId="4" numFmtId="0" xfId="0" applyAlignment="1" applyBorder="1" applyFont="1">
      <alignment readingOrder="0" vertical="center"/>
    </xf>
    <xf borderId="13" fillId="6" fontId="4" numFmtId="49" xfId="0" applyAlignment="1" applyBorder="1" applyFont="1" applyNumberFormat="1">
      <alignment readingOrder="0" shrinkToFit="0" vertical="center" wrapText="1"/>
    </xf>
    <xf borderId="13" fillId="6" fontId="4" numFmtId="49" xfId="0" applyAlignment="1" applyBorder="1" applyFont="1" applyNumberFormat="1">
      <alignment readingOrder="0" shrinkToFit="0" vertical="top" wrapText="1"/>
    </xf>
    <xf borderId="13" fillId="0" fontId="4" numFmtId="0" xfId="0" applyAlignment="1" applyBorder="1" applyFont="1">
      <alignment readingOrder="0" vertical="center"/>
    </xf>
    <xf borderId="13" fillId="0" fontId="4" numFmtId="0" xfId="0" applyAlignment="1" applyBorder="1" applyFont="1">
      <alignment vertical="center"/>
    </xf>
    <xf borderId="13" fillId="0" fontId="4" numFmtId="0" xfId="0" applyAlignment="1" applyBorder="1" applyFont="1">
      <alignment horizontal="center" readingOrder="0" vertical="center"/>
    </xf>
    <xf borderId="13" fillId="0" fontId="4" numFmtId="164" xfId="0" applyAlignment="1" applyBorder="1" applyFont="1" applyNumberFormat="1">
      <alignment vertical="center"/>
    </xf>
    <xf borderId="13" fillId="0" fontId="4" numFmtId="0" xfId="0" applyAlignment="1" applyBorder="1" applyFont="1">
      <alignment horizontal="center" vertical="center"/>
    </xf>
    <xf borderId="13" fillId="6" fontId="19" numFmtId="0" xfId="0" applyAlignment="1" applyBorder="1" applyFont="1">
      <alignment horizontal="center" vertical="center"/>
    </xf>
    <xf borderId="13" fillId="0" fontId="12" numFmtId="0" xfId="0" applyAlignment="1" applyBorder="1" applyFont="1">
      <alignment horizontal="left" readingOrder="0" shrinkToFit="0" vertical="top" wrapText="1"/>
    </xf>
    <xf borderId="13" fillId="0" fontId="4" numFmtId="0" xfId="0" applyAlignment="1" applyBorder="1" applyFont="1">
      <alignment shrinkToFit="0" vertical="center" wrapText="1"/>
    </xf>
    <xf borderId="1" fillId="0" fontId="4" numFmtId="0" xfId="0" applyAlignment="1" applyBorder="1" applyFont="1">
      <alignment horizontal="left" readingOrder="0" shrinkToFit="0" vertical="top" wrapText="1"/>
    </xf>
    <xf borderId="5" fillId="6" fontId="23" numFmtId="49" xfId="0" applyAlignment="1" applyBorder="1" applyFont="1" applyNumberFormat="1">
      <alignment shrinkToFit="0" vertical="top" wrapText="1"/>
    </xf>
    <xf borderId="2" fillId="6" fontId="23" numFmtId="0" xfId="0" applyBorder="1" applyFont="1"/>
    <xf borderId="4" fillId="0" fontId="4" numFmtId="0" xfId="0" applyAlignment="1" applyBorder="1" applyFont="1">
      <alignment horizontal="right" readingOrder="0" vertical="center"/>
    </xf>
    <xf borderId="4" fillId="6" fontId="4" numFmtId="164" xfId="0" applyAlignment="1" applyBorder="1" applyFont="1" applyNumberFormat="1">
      <alignment horizontal="center" readingOrder="0" vertical="center"/>
    </xf>
    <xf borderId="4" fillId="6" fontId="4" numFmtId="0" xfId="0" applyAlignment="1" applyBorder="1" applyFont="1">
      <alignment readingOrder="0" vertical="center"/>
    </xf>
    <xf borderId="4" fillId="6" fontId="4" numFmtId="0" xfId="0" applyAlignment="1" applyBorder="1" applyFont="1">
      <alignment vertical="center"/>
    </xf>
    <xf borderId="4" fillId="6" fontId="4" numFmtId="49" xfId="0" applyAlignment="1" applyBorder="1" applyFont="1" applyNumberFormat="1">
      <alignment readingOrder="0" shrinkToFit="0" vertical="center" wrapText="1"/>
    </xf>
    <xf borderId="5" fillId="6" fontId="4" numFmtId="49" xfId="0" applyAlignment="1" applyBorder="1" applyFont="1" applyNumberFormat="1">
      <alignment readingOrder="0" shrinkToFit="0" vertical="top" wrapText="1"/>
    </xf>
    <xf borderId="2" fillId="0" fontId="4" numFmtId="0" xfId="0" applyAlignment="1" applyBorder="1" applyFont="1">
      <alignment vertical="center"/>
    </xf>
    <xf borderId="2" fillId="0" fontId="4" numFmtId="0" xfId="0" applyAlignment="1" applyBorder="1" applyFont="1">
      <alignment horizontal="center" readingOrder="0" vertical="center"/>
    </xf>
    <xf borderId="2" fillId="0" fontId="4" numFmtId="164" xfId="0" applyAlignment="1" applyBorder="1" applyFont="1" applyNumberFormat="1">
      <alignment readingOrder="0" vertical="center"/>
    </xf>
    <xf borderId="2" fillId="0" fontId="4" numFmtId="0" xfId="0" applyAlignment="1" applyBorder="1" applyFont="1">
      <alignment horizontal="center" vertical="center"/>
    </xf>
    <xf borderId="2" fillId="0" fontId="4" numFmtId="164" xfId="0" applyAlignment="1" applyBorder="1" applyFont="1" applyNumberFormat="1">
      <alignment vertical="center"/>
    </xf>
    <xf borderId="2" fillId="6" fontId="19" numFmtId="0" xfId="0" applyAlignment="1" applyBorder="1" applyFont="1">
      <alignment horizontal="center" vertical="center"/>
    </xf>
    <xf borderId="2" fillId="0" fontId="4" numFmtId="0" xfId="0" applyAlignment="1" applyBorder="1" applyFont="1">
      <alignment shrinkToFit="0" vertical="center" wrapText="1"/>
    </xf>
    <xf borderId="4" fillId="0" fontId="4" numFmtId="164" xfId="0" applyAlignment="1" applyBorder="1" applyFont="1" applyNumberFormat="1">
      <alignment horizontal="center" readingOrder="0" vertical="center"/>
    </xf>
    <xf borderId="4" fillId="0" fontId="4" numFmtId="0" xfId="0" applyAlignment="1" applyBorder="1" applyFont="1">
      <alignment readingOrder="0" vertical="center"/>
    </xf>
    <xf borderId="4" fillId="0" fontId="4" numFmtId="0" xfId="0" applyAlignment="1" applyBorder="1" applyFont="1">
      <alignment vertical="center"/>
    </xf>
    <xf borderId="4" fillId="0" fontId="4" numFmtId="49" xfId="0" applyAlignment="1" applyBorder="1" applyFont="1" applyNumberFormat="1">
      <alignment readingOrder="0" shrinkToFit="0" vertical="center" wrapText="1"/>
    </xf>
    <xf borderId="5" fillId="0" fontId="4" numFmtId="49" xfId="0" applyAlignment="1" applyBorder="1" applyFont="1" applyNumberFormat="1">
      <alignment readingOrder="0" shrinkToFit="0" vertical="top" wrapText="1"/>
    </xf>
    <xf borderId="2" fillId="0" fontId="19" numFmtId="0" xfId="0" applyAlignment="1" applyBorder="1" applyFont="1">
      <alignment horizontal="center" vertical="center"/>
    </xf>
    <xf borderId="4" fillId="8" fontId="21" numFmtId="0" xfId="0" applyAlignment="1" applyBorder="1" applyFont="1">
      <alignment horizontal="right" shrinkToFit="0" wrapText="0"/>
    </xf>
    <xf borderId="4" fillId="6" fontId="21" numFmtId="164" xfId="0" applyAlignment="1" applyBorder="1" applyFont="1" applyNumberFormat="1">
      <alignment horizontal="center" shrinkToFit="0" wrapText="0"/>
    </xf>
    <xf borderId="4" fillId="6" fontId="21" numFmtId="0" xfId="0" applyAlignment="1" applyBorder="1" applyFont="1">
      <alignment shrinkToFit="0" wrapText="0"/>
    </xf>
    <xf borderId="4" fillId="6" fontId="21" numFmtId="49" xfId="0" applyAlignment="1" applyBorder="1" applyFont="1" applyNumberFormat="1">
      <alignment shrinkToFit="0" wrapText="1"/>
    </xf>
    <xf borderId="5" fillId="6" fontId="21" numFmtId="49" xfId="0" applyAlignment="1" applyBorder="1" applyFont="1" applyNumberFormat="1">
      <alignment readingOrder="0" shrinkToFit="0" vertical="top" wrapText="1"/>
    </xf>
    <xf borderId="2" fillId="8" fontId="21" numFmtId="0" xfId="0" applyAlignment="1" applyBorder="1" applyFont="1">
      <alignment shrinkToFit="0" wrapText="0"/>
    </xf>
    <xf borderId="2" fillId="8" fontId="21" numFmtId="0" xfId="0" applyAlignment="1" applyBorder="1" applyFont="1">
      <alignment shrinkToFit="0" wrapText="0"/>
    </xf>
    <xf borderId="2" fillId="8" fontId="23" numFmtId="0" xfId="0" applyBorder="1" applyFont="1"/>
    <xf borderId="2" fillId="8" fontId="23" numFmtId="0" xfId="0" applyBorder="1" applyFont="1"/>
    <xf borderId="2" fillId="8" fontId="23" numFmtId="164" xfId="0" applyBorder="1" applyFont="1" applyNumberFormat="1"/>
    <xf borderId="2" fillId="8" fontId="21" numFmtId="0" xfId="0" applyAlignment="1" applyBorder="1" applyFont="1">
      <alignment horizontal="center" shrinkToFit="0" wrapText="0"/>
    </xf>
    <xf borderId="2" fillId="8" fontId="21" numFmtId="164" xfId="0" applyAlignment="1" applyBorder="1" applyFont="1" applyNumberFormat="1">
      <alignment horizontal="right" shrinkToFit="0" wrapText="0"/>
    </xf>
    <xf borderId="2" fillId="0" fontId="4" numFmtId="0" xfId="0" applyAlignment="1" applyBorder="1" applyFont="1">
      <alignment readingOrder="0" shrinkToFit="0" vertical="center" wrapText="0"/>
    </xf>
    <xf borderId="2" fillId="0" fontId="12" numFmtId="0" xfId="0" applyAlignment="1" applyBorder="1" applyFont="1">
      <alignment horizontal="left" readingOrder="0" shrinkToFit="0" vertical="top" wrapText="1"/>
    </xf>
    <xf borderId="2" fillId="0" fontId="10" numFmtId="0" xfId="0" applyAlignment="1" applyBorder="1" applyFont="1">
      <alignment readingOrder="0" shrinkToFit="0" wrapText="0"/>
    </xf>
    <xf borderId="4" fillId="6" fontId="4" numFmtId="0" xfId="0" applyAlignment="1" applyBorder="1" applyFont="1">
      <alignment readingOrder="0" shrinkToFit="0" vertical="center" wrapText="0"/>
    </xf>
    <xf borderId="4" fillId="6" fontId="4" numFmtId="0" xfId="0" applyAlignment="1" applyBorder="1" applyFont="1">
      <alignment horizontal="right" readingOrder="0" shrinkToFit="0" vertical="center" wrapText="0"/>
    </xf>
    <xf borderId="4" fillId="6" fontId="36" numFmtId="49" xfId="0" applyAlignment="1" applyBorder="1" applyFont="1" applyNumberFormat="1">
      <alignment readingOrder="0"/>
    </xf>
    <xf borderId="5" fillId="6" fontId="4" numFmtId="49" xfId="0" applyAlignment="1" applyBorder="1" applyFont="1" applyNumberFormat="1">
      <alignment readingOrder="0" shrinkToFit="0" vertical="center" wrapText="1"/>
    </xf>
    <xf borderId="2" fillId="0" fontId="6" numFmtId="0" xfId="0" applyAlignment="1" applyBorder="1" applyFont="1">
      <alignment readingOrder="0" shrinkToFit="0" wrapText="0"/>
    </xf>
    <xf borderId="2" fillId="6" fontId="4" numFmtId="0" xfId="0" applyAlignment="1" applyBorder="1" applyFont="1">
      <alignment horizontal="center" vertical="center"/>
    </xf>
    <xf borderId="2" fillId="0" fontId="10" numFmtId="164" xfId="0" applyAlignment="1" applyBorder="1" applyFont="1" applyNumberFormat="1">
      <alignment readingOrder="0" shrinkToFit="0" wrapText="0"/>
    </xf>
    <xf borderId="4" fillId="6" fontId="0" numFmtId="0" xfId="0" applyAlignment="1" applyBorder="1" applyFont="1">
      <alignment readingOrder="0" shrinkToFit="0" vertical="center" wrapText="0"/>
    </xf>
    <xf borderId="0" fillId="0" fontId="4" numFmtId="0" xfId="0" applyAlignment="1" applyFont="1">
      <alignment readingOrder="0" vertical="center"/>
    </xf>
    <xf borderId="4" fillId="8" fontId="21" numFmtId="164" xfId="0" applyAlignment="1" applyBorder="1" applyFont="1" applyNumberFormat="1">
      <alignment horizontal="center" shrinkToFit="0" wrapText="0"/>
    </xf>
    <xf borderId="4" fillId="8" fontId="21" numFmtId="0" xfId="0" applyAlignment="1" applyBorder="1" applyFont="1">
      <alignment shrinkToFit="0" wrapText="0"/>
    </xf>
    <xf borderId="4" fillId="8" fontId="23" numFmtId="0" xfId="0" applyBorder="1" applyFont="1"/>
    <xf borderId="4" fillId="8" fontId="21" numFmtId="49" xfId="0" applyAlignment="1" applyBorder="1" applyFont="1" applyNumberFormat="1">
      <alignment shrinkToFit="0" wrapText="1"/>
    </xf>
    <xf borderId="4" fillId="5" fontId="4" numFmtId="0" xfId="0" applyAlignment="1" applyBorder="1" applyFont="1">
      <alignment horizontal="center" readingOrder="0" vertical="center"/>
    </xf>
    <xf borderId="4" fillId="5" fontId="4" numFmtId="0" xfId="0" applyAlignment="1" applyBorder="1" applyFont="1">
      <alignment readingOrder="0" vertical="center"/>
    </xf>
    <xf borderId="4" fillId="5" fontId="4" numFmtId="49" xfId="0" applyAlignment="1" applyBorder="1" applyFont="1" applyNumberFormat="1">
      <alignment readingOrder="0" shrinkToFit="0" vertical="center" wrapText="1"/>
    </xf>
    <xf borderId="5" fillId="5" fontId="4" numFmtId="49" xfId="0" applyAlignment="1" applyBorder="1" applyFont="1" applyNumberFormat="1">
      <alignment readingOrder="0" shrinkToFit="0" vertical="top" wrapText="1"/>
    </xf>
    <xf borderId="2" fillId="5" fontId="19" numFmtId="0" xfId="0" applyAlignment="1" applyBorder="1" applyFont="1">
      <alignment horizontal="center" readingOrder="0" vertical="center"/>
    </xf>
    <xf borderId="2" fillId="0" fontId="23" numFmtId="0" xfId="0" applyAlignment="1" applyBorder="1" applyFont="1">
      <alignment vertical="bottom"/>
    </xf>
    <xf borderId="2" fillId="6" fontId="19" numFmtId="0" xfId="0" applyAlignment="1" applyBorder="1" applyFont="1">
      <alignment horizontal="center" readingOrder="0" vertical="center"/>
    </xf>
    <xf borderId="2" fillId="0" fontId="8" numFmtId="0" xfId="0" applyAlignment="1" applyBorder="1" applyFont="1">
      <alignment horizontal="left" readingOrder="0" shrinkToFit="0" vertical="top" wrapText="1"/>
    </xf>
    <xf borderId="2" fillId="0" fontId="4" numFmtId="0" xfId="0" applyAlignment="1" applyBorder="1" applyFont="1">
      <alignment readingOrder="0" shrinkToFit="0" vertical="center" wrapText="1"/>
    </xf>
    <xf borderId="4" fillId="5" fontId="4" numFmtId="164" xfId="0" applyAlignment="1" applyBorder="1" applyFont="1" applyNumberFormat="1">
      <alignment horizontal="center" readingOrder="0" vertical="center"/>
    </xf>
    <xf borderId="4" fillId="5" fontId="12" numFmtId="0" xfId="0" applyAlignment="1" applyBorder="1" applyFont="1">
      <alignment readingOrder="0" vertical="center"/>
    </xf>
    <xf borderId="2" fillId="0" fontId="6" numFmtId="0" xfId="0" applyAlignment="1" applyBorder="1" applyFont="1">
      <alignment horizontal="left" readingOrder="0" shrinkToFit="0" vertical="top" wrapText="1"/>
    </xf>
    <xf borderId="4" fillId="5" fontId="23" numFmtId="164" xfId="0" applyAlignment="1" applyBorder="1" applyFont="1" applyNumberFormat="1">
      <alignment horizontal="center"/>
    </xf>
    <xf borderId="4" fillId="5" fontId="23" numFmtId="0" xfId="0" applyBorder="1" applyFont="1"/>
    <xf borderId="4" fillId="3" fontId="23" numFmtId="0" xfId="0" applyBorder="1" applyFont="1"/>
    <xf borderId="4" fillId="5" fontId="23" numFmtId="0" xfId="0" applyAlignment="1" applyBorder="1" applyFont="1">
      <alignment horizontal="right"/>
    </xf>
    <xf borderId="4" fillId="5" fontId="23" numFmtId="49" xfId="0" applyAlignment="1" applyBorder="1" applyFont="1" applyNumberFormat="1">
      <alignment shrinkToFit="0" wrapText="1"/>
    </xf>
    <xf borderId="5" fillId="5" fontId="23" numFmtId="49" xfId="0" applyAlignment="1" applyBorder="1" applyFont="1" applyNumberFormat="1">
      <alignment readingOrder="0" shrinkToFit="0" vertical="top" wrapText="1"/>
    </xf>
    <xf borderId="2" fillId="5" fontId="32" numFmtId="0" xfId="0" applyAlignment="1" applyBorder="1" applyFont="1">
      <alignment horizontal="center"/>
    </xf>
    <xf borderId="2" fillId="0" fontId="34" numFmtId="0" xfId="0" applyAlignment="1" applyBorder="1" applyFont="1">
      <alignment shrinkToFit="0" vertical="top" wrapText="1"/>
    </xf>
    <xf borderId="0" fillId="6" fontId="4" numFmtId="0" xfId="0" applyAlignment="1" applyFont="1">
      <alignment readingOrder="0" vertical="center"/>
    </xf>
    <xf borderId="2" fillId="0" fontId="37" numFmtId="0" xfId="0" applyAlignment="1" applyBorder="1" applyFont="1">
      <alignment horizontal="left" readingOrder="0" shrinkToFit="0" vertical="top" wrapText="1"/>
    </xf>
    <xf borderId="4" fillId="6" fontId="4" numFmtId="167" xfId="0" applyAlignment="1" applyBorder="1" applyFont="1" applyNumberFormat="1">
      <alignment horizontal="center" readingOrder="0" vertical="center"/>
    </xf>
    <xf borderId="4" fillId="6" fontId="38" numFmtId="0" xfId="0" applyAlignment="1" applyBorder="1" applyFont="1">
      <alignment horizontal="left" readingOrder="0" vertical="center"/>
    </xf>
    <xf borderId="2" fillId="0" fontId="4" numFmtId="166" xfId="0" applyAlignment="1" applyBorder="1" applyFont="1" applyNumberFormat="1">
      <alignment readingOrder="0" vertical="center"/>
    </xf>
    <xf borderId="4" fillId="0" fontId="23" numFmtId="0" xfId="0" applyAlignment="1" applyBorder="1" applyFont="1">
      <alignment horizontal="right" vertical="bottom"/>
    </xf>
    <xf borderId="4" fillId="6" fontId="23" numFmtId="164" xfId="0" applyAlignment="1" applyBorder="1" applyFont="1" applyNumberFormat="1">
      <alignment horizontal="center" vertical="bottom"/>
    </xf>
    <xf borderId="4" fillId="6" fontId="23" numFmtId="0" xfId="0" applyAlignment="1" applyBorder="1" applyFont="1">
      <alignment vertical="bottom"/>
    </xf>
    <xf borderId="4" fillId="6" fontId="23" numFmtId="49" xfId="0" applyAlignment="1" applyBorder="1" applyFont="1" applyNumberFormat="1">
      <alignment vertical="bottom"/>
    </xf>
    <xf borderId="2" fillId="0" fontId="23" numFmtId="0" xfId="0" applyAlignment="1" applyBorder="1" applyFont="1">
      <alignment vertical="bottom"/>
    </xf>
    <xf borderId="2" fillId="0" fontId="32" numFmtId="0" xfId="0" applyAlignment="1" applyBorder="1" applyFont="1">
      <alignment vertical="bottom"/>
    </xf>
    <xf borderId="2" fillId="0" fontId="23" numFmtId="0" xfId="0" applyAlignment="1" applyBorder="1" applyFont="1">
      <alignment horizontal="center"/>
    </xf>
    <xf borderId="2" fillId="0" fontId="23" numFmtId="0" xfId="0" applyAlignment="1" applyBorder="1" applyFont="1">
      <alignment vertical="top"/>
    </xf>
    <xf borderId="5" fillId="6" fontId="23" numFmtId="49" xfId="0" applyAlignment="1" applyBorder="1" applyFont="1" applyNumberFormat="1">
      <alignment readingOrder="0" vertical="top"/>
    </xf>
    <xf borderId="2" fillId="0" fontId="32" numFmtId="0" xfId="0" applyAlignment="1" applyBorder="1" applyFont="1">
      <alignment shrinkToFit="0" vertical="top" wrapText="1"/>
    </xf>
    <xf borderId="4" fillId="6" fontId="23" numFmtId="0" xfId="0" applyAlignment="1" applyBorder="1" applyFont="1">
      <alignment shrinkToFit="0" vertical="top" wrapText="1"/>
    </xf>
    <xf borderId="4" fillId="6" fontId="32" numFmtId="0" xfId="0" applyAlignment="1" applyBorder="1" applyFont="1">
      <alignment vertical="bottom"/>
    </xf>
    <xf borderId="2" fillId="0" fontId="23" numFmtId="164" xfId="0" applyAlignment="1" applyBorder="1" applyFont="1" applyNumberFormat="1">
      <alignment vertical="bottom"/>
    </xf>
    <xf borderId="2" fillId="6" fontId="23" numFmtId="0" xfId="0" applyAlignment="1" applyBorder="1" applyFont="1">
      <alignment vertical="bottom"/>
    </xf>
    <xf borderId="0" fillId="0" fontId="32" numFmtId="0" xfId="0" applyAlignment="1" applyFont="1">
      <alignment vertical="bottom"/>
    </xf>
    <xf borderId="4" fillId="6" fontId="23" numFmtId="0" xfId="0" applyAlignment="1" applyBorder="1" applyFont="1">
      <alignment readingOrder="0" vertical="bottom"/>
    </xf>
    <xf borderId="2" fillId="0" fontId="23" numFmtId="164" xfId="0" applyAlignment="1" applyBorder="1" applyFont="1" applyNumberFormat="1">
      <alignment readingOrder="0" vertical="bottom"/>
    </xf>
    <xf borderId="4" fillId="6" fontId="4" numFmtId="164" xfId="0" applyAlignment="1" applyBorder="1" applyFont="1" applyNumberFormat="1">
      <alignment horizontal="center" readingOrder="0" shrinkToFit="0" vertical="center" wrapText="0"/>
    </xf>
    <xf borderId="2" fillId="0" fontId="4" numFmtId="0" xfId="0" applyAlignment="1" applyBorder="1" applyFont="1">
      <alignment shrinkToFit="0" vertical="center" wrapText="0"/>
    </xf>
    <xf borderId="2" fillId="0" fontId="4" numFmtId="0" xfId="0" applyAlignment="1" applyBorder="1" applyFont="1">
      <alignment horizontal="center" shrinkToFit="0" vertical="center" wrapText="0"/>
    </xf>
    <xf borderId="2" fillId="0" fontId="4" numFmtId="164" xfId="0" applyAlignment="1" applyBorder="1" applyFont="1" applyNumberFormat="1">
      <alignment shrinkToFit="0" vertical="center" wrapText="0"/>
    </xf>
    <xf borderId="2" fillId="0" fontId="4" numFmtId="0" xfId="0" applyAlignment="1" applyBorder="1" applyFont="1">
      <alignment horizontal="center" readingOrder="0" shrinkToFit="0" vertical="center" wrapText="0"/>
    </xf>
    <xf borderId="2" fillId="0" fontId="4" numFmtId="164" xfId="0" applyAlignment="1" applyBorder="1" applyFont="1" applyNumberFormat="1">
      <alignment readingOrder="0" shrinkToFit="0" vertical="center" wrapText="0"/>
    </xf>
    <xf borderId="2" fillId="6" fontId="0" numFmtId="0" xfId="0" applyAlignment="1" applyBorder="1" applyFont="1">
      <alignment horizontal="center" readingOrder="0" shrinkToFit="0" vertical="center" wrapText="0"/>
    </xf>
    <xf borderId="2" fillId="0" fontId="0" numFmtId="164" xfId="0" applyAlignment="1" applyBorder="1" applyFont="1" applyNumberFormat="1">
      <alignment shrinkToFit="0" vertical="center" wrapText="0"/>
    </xf>
    <xf borderId="2" fillId="0" fontId="0" numFmtId="0" xfId="0" applyAlignment="1" applyBorder="1" applyFont="1">
      <alignment horizontal="center" shrinkToFit="0" vertical="center" wrapText="0"/>
    </xf>
    <xf borderId="2" fillId="0" fontId="4" numFmtId="0" xfId="0" applyAlignment="1" applyBorder="1" applyFont="1">
      <alignment horizontal="left" shrinkToFit="0" vertical="center" wrapText="1"/>
    </xf>
    <xf borderId="4" fillId="0" fontId="4" numFmtId="0" xfId="0" applyAlignment="1" applyBorder="1" applyFont="1">
      <alignment horizontal="right" readingOrder="0" shrinkToFit="0" vertical="center" wrapText="0"/>
    </xf>
    <xf borderId="2" fillId="6" fontId="4" numFmtId="0" xfId="0" applyAlignment="1" applyBorder="1" applyFont="1">
      <alignment horizontal="center" shrinkToFit="0" vertical="center" wrapText="0"/>
    </xf>
    <xf borderId="2" fillId="0" fontId="3" numFmtId="0" xfId="0" applyAlignment="1" applyBorder="1" applyFont="1">
      <alignment horizontal="left" readingOrder="0" shrinkToFit="0" vertical="center" wrapText="1"/>
    </xf>
    <xf borderId="2" fillId="6" fontId="4" numFmtId="0" xfId="0" applyAlignment="1" applyBorder="1" applyFont="1">
      <alignment horizontal="center" readingOrder="0" shrinkToFit="0" vertical="center" wrapText="0"/>
    </xf>
    <xf borderId="4" fillId="9" fontId="4" numFmtId="164" xfId="0" applyAlignment="1" applyBorder="1" applyFont="1" applyNumberFormat="1">
      <alignment horizontal="center" readingOrder="0" shrinkToFit="0" vertical="center" wrapText="0"/>
    </xf>
    <xf borderId="2" fillId="0" fontId="39" numFmtId="0" xfId="0" applyAlignment="1" applyBorder="1" applyFont="1">
      <alignment readingOrder="0"/>
    </xf>
    <xf borderId="2" fillId="0" fontId="4" numFmtId="167" xfId="0" applyAlignment="1" applyBorder="1" applyFont="1" applyNumberFormat="1">
      <alignment readingOrder="0" shrinkToFit="0" vertical="center" wrapText="0"/>
    </xf>
    <xf borderId="2" fillId="6" fontId="20" numFmtId="0" xfId="0" applyAlignment="1" applyBorder="1" applyFont="1">
      <alignment horizontal="center" shrinkToFit="0" vertical="center" wrapText="0"/>
    </xf>
    <xf borderId="2" fillId="0" fontId="6" numFmtId="0" xfId="0" applyAlignment="1" applyBorder="1" applyFont="1">
      <alignment readingOrder="0"/>
    </xf>
    <xf borderId="0" fillId="0" fontId="6" numFmtId="0" xfId="0" applyAlignment="1" applyFont="1">
      <alignment readingOrder="0" shrinkToFit="0" wrapText="0"/>
    </xf>
    <xf borderId="2" fillId="0" fontId="4" numFmtId="0" xfId="0" applyAlignment="1" applyBorder="1" applyFont="1">
      <alignment horizontal="left" readingOrder="0" shrinkToFit="0" vertical="top" wrapText="1"/>
    </xf>
    <xf borderId="14" fillId="0" fontId="4" numFmtId="0" xfId="0" applyAlignment="1" applyBorder="1" applyFont="1">
      <alignment vertical="center"/>
    </xf>
    <xf borderId="4" fillId="6" fontId="4" numFmtId="0" xfId="0" applyAlignment="1" applyBorder="1" applyFont="1">
      <alignment horizontal="center" readingOrder="0" vertical="center"/>
    </xf>
    <xf borderId="5" fillId="6" fontId="23" numFmtId="49" xfId="0" applyAlignment="1" applyBorder="1" applyFont="1" applyNumberFormat="1">
      <alignment readingOrder="0" shrinkToFit="0" wrapText="1"/>
    </xf>
    <xf borderId="4" fillId="0" fontId="0" numFmtId="0" xfId="0" applyAlignment="1" applyBorder="1" applyFont="1">
      <alignment horizontal="right" readingOrder="0" shrinkToFit="0" vertical="center" wrapText="0"/>
    </xf>
    <xf borderId="4" fillId="6" fontId="0" numFmtId="164" xfId="0" applyAlignment="1" applyBorder="1" applyFont="1" applyNumberFormat="1">
      <alignment horizontal="center" readingOrder="0" shrinkToFit="0" vertical="center" wrapText="0"/>
    </xf>
    <xf borderId="4" fillId="6" fontId="0" numFmtId="0" xfId="0" applyAlignment="1" applyBorder="1" applyFont="1">
      <alignment readingOrder="0" vertical="center"/>
    </xf>
    <xf borderId="2" fillId="0" fontId="16" numFmtId="0" xfId="0" applyAlignment="1" applyBorder="1" applyFont="1">
      <alignment readingOrder="0" shrinkToFit="0" wrapText="0"/>
    </xf>
    <xf borderId="2" fillId="0" fontId="16" numFmtId="0" xfId="0" applyAlignment="1" applyBorder="1" applyFont="1">
      <alignment readingOrder="0"/>
    </xf>
    <xf borderId="2" fillId="0" fontId="16" numFmtId="0" xfId="0" applyAlignment="1" applyBorder="1" applyFont="1">
      <alignment shrinkToFit="0" wrapText="0"/>
    </xf>
    <xf borderId="2" fillId="0" fontId="16" numFmtId="164" xfId="0" applyAlignment="1" applyBorder="1" applyFont="1" applyNumberFormat="1">
      <alignment shrinkToFit="0" wrapText="0"/>
    </xf>
    <xf borderId="2" fillId="6" fontId="40" numFmtId="0" xfId="0" applyAlignment="1" applyBorder="1" applyFont="1">
      <alignment shrinkToFit="0" wrapText="0"/>
    </xf>
    <xf borderId="2" fillId="0" fontId="6" numFmtId="0" xfId="0" applyAlignment="1" applyBorder="1" applyFont="1">
      <alignment horizontal="left" shrinkToFit="0" vertical="top" wrapText="1"/>
    </xf>
    <xf borderId="2" fillId="0" fontId="16" numFmtId="0" xfId="0" applyBorder="1" applyFont="1"/>
    <xf borderId="2" fillId="6" fontId="16" numFmtId="0" xfId="0" applyAlignment="1" applyBorder="1" applyFont="1">
      <alignment shrinkToFit="0" wrapText="0"/>
    </xf>
    <xf borderId="2" fillId="0" fontId="6" numFmtId="0" xfId="0" applyAlignment="1" applyBorder="1" applyFont="1">
      <alignment shrinkToFit="0" wrapText="1"/>
    </xf>
    <xf borderId="4" fillId="6" fontId="0" numFmtId="0" xfId="0" applyAlignment="1" applyBorder="1" applyFont="1">
      <alignment horizontal="right" readingOrder="0" shrinkToFit="0" vertical="center" wrapText="0"/>
    </xf>
    <xf borderId="2" fillId="0" fontId="16" numFmtId="0" xfId="0" applyAlignment="1" applyBorder="1" applyFont="1">
      <alignment horizontal="center" readingOrder="0" shrinkToFit="0" wrapText="0"/>
    </xf>
    <xf borderId="2" fillId="0" fontId="16" numFmtId="164" xfId="0" applyAlignment="1" applyBorder="1" applyFont="1" applyNumberFormat="1">
      <alignment readingOrder="0" shrinkToFit="0" wrapText="0"/>
    </xf>
    <xf borderId="2" fillId="0" fontId="16" numFmtId="0" xfId="0" applyAlignment="1" applyBorder="1" applyFont="1">
      <alignment shrinkToFit="0" wrapText="0"/>
    </xf>
    <xf borderId="2" fillId="0" fontId="16" numFmtId="0" xfId="0" applyBorder="1" applyFont="1"/>
    <xf borderId="4" fillId="6" fontId="4" numFmtId="0" xfId="0" applyAlignment="1" applyBorder="1" applyFont="1">
      <alignment shrinkToFit="0" vertical="center" wrapText="0"/>
    </xf>
    <xf borderId="2" fillId="0" fontId="6" numFmtId="0" xfId="0" applyAlignment="1" applyBorder="1" applyFont="1">
      <alignment shrinkToFit="0" wrapText="0"/>
    </xf>
    <xf borderId="2" fillId="0" fontId="6" numFmtId="0" xfId="0" applyBorder="1" applyFont="1"/>
    <xf borderId="2" fillId="0" fontId="6" numFmtId="164" xfId="0" applyAlignment="1" applyBorder="1" applyFont="1" applyNumberFormat="1">
      <alignment shrinkToFit="0" wrapText="0"/>
    </xf>
    <xf borderId="2" fillId="6" fontId="6" numFmtId="0" xfId="0" applyAlignment="1" applyBorder="1" applyFont="1">
      <alignment shrinkToFit="0" wrapText="0"/>
    </xf>
    <xf borderId="2" fillId="0" fontId="6" numFmtId="0" xfId="0" applyAlignment="1" applyBorder="1" applyFont="1">
      <alignment shrinkToFit="0" wrapText="0"/>
    </xf>
    <xf borderId="2" fillId="0" fontId="32" numFmtId="0" xfId="0" applyAlignment="1" applyBorder="1" applyFont="1">
      <alignment vertical="bottom"/>
    </xf>
    <xf borderId="2" fillId="0" fontId="32" numFmtId="164" xfId="0" applyAlignment="1" applyBorder="1" applyFont="1" applyNumberFormat="1">
      <alignment vertical="bottom"/>
    </xf>
    <xf borderId="2" fillId="6" fontId="31" numFmtId="0" xfId="0" applyAlignment="1" applyBorder="1" applyFont="1">
      <alignment shrinkToFit="0" wrapText="0"/>
    </xf>
    <xf borderId="2" fillId="0" fontId="6" numFmtId="164" xfId="0" applyAlignment="1" applyBorder="1" applyFont="1" applyNumberFormat="1">
      <alignment readingOrder="0" shrinkToFit="0" wrapText="0"/>
    </xf>
    <xf borderId="2" fillId="0" fontId="4" numFmtId="0" xfId="0" applyAlignment="1" applyBorder="1" applyFont="1">
      <alignment horizontal="left" readingOrder="0" vertical="bottom"/>
    </xf>
    <xf borderId="2" fillId="0" fontId="32" numFmtId="164" xfId="0" applyAlignment="1" applyBorder="1" applyFont="1" applyNumberFormat="1">
      <alignment horizontal="right" vertical="bottom"/>
    </xf>
    <xf borderId="2" fillId="0" fontId="23" numFmtId="167" xfId="0" applyAlignment="1" applyBorder="1" applyFont="1" applyNumberFormat="1">
      <alignment horizontal="center"/>
    </xf>
    <xf borderId="2" fillId="5" fontId="32" numFmtId="0" xfId="0" applyAlignment="1" applyBorder="1" applyFont="1">
      <alignment vertical="bottom"/>
    </xf>
    <xf borderId="4" fillId="6" fontId="23" numFmtId="0" xfId="0" applyAlignment="1" applyBorder="1" applyFont="1">
      <alignment readingOrder="0"/>
    </xf>
    <xf borderId="4" fillId="6" fontId="41" numFmtId="0" xfId="0" applyAlignment="1" applyBorder="1" applyFont="1">
      <alignment horizontal="right"/>
    </xf>
    <xf borderId="4" fillId="5" fontId="4" numFmtId="164" xfId="0" applyAlignment="1" applyBorder="1" applyFont="1" applyNumberFormat="1">
      <alignment horizontal="center" readingOrder="0" shrinkToFit="0" vertical="center" wrapText="0"/>
    </xf>
    <xf borderId="4" fillId="5" fontId="4" numFmtId="0" xfId="0" applyAlignment="1" applyBorder="1" applyFont="1">
      <alignment readingOrder="0" shrinkToFit="0" vertical="center" wrapText="0"/>
    </xf>
    <xf borderId="4" fillId="5" fontId="4" numFmtId="0" xfId="0" applyAlignment="1" applyBorder="1" applyFont="1">
      <alignment horizontal="right" readingOrder="0" shrinkToFit="0" vertical="center" wrapText="0"/>
    </xf>
    <xf borderId="2" fillId="5" fontId="6" numFmtId="0" xfId="0" applyAlignment="1" applyBorder="1" applyFont="1">
      <alignment readingOrder="0" shrinkToFit="0" wrapText="0"/>
    </xf>
    <xf borderId="2" fillId="0" fontId="6" numFmtId="164" xfId="0" applyAlignment="1" applyBorder="1" applyFont="1" applyNumberFormat="1">
      <alignment horizontal="right" readingOrder="0" shrinkToFit="0" wrapText="0"/>
    </xf>
    <xf borderId="4" fillId="0" fontId="4" numFmtId="164" xfId="0" applyAlignment="1" applyBorder="1" applyFont="1" applyNumberFormat="1">
      <alignment horizontal="center" readingOrder="0" shrinkToFit="0" vertical="center" wrapText="0"/>
    </xf>
    <xf borderId="4" fillId="0" fontId="4" numFmtId="0" xfId="0" applyAlignment="1" applyBorder="1" applyFont="1">
      <alignment readingOrder="0" shrinkToFit="0" vertical="center" wrapText="0"/>
    </xf>
    <xf borderId="4" fillId="0" fontId="42" numFmtId="0" xfId="0" applyAlignment="1" applyBorder="1" applyFont="1">
      <alignment horizontal="right" readingOrder="0" vertical="bottom"/>
    </xf>
    <xf borderId="4" fillId="0" fontId="42" numFmtId="164" xfId="0" applyAlignment="1" applyBorder="1" applyFont="1" applyNumberFormat="1">
      <alignment horizontal="right" readingOrder="0" vertical="bottom"/>
    </xf>
    <xf borderId="4" fillId="0" fontId="42" numFmtId="0" xfId="0" applyAlignment="1" applyBorder="1" applyFont="1">
      <alignment horizontal="left" readingOrder="0"/>
    </xf>
    <xf borderId="4" fillId="0" fontId="43" numFmtId="0" xfId="0" applyAlignment="1" applyBorder="1" applyFont="1">
      <alignment horizontal="left"/>
    </xf>
    <xf borderId="4" fillId="0" fontId="42" numFmtId="0" xfId="0" applyAlignment="1" applyBorder="1" applyFont="1">
      <alignment horizontal="left" readingOrder="0" vertical="bottom"/>
    </xf>
    <xf borderId="4" fillId="0" fontId="42" numFmtId="49" xfId="0" applyAlignment="1" applyBorder="1" applyFont="1" applyNumberFormat="1">
      <alignment horizontal="left" readingOrder="0"/>
    </xf>
    <xf borderId="5" fillId="6" fontId="43" numFmtId="49" xfId="0" applyAlignment="1" applyBorder="1" applyFont="1" applyNumberFormat="1">
      <alignment horizontal="left" readingOrder="0"/>
    </xf>
    <xf borderId="2" fillId="0" fontId="42" numFmtId="0" xfId="0" applyAlignment="1" applyBorder="1" applyFont="1">
      <alignment horizontal="left" readingOrder="0" vertical="bottom"/>
    </xf>
    <xf borderId="2" fillId="0" fontId="42" numFmtId="0" xfId="0" applyAlignment="1" applyBorder="1" applyFont="1">
      <alignment horizontal="left" readingOrder="0"/>
    </xf>
    <xf borderId="2" fillId="5" fontId="8" numFmtId="0" xfId="0" applyAlignment="1" applyBorder="1" applyFont="1">
      <alignment readingOrder="0" shrinkToFit="0" wrapText="0"/>
    </xf>
    <xf borderId="15" fillId="0" fontId="6" numFmtId="0" xfId="0" applyAlignment="1" applyBorder="1" applyFont="1">
      <alignment readingOrder="0"/>
    </xf>
    <xf borderId="15" fillId="0" fontId="6" numFmtId="0" xfId="0" applyAlignment="1" applyBorder="1" applyFont="1">
      <alignment readingOrder="0" shrinkToFit="0" wrapText="0"/>
    </xf>
    <xf borderId="4" fillId="12" fontId="21" numFmtId="0" xfId="0" applyAlignment="1" applyBorder="1" applyFont="1">
      <alignment horizontal="right"/>
    </xf>
    <xf borderId="4" fillId="6" fontId="21" numFmtId="164" xfId="0" applyAlignment="1" applyBorder="1" applyFont="1" applyNumberFormat="1">
      <alignment horizontal="center"/>
    </xf>
    <xf borderId="4" fillId="6" fontId="21" numFmtId="0" xfId="0" applyBorder="1" applyFont="1"/>
    <xf borderId="4" fillId="6" fontId="21" numFmtId="0" xfId="0" applyAlignment="1" applyBorder="1" applyFont="1">
      <alignment horizontal="right"/>
    </xf>
    <xf borderId="2" fillId="12" fontId="23" numFmtId="0" xfId="0" applyBorder="1" applyFont="1"/>
    <xf borderId="2" fillId="12" fontId="23" numFmtId="49" xfId="0" applyBorder="1" applyFont="1" applyNumberFormat="1"/>
    <xf borderId="2" fillId="12" fontId="23" numFmtId="0" xfId="0" applyBorder="1" applyFont="1"/>
    <xf borderId="2" fillId="12" fontId="23" numFmtId="164" xfId="0" applyBorder="1" applyFont="1" applyNumberFormat="1"/>
    <xf borderId="2" fillId="12" fontId="44" numFmtId="0" xfId="0" applyBorder="1" applyFont="1"/>
    <xf borderId="2" fillId="12" fontId="44" numFmtId="164" xfId="0" applyAlignment="1" applyBorder="1" applyFont="1" applyNumberFormat="1">
      <alignment horizontal="right"/>
    </xf>
    <xf borderId="2" fillId="12" fontId="23" numFmtId="0" xfId="0" applyAlignment="1" applyBorder="1" applyFont="1">
      <alignment vertical="top"/>
    </xf>
    <xf borderId="4" fillId="8" fontId="21" numFmtId="0" xfId="0" applyAlignment="1" applyBorder="1" applyFont="1">
      <alignment horizontal="right"/>
    </xf>
    <xf borderId="2" fillId="8" fontId="23" numFmtId="49" xfId="0" applyBorder="1" applyFont="1" applyNumberFormat="1"/>
    <xf borderId="2" fillId="8" fontId="44" numFmtId="0" xfId="0" applyBorder="1" applyFont="1"/>
    <xf borderId="2" fillId="8" fontId="44" numFmtId="164" xfId="0" applyAlignment="1" applyBorder="1" applyFont="1" applyNumberFormat="1">
      <alignment horizontal="right"/>
    </xf>
    <xf borderId="2" fillId="8" fontId="23" numFmtId="0" xfId="0" applyAlignment="1" applyBorder="1" applyFont="1">
      <alignment vertical="top"/>
    </xf>
    <xf borderId="4" fillId="3" fontId="4" numFmtId="0" xfId="0" applyAlignment="1" applyBorder="1" applyFont="1">
      <alignment readingOrder="0" vertical="center"/>
    </xf>
    <xf borderId="2" fillId="0" fontId="6" numFmtId="0" xfId="0" applyAlignment="1" applyBorder="1" applyFont="1">
      <alignment readingOrder="0" shrinkToFit="0" wrapText="1"/>
    </xf>
    <xf borderId="5" fillId="6" fontId="4" numFmtId="49" xfId="0" applyAlignment="1" applyBorder="1" applyFont="1" applyNumberFormat="1">
      <alignment horizontal="left" readingOrder="0" shrinkToFit="0" vertical="top" wrapText="1"/>
    </xf>
    <xf borderId="2" fillId="0" fontId="6" numFmtId="0" xfId="0" applyAlignment="1" applyBorder="1" applyFont="1">
      <alignment readingOrder="0" shrinkToFit="0" vertical="top" wrapText="1"/>
    </xf>
    <xf quotePrefix="1" borderId="4" fillId="6" fontId="4" numFmtId="49" xfId="0" applyAlignment="1" applyBorder="1" applyFont="1" applyNumberFormat="1">
      <alignment readingOrder="0" shrinkToFit="0" vertical="center" wrapText="1"/>
    </xf>
    <xf borderId="1" fillId="0" fontId="4" numFmtId="0" xfId="0" applyAlignment="1" applyBorder="1" applyFont="1">
      <alignment horizontal="right" readingOrder="0" shrinkToFit="0" vertical="center" wrapText="0"/>
    </xf>
    <xf borderId="1" fillId="0" fontId="4" numFmtId="164" xfId="0" applyAlignment="1" applyBorder="1" applyFont="1" applyNumberFormat="1">
      <alignment horizontal="center" readingOrder="0" shrinkToFit="0" vertical="center" wrapText="0"/>
    </xf>
    <xf borderId="4" fillId="0" fontId="4" numFmtId="49" xfId="0" applyAlignment="1" applyBorder="1" applyFont="1" applyNumberFormat="1">
      <alignment shrinkToFit="0" vertical="center" wrapText="1"/>
    </xf>
    <xf borderId="4" fillId="0" fontId="45" numFmtId="0" xfId="0" applyAlignment="1" applyBorder="1" applyFont="1">
      <alignment horizontal="right" readingOrder="0" shrinkToFit="0" vertical="center" wrapText="0"/>
    </xf>
    <xf borderId="4" fillId="6" fontId="4" numFmtId="49" xfId="0" applyAlignment="1" applyBorder="1" applyFont="1" applyNumberFormat="1">
      <alignment shrinkToFit="0" vertical="center" wrapText="1"/>
    </xf>
    <xf borderId="0" fillId="6" fontId="4" numFmtId="49" xfId="0" applyAlignment="1" applyFont="1" applyNumberFormat="1">
      <alignment shrinkToFit="0" vertical="center" wrapText="1"/>
    </xf>
    <xf borderId="0" fillId="0" fontId="6" numFmtId="0" xfId="0" applyAlignment="1" applyFont="1">
      <alignment shrinkToFit="0" wrapText="0"/>
    </xf>
    <xf borderId="4" fillId="0" fontId="6" numFmtId="0" xfId="0" applyAlignment="1" applyBorder="1" applyFont="1">
      <alignment shrinkToFit="0" wrapText="0"/>
    </xf>
    <xf borderId="4" fillId="5" fontId="12" numFmtId="0" xfId="0" applyAlignment="1" applyBorder="1" applyFont="1">
      <alignment horizontal="right" readingOrder="0" shrinkToFit="0" vertical="center" wrapText="0"/>
    </xf>
    <xf borderId="2" fillId="0" fontId="10" numFmtId="0" xfId="0" applyAlignment="1" applyBorder="1" applyFont="1">
      <alignment shrinkToFit="0" wrapText="0"/>
    </xf>
    <xf borderId="2" fillId="5" fontId="6" numFmtId="0" xfId="0" applyAlignment="1" applyBorder="1" applyFont="1">
      <alignment readingOrder="0" shrinkToFit="0" vertical="center" wrapText="0"/>
    </xf>
    <xf borderId="4" fillId="5" fontId="12" numFmtId="0" xfId="0" applyAlignment="1" applyBorder="1" applyFont="1">
      <alignment readingOrder="0" shrinkToFit="0" vertical="center" wrapText="0"/>
    </xf>
    <xf borderId="5" fillId="5" fontId="12" numFmtId="49" xfId="0" applyAlignment="1" applyBorder="1" applyFont="1" applyNumberFormat="1">
      <alignment readingOrder="0" shrinkToFit="0" vertical="top" wrapText="1"/>
    </xf>
    <xf borderId="4" fillId="11" fontId="4" numFmtId="0" xfId="0" applyAlignment="1" applyBorder="1" applyFont="1">
      <alignment horizontal="right" readingOrder="0" shrinkToFit="0" vertical="center" wrapText="0"/>
    </xf>
    <xf borderId="2" fillId="0" fontId="32" numFmtId="0" xfId="0" applyAlignment="1" applyBorder="1" applyFont="1">
      <alignment horizontal="center"/>
    </xf>
    <xf borderId="2" fillId="0" fontId="32" numFmtId="164" xfId="0" applyAlignment="1" applyBorder="1" applyFont="1" applyNumberFormat="1">
      <alignment horizontal="right"/>
    </xf>
    <xf borderId="2" fillId="0" fontId="32" numFmtId="0" xfId="0" applyBorder="1" applyFont="1"/>
    <xf borderId="2" fillId="0" fontId="32" numFmtId="164" xfId="0" applyBorder="1" applyFont="1" applyNumberFormat="1"/>
    <xf borderId="14" fillId="6" fontId="23" numFmtId="0" xfId="0" applyAlignment="1" applyBorder="1" applyFont="1">
      <alignment vertical="bottom"/>
    </xf>
    <xf borderId="16" fillId="0" fontId="23" numFmtId="0" xfId="0" applyAlignment="1" applyBorder="1" applyFont="1">
      <alignment horizontal="right"/>
    </xf>
    <xf borderId="16" fillId="6" fontId="23" numFmtId="164" xfId="0" applyAlignment="1" applyBorder="1" applyFont="1" applyNumberFormat="1">
      <alignment horizontal="center"/>
    </xf>
    <xf borderId="16" fillId="6" fontId="23" numFmtId="0" xfId="0" applyBorder="1" applyFont="1"/>
    <xf borderId="16" fillId="6" fontId="23" numFmtId="49" xfId="0" applyAlignment="1" applyBorder="1" applyFont="1" applyNumberFormat="1">
      <alignment shrinkToFit="0" wrapText="1"/>
    </xf>
    <xf borderId="17" fillId="6" fontId="23" numFmtId="49" xfId="0" applyAlignment="1" applyBorder="1" applyFont="1" applyNumberFormat="1">
      <alignment readingOrder="0" shrinkToFit="0" vertical="top" wrapText="1"/>
    </xf>
    <xf borderId="18" fillId="0" fontId="32" numFmtId="0" xfId="0" applyAlignment="1" applyBorder="1" applyFont="1">
      <alignment vertical="bottom"/>
    </xf>
    <xf borderId="18" fillId="0" fontId="32" numFmtId="0" xfId="0" applyAlignment="1" applyBorder="1" applyFont="1">
      <alignment vertical="bottom"/>
    </xf>
    <xf borderId="18" fillId="0" fontId="23" numFmtId="0" xfId="0" applyAlignment="1" applyBorder="1" applyFont="1">
      <alignment vertical="bottom"/>
    </xf>
    <xf borderId="18" fillId="0" fontId="23" numFmtId="0" xfId="0" applyAlignment="1" applyBorder="1" applyFont="1">
      <alignment vertical="bottom"/>
    </xf>
    <xf borderId="18" fillId="0" fontId="23" numFmtId="164" xfId="0" applyAlignment="1" applyBorder="1" applyFont="1" applyNumberFormat="1">
      <alignment vertical="bottom"/>
    </xf>
    <xf borderId="18" fillId="0" fontId="32" numFmtId="0" xfId="0" applyAlignment="1" applyBorder="1" applyFont="1">
      <alignment horizontal="center"/>
    </xf>
    <xf borderId="18" fillId="0" fontId="32" numFmtId="0" xfId="0" applyBorder="1" applyFont="1"/>
    <xf borderId="18" fillId="0" fontId="32" numFmtId="164" xfId="0" applyBorder="1" applyFont="1" applyNumberFormat="1"/>
    <xf borderId="18" fillId="6" fontId="23" numFmtId="0" xfId="0" applyAlignment="1" applyBorder="1" applyFont="1">
      <alignment vertical="bottom"/>
    </xf>
    <xf borderId="18" fillId="0" fontId="23" numFmtId="0" xfId="0" applyAlignment="1" applyBorder="1" applyFont="1">
      <alignment vertical="top"/>
    </xf>
    <xf borderId="4" fillId="3" fontId="4" numFmtId="0" xfId="0" applyAlignment="1" applyBorder="1" applyFont="1">
      <alignment readingOrder="0" shrinkToFit="0" vertical="center" wrapText="0"/>
    </xf>
    <xf borderId="2" fillId="10" fontId="6" numFmtId="0" xfId="0" applyAlignment="1" applyBorder="1" applyFont="1">
      <alignment shrinkToFit="0" wrapText="0"/>
    </xf>
    <xf borderId="2" fillId="0" fontId="6" numFmtId="0" xfId="0" applyBorder="1" applyFont="1"/>
    <xf borderId="2" fillId="0" fontId="6" numFmtId="165" xfId="0" applyAlignment="1" applyBorder="1" applyFont="1" applyNumberFormat="1">
      <alignment readingOrder="0" shrinkToFit="0" wrapText="0"/>
    </xf>
    <xf borderId="4" fillId="5" fontId="45" numFmtId="0" xfId="0" applyAlignment="1" applyBorder="1" applyFont="1">
      <alignment readingOrder="0" vertical="center"/>
    </xf>
    <xf borderId="19" fillId="6" fontId="4" numFmtId="0" xfId="0" applyAlignment="1" applyBorder="1" applyFont="1">
      <alignment horizontal="right" readingOrder="0" shrinkToFit="0" vertical="center" wrapText="0"/>
    </xf>
    <xf borderId="2" fillId="0" fontId="6" numFmtId="0" xfId="0" applyAlignment="1" applyBorder="1" applyFont="1">
      <alignment horizontal="center" readingOrder="0" shrinkToFit="0" vertical="center" wrapText="0"/>
    </xf>
    <xf borderId="2" fillId="0" fontId="8" numFmtId="0" xfId="0" applyAlignment="1" applyBorder="1" applyFont="1">
      <alignment readingOrder="0" shrinkToFit="0" vertical="top" wrapText="1"/>
    </xf>
    <xf borderId="4" fillId="3" fontId="21" numFmtId="0" xfId="0" applyBorder="1" applyFont="1"/>
    <xf borderId="2" fillId="12" fontId="44" numFmtId="0" xfId="0" applyBorder="1" applyFont="1"/>
    <xf borderId="2" fillId="12" fontId="34" numFmtId="0" xfId="0" applyAlignment="1" applyBorder="1" applyFont="1">
      <alignment shrinkToFit="0" vertical="top" wrapText="1"/>
    </xf>
    <xf borderId="2" fillId="12" fontId="44" numFmtId="0" xfId="0" applyAlignment="1" applyBorder="1" applyFont="1">
      <alignment shrinkToFit="0" vertical="top" wrapText="1"/>
    </xf>
    <xf borderId="4" fillId="7" fontId="4" numFmtId="0" xfId="0" applyAlignment="1" applyBorder="1" applyFont="1">
      <alignment horizontal="right" readingOrder="0" shrinkToFit="0" vertical="center" wrapText="0"/>
    </xf>
    <xf borderId="4" fillId="6" fontId="45" numFmtId="0" xfId="0" applyAlignment="1" applyBorder="1" applyFont="1">
      <alignment readingOrder="0" vertical="center"/>
    </xf>
    <xf borderId="4" fillId="6" fontId="12" numFmtId="0" xfId="0" applyAlignment="1" applyBorder="1" applyFont="1">
      <alignment readingOrder="0" vertical="center"/>
    </xf>
    <xf borderId="2" fillId="6" fontId="6" numFmtId="0" xfId="0" applyAlignment="1" applyBorder="1" applyFont="1">
      <alignment readingOrder="0" shrinkToFit="0" wrapText="0"/>
    </xf>
    <xf borderId="5" fillId="5" fontId="46" numFmtId="49" xfId="0" applyAlignment="1" applyBorder="1" applyFont="1" applyNumberFormat="1">
      <alignment readingOrder="0" shrinkToFit="0" vertical="top" wrapText="1"/>
    </xf>
    <xf borderId="20" fillId="0" fontId="6" numFmtId="0" xfId="0" applyAlignment="1" applyBorder="1" applyFont="1">
      <alignment readingOrder="0" shrinkToFit="0" wrapText="0"/>
    </xf>
    <xf borderId="21" fillId="0" fontId="6" numFmtId="0" xfId="0" applyAlignment="1" applyBorder="1" applyFont="1">
      <alignment shrinkToFit="0" wrapText="0"/>
    </xf>
    <xf borderId="2" fillId="0" fontId="6" numFmtId="167" xfId="0" applyAlignment="1" applyBorder="1" applyFont="1" applyNumberFormat="1">
      <alignment readingOrder="0" shrinkToFit="0" wrapText="0"/>
    </xf>
    <xf borderId="4" fillId="5" fontId="4" numFmtId="0" xfId="0" applyAlignment="1" applyBorder="1" applyFont="1">
      <alignment shrinkToFit="0" vertical="center" wrapText="0"/>
    </xf>
    <xf borderId="4" fillId="7" fontId="23" numFmtId="0" xfId="0" applyAlignment="1" applyBorder="1" applyFont="1">
      <alignment horizontal="right"/>
    </xf>
    <xf borderId="22" fillId="6" fontId="4" numFmtId="49" xfId="0" applyAlignment="1" applyBorder="1" applyFont="1" applyNumberFormat="1">
      <alignment readingOrder="0" shrinkToFit="0" vertical="center" wrapText="1"/>
    </xf>
    <xf borderId="23" fillId="6" fontId="4" numFmtId="49" xfId="0" applyAlignment="1" applyBorder="1" applyFont="1" applyNumberFormat="1">
      <alignment readingOrder="0" shrinkToFit="0" vertical="top" wrapText="1"/>
    </xf>
    <xf borderId="2" fillId="0" fontId="6" numFmtId="164" xfId="0" applyAlignment="1" applyBorder="1" applyFont="1" applyNumberFormat="1">
      <alignment readingOrder="0" shrinkToFit="0" vertical="center" wrapText="0"/>
    </xf>
    <xf borderId="2" fillId="6" fontId="6" numFmtId="164" xfId="0" applyAlignment="1" applyBorder="1" applyFont="1" applyNumberFormat="1">
      <alignment shrinkToFit="0" wrapText="0"/>
    </xf>
    <xf borderId="22" fillId="6" fontId="23" numFmtId="49" xfId="0" applyAlignment="1" applyBorder="1" applyFont="1" applyNumberFormat="1">
      <alignment shrinkToFit="0" wrapText="1"/>
    </xf>
    <xf borderId="23" fillId="6" fontId="23" numFmtId="49" xfId="0" applyAlignment="1" applyBorder="1" applyFont="1" applyNumberFormat="1">
      <alignment readingOrder="0" shrinkToFit="0" vertical="top" wrapText="1"/>
    </xf>
    <xf borderId="2" fillId="0" fontId="8" numFmtId="0" xfId="0" applyAlignment="1" applyBorder="1" applyFont="1">
      <alignment readingOrder="0" shrinkToFit="0" wrapText="1"/>
    </xf>
    <xf borderId="4" fillId="10" fontId="4" numFmtId="164" xfId="0" applyAlignment="1" applyBorder="1" applyFont="1" applyNumberFormat="1">
      <alignment horizontal="center" readingOrder="0" shrinkToFit="0" vertical="center" wrapText="0"/>
    </xf>
    <xf borderId="4" fillId="10" fontId="4" numFmtId="0" xfId="0" applyAlignment="1" applyBorder="1" applyFont="1">
      <alignment readingOrder="0" vertical="center"/>
    </xf>
    <xf borderId="4" fillId="10" fontId="4" numFmtId="0" xfId="0" applyAlignment="1" applyBorder="1" applyFont="1">
      <alignment readingOrder="0" shrinkToFit="0" vertical="center" wrapText="0"/>
    </xf>
    <xf borderId="4" fillId="10" fontId="4" numFmtId="49" xfId="0" applyAlignment="1" applyBorder="1" applyFont="1" applyNumberFormat="1">
      <alignment readingOrder="0" shrinkToFit="0" vertical="center" wrapText="1"/>
    </xf>
    <xf borderId="5" fillId="10" fontId="4" numFmtId="49" xfId="0" applyAlignment="1" applyBorder="1" applyFont="1" applyNumberFormat="1">
      <alignment readingOrder="0" shrinkToFit="0" vertical="top" wrapText="1"/>
    </xf>
    <xf borderId="2" fillId="10" fontId="6" numFmtId="0" xfId="0" applyAlignment="1" applyBorder="1" applyFont="1">
      <alignment readingOrder="0" shrinkToFit="0" wrapText="0"/>
    </xf>
    <xf borderId="2" fillId="8" fontId="6" numFmtId="0" xfId="0" applyAlignment="1" applyBorder="1" applyFont="1">
      <alignment shrinkToFit="0" wrapText="0"/>
    </xf>
    <xf borderId="4" fillId="0" fontId="47" numFmtId="0" xfId="0" applyAlignment="1" applyBorder="1" applyFont="1">
      <alignment horizontal="right" readingOrder="0"/>
    </xf>
    <xf borderId="4" fillId="6" fontId="47" numFmtId="164" xfId="0" applyAlignment="1" applyBorder="1" applyFont="1" applyNumberFormat="1">
      <alignment horizontal="center" readingOrder="0"/>
    </xf>
    <xf borderId="4" fillId="6" fontId="47" numFmtId="0" xfId="0" applyAlignment="1" applyBorder="1" applyFont="1">
      <alignment horizontal="left" readingOrder="0"/>
    </xf>
    <xf borderId="4" fillId="6" fontId="42" numFmtId="0" xfId="0" applyAlignment="1" applyBorder="1" applyFont="1">
      <alignment horizontal="left" readingOrder="0"/>
    </xf>
    <xf borderId="4" fillId="6" fontId="42" numFmtId="49" xfId="0" applyAlignment="1" applyBorder="1" applyFont="1" applyNumberFormat="1">
      <alignment horizontal="left" readingOrder="0"/>
    </xf>
    <xf borderId="5" fillId="6" fontId="42" numFmtId="49" xfId="0" applyAlignment="1" applyBorder="1" applyFont="1" applyNumberFormat="1">
      <alignment horizontal="left" readingOrder="0" vertical="top"/>
    </xf>
    <xf borderId="2" fillId="0" fontId="43" numFmtId="0" xfId="0" applyAlignment="1" applyBorder="1" applyFont="1">
      <alignment horizontal="left" vertical="bottom"/>
    </xf>
    <xf borderId="2" fillId="0" fontId="43" numFmtId="164" xfId="0" applyAlignment="1" applyBorder="1" applyFont="1" applyNumberFormat="1">
      <alignment horizontal="left" vertical="bottom"/>
    </xf>
    <xf borderId="2" fillId="0" fontId="43" numFmtId="0" xfId="0" applyAlignment="1" applyBorder="1" applyFont="1">
      <alignment horizontal="left" vertical="bottom"/>
    </xf>
    <xf borderId="2" fillId="6" fontId="43" numFmtId="0" xfId="0" applyAlignment="1" applyBorder="1" applyFont="1">
      <alignment horizontal="left" vertical="bottom"/>
    </xf>
    <xf borderId="2" fillId="0" fontId="42" numFmtId="0" xfId="0" applyAlignment="1" applyBorder="1" applyFont="1">
      <alignment horizontal="left" readingOrder="0" vertical="top"/>
    </xf>
    <xf borderId="2" fillId="0" fontId="42" numFmtId="0" xfId="0" applyAlignment="1" applyBorder="1" applyFont="1">
      <alignment horizontal="left" readingOrder="0" vertical="top"/>
    </xf>
    <xf borderId="4" fillId="0" fontId="16" numFmtId="0" xfId="0" applyAlignment="1" applyBorder="1" applyFont="1">
      <alignment readingOrder="0" shrinkToFit="0" wrapText="0"/>
    </xf>
    <xf borderId="4" fillId="0" fontId="12" numFmtId="0" xfId="0" applyAlignment="1" applyBorder="1" applyFont="1">
      <alignment readingOrder="0" shrinkToFit="0" vertical="center" wrapText="0"/>
    </xf>
    <xf borderId="24" fillId="6" fontId="4" numFmtId="49" xfId="0" applyAlignment="1" applyBorder="1" applyFont="1" applyNumberFormat="1">
      <alignment readingOrder="0" shrinkToFit="0" vertical="top" wrapText="1"/>
    </xf>
    <xf borderId="25" fillId="6" fontId="4" numFmtId="49" xfId="0" applyAlignment="1" applyBorder="1" applyFont="1" applyNumberFormat="1">
      <alignment readingOrder="0" shrinkToFit="0" vertical="top" wrapText="1"/>
    </xf>
    <xf borderId="25" fillId="6" fontId="23" numFmtId="49" xfId="0" applyAlignment="1" applyBorder="1" applyFont="1" applyNumberFormat="1">
      <alignment shrinkToFit="0" vertical="top" wrapText="1"/>
    </xf>
    <xf borderId="25" fillId="6" fontId="4" numFmtId="49" xfId="0" applyAlignment="1" applyBorder="1" applyFont="1" applyNumberFormat="1">
      <alignment readingOrder="0" shrinkToFit="0" vertical="center" wrapText="1"/>
    </xf>
    <xf borderId="4" fillId="10" fontId="23" numFmtId="164" xfId="0" applyAlignment="1" applyBorder="1" applyFont="1" applyNumberFormat="1">
      <alignment horizontal="center"/>
    </xf>
    <xf borderId="4" fillId="10" fontId="23" numFmtId="0" xfId="0" applyAlignment="1" applyBorder="1" applyFont="1">
      <alignment readingOrder="0"/>
    </xf>
    <xf borderId="4" fillId="10" fontId="23" numFmtId="0" xfId="0" applyBorder="1" applyFont="1"/>
    <xf borderId="25" fillId="10" fontId="4" numFmtId="49" xfId="0" applyAlignment="1" applyBorder="1" applyFont="1" applyNumberFormat="1">
      <alignment readingOrder="0" shrinkToFit="0" vertical="top" wrapText="1"/>
    </xf>
    <xf borderId="25" fillId="5" fontId="4" numFmtId="49" xfId="0" applyAlignment="1" applyBorder="1" applyFont="1" applyNumberFormat="1">
      <alignment readingOrder="0" shrinkToFit="0" vertical="top" wrapText="1"/>
    </xf>
    <xf borderId="25" fillId="0" fontId="4" numFmtId="49" xfId="0" applyAlignment="1" applyBorder="1" applyFont="1" applyNumberFormat="1">
      <alignment readingOrder="0" shrinkToFit="0" vertical="top" wrapText="1"/>
    </xf>
    <xf borderId="25" fillId="5" fontId="23" numFmtId="49" xfId="0" applyAlignment="1" applyBorder="1" applyFont="1" applyNumberFormat="1">
      <alignment readingOrder="0" shrinkToFit="0" vertical="top" wrapText="1"/>
    </xf>
    <xf borderId="2" fillId="6" fontId="6" numFmtId="0" xfId="0" applyAlignment="1" applyBorder="1" applyFont="1">
      <alignment horizontal="left" readingOrder="0" shrinkToFit="0" vertical="top" wrapText="0"/>
    </xf>
    <xf borderId="4" fillId="10" fontId="45" numFmtId="0" xfId="0" applyAlignment="1" applyBorder="1" applyFont="1">
      <alignment horizontal="right" readingOrder="0" shrinkToFit="0" vertical="center" wrapText="0"/>
    </xf>
    <xf borderId="2" fillId="10" fontId="31" numFmtId="0" xfId="0" applyAlignment="1" applyBorder="1" applyFont="1">
      <alignment readingOrder="0" shrinkToFit="0" wrapText="0"/>
    </xf>
    <xf borderId="4" fillId="10" fontId="0" numFmtId="164" xfId="0" applyAlignment="1" applyBorder="1" applyFont="1" applyNumberFormat="1">
      <alignment horizontal="center" readingOrder="0" shrinkToFit="0" vertical="center" wrapText="0"/>
    </xf>
    <xf borderId="4" fillId="10" fontId="0" numFmtId="0" xfId="0" applyAlignment="1" applyBorder="1" applyFont="1">
      <alignment readingOrder="0" vertical="center"/>
    </xf>
    <xf borderId="4" fillId="10" fontId="0" numFmtId="0" xfId="0" applyAlignment="1" applyBorder="1" applyFont="1">
      <alignment readingOrder="0" shrinkToFit="0" vertical="center" wrapText="0"/>
    </xf>
    <xf borderId="25" fillId="10" fontId="4" numFmtId="49" xfId="0" applyAlignment="1" applyBorder="1" applyFont="1" applyNumberFormat="1">
      <alignment readingOrder="0" shrinkToFit="0" vertical="center" wrapText="1"/>
    </xf>
    <xf borderId="2" fillId="10" fontId="48" numFmtId="0" xfId="0" applyAlignment="1" applyBorder="1" applyFont="1">
      <alignment horizontal="center" readingOrder="0"/>
    </xf>
    <xf borderId="4" fillId="10" fontId="4" numFmtId="0" xfId="0" applyAlignment="1" applyBorder="1" applyFont="1">
      <alignment horizontal="right" readingOrder="0" shrinkToFit="0" vertical="center" wrapText="0"/>
    </xf>
    <xf borderId="4" fillId="6" fontId="6" numFmtId="0" xfId="0" applyAlignment="1" applyBorder="1" applyFont="1">
      <alignment horizontal="right" readingOrder="0" shrinkToFit="0" wrapText="0"/>
    </xf>
    <xf borderId="4" fillId="6" fontId="6" numFmtId="164" xfId="0" applyAlignment="1" applyBorder="1" applyFont="1" applyNumberFormat="1">
      <alignment horizontal="right" readingOrder="0" shrinkToFit="0" wrapText="0"/>
    </xf>
    <xf borderId="4" fillId="6" fontId="6" numFmtId="0" xfId="0" applyAlignment="1" applyBorder="1" applyFont="1">
      <alignment readingOrder="0"/>
    </xf>
    <xf borderId="4" fillId="6" fontId="6" numFmtId="0" xfId="0" applyAlignment="1" applyBorder="1" applyFont="1">
      <alignment readingOrder="0" shrinkToFit="0" wrapText="0"/>
    </xf>
    <xf borderId="4" fillId="6" fontId="6" numFmtId="49" xfId="0" applyAlignment="1" applyBorder="1" applyFont="1" applyNumberFormat="1">
      <alignment readingOrder="0"/>
    </xf>
    <xf borderId="25" fillId="6" fontId="6" numFmtId="49" xfId="0" applyAlignment="1" applyBorder="1" applyFont="1" applyNumberFormat="1">
      <alignment readingOrder="0"/>
    </xf>
    <xf borderId="2" fillId="0" fontId="30" numFmtId="0" xfId="0" applyAlignment="1" applyBorder="1" applyFont="1">
      <alignment horizontal="left" readingOrder="0" vertical="top"/>
    </xf>
    <xf borderId="2" fillId="5" fontId="6" numFmtId="0" xfId="0" applyAlignment="1" applyBorder="1" applyFont="1">
      <alignment horizontal="left" readingOrder="0" shrinkToFit="0" vertical="top" wrapText="1"/>
    </xf>
    <xf borderId="26" fillId="6" fontId="4" numFmtId="49" xfId="0" applyAlignment="1" applyBorder="1" applyFont="1" applyNumberFormat="1">
      <alignment readingOrder="0" shrinkToFit="0" vertical="top" wrapText="1"/>
    </xf>
    <xf borderId="4" fillId="10" fontId="6" numFmtId="0" xfId="0" applyAlignment="1" applyBorder="1" applyFont="1">
      <alignment horizontal="right" readingOrder="0" shrinkToFit="0" wrapText="0"/>
    </xf>
    <xf borderId="4" fillId="10" fontId="6" numFmtId="164" xfId="0" applyAlignment="1" applyBorder="1" applyFont="1" applyNumberFormat="1">
      <alignment horizontal="right" readingOrder="0" shrinkToFit="0" wrapText="0"/>
    </xf>
    <xf borderId="4" fillId="10" fontId="6" numFmtId="0" xfId="0" applyAlignment="1" applyBorder="1" applyFont="1">
      <alignment readingOrder="0"/>
    </xf>
    <xf borderId="4" fillId="10" fontId="6" numFmtId="0" xfId="0" applyAlignment="1" applyBorder="1" applyFont="1">
      <alignment readingOrder="0" shrinkToFit="0" wrapText="0"/>
    </xf>
    <xf borderId="4" fillId="10" fontId="6" numFmtId="49" xfId="0" applyAlignment="1" applyBorder="1" applyFont="1" applyNumberFormat="1">
      <alignment readingOrder="0"/>
    </xf>
    <xf borderId="25" fillId="10" fontId="6" numFmtId="49" xfId="0" applyAlignment="1" applyBorder="1" applyFont="1" applyNumberFormat="1">
      <alignment readingOrder="0"/>
    </xf>
    <xf borderId="27" fillId="0" fontId="6" numFmtId="0" xfId="0" applyAlignment="1" applyBorder="1" applyFont="1">
      <alignment shrinkToFit="0" wrapText="0"/>
    </xf>
    <xf borderId="28" fillId="0" fontId="6" numFmtId="0" xfId="0" applyAlignment="1" applyBorder="1" applyFont="1">
      <alignment shrinkToFit="0" wrapText="0"/>
    </xf>
    <xf borderId="2" fillId="0" fontId="49" numFmtId="0" xfId="0" applyAlignment="1" applyBorder="1" applyFont="1">
      <alignment horizontal="left" readingOrder="0" shrinkToFit="0" vertical="top" wrapText="1"/>
    </xf>
    <xf borderId="28" fillId="0" fontId="6" numFmtId="0" xfId="0" applyAlignment="1" applyBorder="1" applyFont="1">
      <alignment readingOrder="0" shrinkToFit="0" wrapText="0"/>
    </xf>
    <xf borderId="2" fillId="0" fontId="6" numFmtId="164" xfId="0" applyAlignment="1" applyBorder="1" applyFont="1" applyNumberFormat="1">
      <alignment horizontal="right" readingOrder="0" shrinkToFit="0" vertical="center" wrapText="0"/>
    </xf>
    <xf borderId="2" fillId="0" fontId="32" numFmtId="0" xfId="0" applyBorder="1" applyFont="1"/>
    <xf borderId="4" fillId="6" fontId="23" numFmtId="49" xfId="0" applyAlignment="1" applyBorder="1" applyFont="1" applyNumberFormat="1">
      <alignment shrinkToFit="0" vertical="bottom" wrapText="1"/>
    </xf>
    <xf borderId="26" fillId="6" fontId="23" numFmtId="49" xfId="0" applyAlignment="1" applyBorder="1" applyFont="1" applyNumberFormat="1">
      <alignment shrinkToFit="0" vertical="top" wrapText="1"/>
    </xf>
    <xf borderId="4" fillId="4" fontId="21" numFmtId="0" xfId="0" applyAlignment="1" applyBorder="1" applyFont="1">
      <alignment horizontal="right"/>
    </xf>
    <xf borderId="25" fillId="6" fontId="21" numFmtId="49" xfId="0" applyAlignment="1" applyBorder="1" applyFont="1" applyNumberFormat="1">
      <alignment readingOrder="0" shrinkToFit="0" vertical="top" wrapText="1"/>
    </xf>
    <xf borderId="4" fillId="8" fontId="44" numFmtId="0" xfId="0" applyBorder="1" applyFont="1"/>
    <xf borderId="2" fillId="8" fontId="44" numFmtId="0" xfId="0" applyBorder="1" applyFont="1"/>
    <xf borderId="2" fillId="8" fontId="34" numFmtId="0" xfId="0" applyAlignment="1" applyBorder="1" applyFont="1">
      <alignment shrinkToFit="0" vertical="top" wrapText="1"/>
    </xf>
    <xf borderId="2" fillId="8" fontId="44" numFmtId="0" xfId="0" applyAlignment="1" applyBorder="1" applyFont="1">
      <alignment shrinkToFit="0" vertical="top" wrapText="1"/>
    </xf>
    <xf borderId="29" fillId="0" fontId="6" numFmtId="0" xfId="0" applyAlignment="1" applyBorder="1" applyFont="1">
      <alignment shrinkToFit="0" wrapText="0"/>
    </xf>
    <xf borderId="2" fillId="5" fontId="16" numFmtId="0" xfId="0" applyAlignment="1" applyBorder="1" applyFont="1">
      <alignment horizontal="center" readingOrder="0" shrinkToFit="0" wrapText="0"/>
    </xf>
    <xf borderId="2" fillId="10" fontId="16" numFmtId="0" xfId="0" applyAlignment="1" applyBorder="1" applyFont="1">
      <alignment horizontal="center" readingOrder="0" shrinkToFit="0" wrapText="0"/>
    </xf>
    <xf borderId="2" fillId="0" fontId="6" numFmtId="0" xfId="0" applyAlignment="1" applyBorder="1" applyFont="1">
      <alignment horizontal="left" readingOrder="0" shrinkToFit="0" vertical="top" wrapText="1"/>
    </xf>
    <xf borderId="2" fillId="5" fontId="32" numFmtId="0" xfId="0" applyAlignment="1" applyBorder="1" applyFont="1">
      <alignment horizontal="center" vertical="bottom"/>
    </xf>
    <xf borderId="2" fillId="6" fontId="40" numFmtId="0" xfId="0" applyAlignment="1" applyBorder="1" applyFont="1">
      <alignment horizontal="center" shrinkToFit="0" wrapText="0"/>
    </xf>
    <xf borderId="2" fillId="0" fontId="16" numFmtId="0" xfId="0" applyAlignment="1" applyBorder="1" applyFont="1">
      <alignment horizontal="left" readingOrder="0" vertical="top"/>
    </xf>
    <xf borderId="4" fillId="0" fontId="23" numFmtId="164" xfId="0" applyAlignment="1" applyBorder="1" applyFont="1" applyNumberFormat="1">
      <alignment horizontal="center"/>
    </xf>
    <xf borderId="2" fillId="6" fontId="40" numFmtId="0" xfId="0" applyAlignment="1" applyBorder="1" applyFont="1">
      <alignment horizontal="center" shrinkToFit="0" wrapText="0"/>
    </xf>
    <xf borderId="2" fillId="10" fontId="40" numFmtId="0" xfId="0" applyAlignment="1" applyBorder="1" applyFont="1">
      <alignment horizontal="center" readingOrder="0" shrinkToFit="0" wrapText="0"/>
    </xf>
    <xf borderId="2" fillId="0" fontId="16" numFmtId="0" xfId="0" applyAlignment="1" applyBorder="1" applyFont="1">
      <alignment horizontal="left" vertical="top"/>
    </xf>
    <xf borderId="2" fillId="0" fontId="16" numFmtId="0" xfId="0" applyAlignment="1" applyBorder="1" applyFont="1">
      <alignment horizontal="left" vertical="top"/>
    </xf>
    <xf borderId="4" fillId="5" fontId="3" numFmtId="0" xfId="0" applyAlignment="1" applyBorder="1" applyFont="1">
      <alignment readingOrder="0" vertical="center"/>
    </xf>
    <xf borderId="2" fillId="6" fontId="6" numFmtId="0" xfId="0" applyAlignment="1" applyBorder="1" applyFont="1">
      <alignment horizontal="left" readingOrder="0" shrinkToFit="0" vertical="top" wrapText="1"/>
    </xf>
    <xf borderId="4" fillId="9" fontId="6" numFmtId="0" xfId="0" applyAlignment="1" applyBorder="1" applyFont="1">
      <alignment horizontal="right" readingOrder="0" shrinkToFit="0" wrapText="0"/>
    </xf>
    <xf borderId="4" fillId="6" fontId="25" numFmtId="0" xfId="0" applyAlignment="1" applyBorder="1" applyFont="1">
      <alignment readingOrder="0" vertical="center"/>
    </xf>
    <xf borderId="4" fillId="6" fontId="21" numFmtId="0" xfId="0" applyAlignment="1" applyBorder="1" applyFont="1">
      <alignment horizontal="right" shrinkToFit="0" wrapText="0"/>
    </xf>
    <xf borderId="2" fillId="8" fontId="21" numFmtId="0" xfId="0" applyBorder="1" applyFont="1"/>
    <xf borderId="2" fillId="8" fontId="21" numFmtId="0" xfId="0" applyAlignment="1" applyBorder="1" applyFont="1">
      <alignment horizontal="center" shrinkToFit="0" wrapText="0"/>
    </xf>
    <xf borderId="4" fillId="12" fontId="21" numFmtId="0" xfId="0" applyAlignment="1" applyBorder="1" applyFont="1">
      <alignment horizontal="right" shrinkToFit="0" wrapText="0"/>
    </xf>
    <xf borderId="2" fillId="12" fontId="21" numFmtId="0" xfId="0" applyAlignment="1" applyBorder="1" applyFont="1">
      <alignment shrinkToFit="0" wrapText="0"/>
    </xf>
    <xf borderId="2" fillId="12" fontId="21" numFmtId="0" xfId="0" applyAlignment="1" applyBorder="1" applyFont="1">
      <alignment horizontal="center" shrinkToFit="0" wrapText="0"/>
    </xf>
    <xf borderId="2" fillId="12" fontId="21" numFmtId="164" xfId="0" applyAlignment="1" applyBorder="1" applyFont="1" applyNumberFormat="1">
      <alignment horizontal="right" shrinkToFit="0" wrapText="0"/>
    </xf>
    <xf borderId="4" fillId="8" fontId="33" numFmtId="0" xfId="0" applyAlignment="1" applyBorder="1" applyFont="1">
      <alignment horizontal="right" shrinkToFit="0" wrapText="0"/>
    </xf>
    <xf borderId="4" fillId="6" fontId="33" numFmtId="164" xfId="0" applyAlignment="1" applyBorder="1" applyFont="1" applyNumberFormat="1">
      <alignment horizontal="center" shrinkToFit="0" wrapText="0"/>
    </xf>
    <xf borderId="4" fillId="6" fontId="33" numFmtId="0" xfId="0" applyAlignment="1" applyBorder="1" applyFont="1">
      <alignment shrinkToFit="0" wrapText="0"/>
    </xf>
    <xf borderId="4" fillId="6" fontId="33" numFmtId="0" xfId="0" applyAlignment="1" applyBorder="1" applyFont="1">
      <alignment horizontal="right" shrinkToFit="0" wrapText="0"/>
    </xf>
    <xf borderId="4" fillId="6" fontId="33" numFmtId="49" xfId="0" applyAlignment="1" applyBorder="1" applyFont="1" applyNumberFormat="1">
      <alignment shrinkToFit="0" wrapText="1"/>
    </xf>
    <xf borderId="25" fillId="6" fontId="33" numFmtId="49" xfId="0" applyAlignment="1" applyBorder="1" applyFont="1" applyNumberFormat="1">
      <alignment readingOrder="0" shrinkToFit="0" vertical="top" wrapText="0"/>
    </xf>
    <xf borderId="2" fillId="8" fontId="33" numFmtId="0" xfId="0" applyAlignment="1" applyBorder="1" applyFont="1">
      <alignment shrinkToFit="0" wrapText="0"/>
    </xf>
    <xf borderId="2" fillId="8" fontId="33" numFmtId="0" xfId="0" applyAlignment="1" applyBorder="1" applyFont="1">
      <alignment horizontal="center" shrinkToFit="0" wrapText="0"/>
    </xf>
    <xf borderId="2" fillId="8" fontId="33" numFmtId="0" xfId="0" applyAlignment="1" applyBorder="1" applyFont="1">
      <alignment horizontal="center" shrinkToFit="0" wrapText="0"/>
    </xf>
    <xf borderId="2" fillId="8" fontId="33" numFmtId="164" xfId="0" applyAlignment="1" applyBorder="1" applyFont="1" applyNumberFormat="1">
      <alignment horizontal="right" shrinkToFit="0" wrapText="0"/>
    </xf>
    <xf borderId="2" fillId="12" fontId="33" numFmtId="0" xfId="0" applyAlignment="1" applyBorder="1" applyFont="1">
      <alignment horizontal="center" shrinkToFit="0" wrapText="0"/>
    </xf>
    <xf borderId="4" fillId="6" fontId="21" numFmtId="167" xfId="0" applyAlignment="1" applyBorder="1" applyFont="1" applyNumberFormat="1">
      <alignment horizontal="center" shrinkToFit="0" wrapText="0"/>
    </xf>
    <xf borderId="2" fillId="8" fontId="33" numFmtId="0" xfId="0" applyBorder="1" applyFont="1"/>
    <xf borderId="4" fillId="6" fontId="21" numFmtId="49" xfId="0" applyAlignment="1" applyBorder="1" applyFont="1" applyNumberFormat="1">
      <alignment readingOrder="0" shrinkToFit="0" wrapText="1"/>
    </xf>
    <xf borderId="2" fillId="12" fontId="21" numFmtId="0" xfId="0" applyAlignment="1" applyBorder="1" applyFont="1">
      <alignment shrinkToFit="0" wrapText="0"/>
    </xf>
    <xf borderId="2" fillId="12" fontId="33" numFmtId="0" xfId="0" applyBorder="1" applyFont="1"/>
    <xf borderId="2" fillId="12" fontId="21" numFmtId="0" xfId="0" applyAlignment="1" applyBorder="1" applyFont="1">
      <alignment horizontal="center" shrinkToFit="0" wrapText="0"/>
    </xf>
    <xf borderId="4" fillId="12" fontId="21" numFmtId="49" xfId="0" applyAlignment="1" applyBorder="1" applyFont="1" applyNumberFormat="1">
      <alignment shrinkToFit="0" wrapText="1"/>
    </xf>
    <xf borderId="26" fillId="6" fontId="21" numFmtId="49" xfId="0" applyAlignment="1" applyBorder="1" applyFont="1" applyNumberFormat="1">
      <alignment readingOrder="0" shrinkToFit="0" vertical="top" wrapText="1"/>
    </xf>
    <xf borderId="2" fillId="8" fontId="23" numFmtId="0" xfId="0" applyAlignment="1" applyBorder="1" applyFont="1">
      <alignment vertical="bottom"/>
    </xf>
    <xf borderId="24" fillId="6" fontId="21" numFmtId="49" xfId="0" applyAlignment="1" applyBorder="1" applyFont="1" applyNumberFormat="1">
      <alignment readingOrder="0" shrinkToFit="0" vertical="top" wrapText="1"/>
    </xf>
    <xf borderId="30" fillId="6" fontId="21" numFmtId="49" xfId="0" applyAlignment="1" applyBorder="1" applyFont="1" applyNumberFormat="1">
      <alignment readingOrder="0" shrinkToFit="0" vertical="top" wrapText="1"/>
    </xf>
    <xf borderId="28" fillId="12" fontId="21" numFmtId="0" xfId="0" applyAlignment="1" applyBorder="1" applyFont="1">
      <alignment shrinkToFit="0" wrapText="0"/>
    </xf>
    <xf borderId="2" fillId="12" fontId="21" numFmtId="49" xfId="0" applyAlignment="1" applyBorder="1" applyFont="1" applyNumberFormat="1">
      <alignment shrinkToFit="0" wrapText="0"/>
    </xf>
    <xf borderId="2" fillId="8" fontId="33" numFmtId="49" xfId="0" applyAlignment="1" applyBorder="1" applyFont="1" applyNumberFormat="1">
      <alignment shrinkToFit="0" wrapText="0"/>
    </xf>
    <xf borderId="31" fillId="6" fontId="21" numFmtId="0" xfId="0" applyAlignment="1" applyBorder="1" applyFont="1">
      <alignment shrinkToFit="0" wrapText="0"/>
    </xf>
    <xf borderId="4" fillId="6" fontId="21" numFmtId="49" xfId="0" applyAlignment="1" applyBorder="1" applyFont="1" applyNumberFormat="1">
      <alignment shrinkToFit="0" wrapText="0"/>
    </xf>
    <xf borderId="2" fillId="12" fontId="33" numFmtId="49" xfId="0" applyAlignment="1" applyBorder="1" applyFont="1" applyNumberFormat="1">
      <alignment shrinkToFit="0" wrapText="0"/>
    </xf>
    <xf borderId="32" fillId="12" fontId="23" numFmtId="0" xfId="0" applyBorder="1" applyFont="1"/>
    <xf borderId="4" fillId="8" fontId="21" numFmtId="0" xfId="0" applyAlignment="1" applyBorder="1" applyFont="1">
      <alignment horizontal="right" shrinkToFit="0" wrapText="0"/>
    </xf>
    <xf borderId="4" fillId="6" fontId="21" numFmtId="0" xfId="0" applyAlignment="1" applyBorder="1" applyFont="1">
      <alignment shrinkToFit="0" wrapText="0"/>
    </xf>
    <xf borderId="4" fillId="6" fontId="23" numFmtId="0" xfId="0" applyBorder="1" applyFont="1"/>
    <xf borderId="26" fillId="11" fontId="21" numFmtId="49" xfId="0" applyAlignment="1" applyBorder="1" applyFont="1" applyNumberFormat="1">
      <alignment readingOrder="0" shrinkToFit="0" vertical="top" wrapText="1"/>
    </xf>
    <xf borderId="25" fillId="6" fontId="21" numFmtId="49" xfId="0" applyAlignment="1" applyBorder="1" applyFont="1" applyNumberFormat="1">
      <alignment shrinkToFit="0" wrapText="1"/>
    </xf>
    <xf borderId="2" fillId="6" fontId="21" numFmtId="49" xfId="0" applyAlignment="1" applyBorder="1" applyFont="1" applyNumberFormat="1">
      <alignment readingOrder="0" shrinkToFit="0" wrapText="0"/>
    </xf>
    <xf borderId="33" fillId="8" fontId="23" numFmtId="0" xfId="0" applyBorder="1" applyFont="1"/>
    <xf borderId="34" fillId="6" fontId="21" numFmtId="49" xfId="0" applyAlignment="1" applyBorder="1" applyFont="1" applyNumberFormat="1">
      <alignment readingOrder="0" shrinkToFit="0" vertical="top" wrapText="1"/>
    </xf>
    <xf borderId="1" fillId="11" fontId="21" numFmtId="164" xfId="0" applyAlignment="1" applyBorder="1" applyFont="1" applyNumberFormat="1">
      <alignment horizontal="center" shrinkToFit="0" wrapText="0"/>
    </xf>
    <xf borderId="1" fillId="11" fontId="21" numFmtId="0" xfId="0" applyAlignment="1" applyBorder="1" applyFont="1">
      <alignment shrinkToFit="0" wrapText="0"/>
    </xf>
    <xf borderId="1" fillId="11" fontId="23" numFmtId="0" xfId="0" applyBorder="1" applyFont="1"/>
    <xf borderId="1" fillId="11" fontId="21" numFmtId="0" xfId="0" applyAlignment="1" applyBorder="1" applyFont="1">
      <alignment horizontal="right" shrinkToFit="0" wrapText="0"/>
    </xf>
    <xf borderId="1" fillId="11" fontId="21" numFmtId="49" xfId="0" applyAlignment="1" applyBorder="1" applyFont="1" applyNumberFormat="1">
      <alignment shrinkToFit="0" wrapText="1"/>
    </xf>
    <xf borderId="1" fillId="11" fontId="21" numFmtId="49" xfId="0" applyAlignment="1" applyBorder="1" applyFont="1" applyNumberFormat="1">
      <alignment readingOrder="0" shrinkToFit="0" wrapText="0"/>
    </xf>
    <xf borderId="1" fillId="12" fontId="33" numFmtId="49" xfId="0" applyAlignment="1" applyBorder="1" applyFont="1" applyNumberFormat="1">
      <alignment shrinkToFit="0" wrapText="0"/>
    </xf>
    <xf borderId="1" fillId="6" fontId="21" numFmtId="49" xfId="0" applyAlignment="1" applyBorder="1" applyFont="1" applyNumberFormat="1">
      <alignment readingOrder="0" shrinkToFit="0" wrapText="0"/>
    </xf>
    <xf borderId="1" fillId="8" fontId="21" numFmtId="167" xfId="0" applyAlignment="1" applyBorder="1" applyFont="1" applyNumberFormat="1">
      <alignment horizontal="center" shrinkToFit="0" wrapText="0"/>
    </xf>
    <xf borderId="1" fillId="8" fontId="21" numFmtId="166" xfId="0" applyAlignment="1" applyBorder="1" applyFont="1" applyNumberFormat="1">
      <alignment horizontal="center" shrinkToFit="0" wrapText="0"/>
    </xf>
    <xf borderId="1" fillId="12" fontId="21" numFmtId="167" xfId="0" applyAlignment="1" applyBorder="1" applyFont="1" applyNumberFormat="1">
      <alignment horizontal="center" shrinkToFit="0" wrapText="0"/>
    </xf>
    <xf borderId="1" fillId="8" fontId="21" numFmtId="0" xfId="0" applyAlignment="1" applyBorder="1" applyFont="1">
      <alignment horizontal="right"/>
    </xf>
    <xf borderId="1" fillId="6" fontId="21" numFmtId="164" xfId="0" applyAlignment="1" applyBorder="1" applyFont="1" applyNumberFormat="1">
      <alignment horizontal="center"/>
    </xf>
    <xf borderId="1" fillId="6" fontId="21" numFmtId="0" xfId="0" applyBorder="1" applyFont="1"/>
    <xf borderId="1" fillId="8" fontId="44" numFmtId="0" xfId="0" applyBorder="1" applyFont="1"/>
    <xf borderId="1" fillId="8" fontId="44" numFmtId="164" xfId="0" applyAlignment="1" applyBorder="1" applyFont="1" applyNumberFormat="1">
      <alignment horizontal="right"/>
    </xf>
    <xf borderId="1" fillId="8" fontId="44" numFmtId="164" xfId="0" applyBorder="1" applyFont="1" applyNumberFormat="1"/>
    <xf borderId="1" fillId="8" fontId="44" numFmtId="0" xfId="0" applyAlignment="1" applyBorder="1" applyFont="1">
      <alignment horizontal="center"/>
    </xf>
    <xf borderId="1" fillId="8" fontId="23" numFmtId="0" xfId="0" applyAlignment="1" applyBorder="1" applyFont="1">
      <alignment vertical="top"/>
    </xf>
    <xf borderId="1" fillId="8" fontId="21" numFmtId="164" xfId="0" applyAlignment="1" applyBorder="1" applyFont="1" applyNumberFormat="1">
      <alignment shrinkToFit="0" wrapText="0"/>
    </xf>
    <xf borderId="1" fillId="6" fontId="21" numFmtId="49" xfId="0" applyAlignment="1" applyBorder="1" applyFont="1" applyNumberFormat="1">
      <alignment readingOrder="0" shrinkToFit="0" vertical="top" wrapText="0"/>
    </xf>
    <xf borderId="1" fillId="12" fontId="23" numFmtId="49" xfId="0" applyAlignment="1" applyBorder="1" applyFont="1" applyNumberFormat="1">
      <alignment vertical="bottom"/>
    </xf>
    <xf borderId="1" fillId="6" fontId="21" numFmtId="49" xfId="0" applyAlignment="1" applyBorder="1" applyFont="1" applyNumberFormat="1">
      <alignment readingOrder="0" shrinkToFit="0" wrapText="1"/>
    </xf>
    <xf borderId="2" fillId="8" fontId="33" numFmtId="0" xfId="0" applyAlignment="1" applyBorder="1" applyFont="1">
      <alignment shrinkToFit="0" wrapText="0"/>
    </xf>
    <xf borderId="1" fillId="8" fontId="33" numFmtId="49" xfId="0" applyAlignment="1" applyBorder="1" applyFont="1" applyNumberFormat="1">
      <alignment shrinkToFit="0" wrapText="0"/>
    </xf>
    <xf borderId="1" fillId="8" fontId="44" numFmtId="0" xfId="0" applyBorder="1" applyFont="1"/>
    <xf borderId="1" fillId="8" fontId="21" numFmtId="0" xfId="0" applyAlignment="1" applyBorder="1" applyFont="1">
      <alignment shrinkToFit="0" wrapText="1"/>
    </xf>
    <xf borderId="1" fillId="12" fontId="33" numFmtId="49" xfId="0" applyAlignment="1" applyBorder="1" applyFont="1" applyNumberFormat="1">
      <alignment shrinkToFit="0" vertical="bottom" wrapText="0"/>
    </xf>
    <xf borderId="1" fillId="12" fontId="44" numFmtId="0" xfId="0" applyBorder="1" applyFont="1"/>
    <xf borderId="1" fillId="12" fontId="21" numFmtId="0" xfId="0" applyAlignment="1" applyBorder="1" applyFont="1">
      <alignment shrinkToFit="0" wrapText="1"/>
    </xf>
    <xf borderId="1" fillId="8" fontId="33" numFmtId="164" xfId="0" applyAlignment="1" applyBorder="1" applyFont="1" applyNumberFormat="1">
      <alignment horizontal="right"/>
    </xf>
    <xf borderId="1" fillId="8" fontId="23" numFmtId="164" xfId="0" applyAlignment="1" applyBorder="1" applyFont="1" applyNumberFormat="1">
      <alignment vertical="top"/>
    </xf>
    <xf borderId="1" fillId="8" fontId="44" numFmtId="0" xfId="0" applyAlignment="1" applyBorder="1" applyFont="1">
      <alignment shrinkToFit="0" vertical="top" wrapText="1"/>
    </xf>
    <xf borderId="1" fillId="12" fontId="21" numFmtId="166" xfId="0" applyAlignment="1" applyBorder="1" applyFont="1" applyNumberFormat="1">
      <alignment horizontal="center" shrinkToFit="0" wrapText="0"/>
    </xf>
    <xf borderId="1" fillId="7" fontId="21" numFmtId="0" xfId="0" applyAlignment="1" applyBorder="1" applyFont="1">
      <alignment horizontal="right"/>
    </xf>
    <xf borderId="1" fillId="5" fontId="21" numFmtId="164" xfId="0" applyAlignment="1" applyBorder="1" applyFont="1" applyNumberFormat="1">
      <alignment horizontal="center"/>
    </xf>
    <xf borderId="1" fillId="5" fontId="21" numFmtId="0" xfId="0" applyAlignment="1" applyBorder="1" applyFont="1">
      <alignment shrinkToFit="0" wrapText="0"/>
    </xf>
    <xf borderId="1" fillId="5" fontId="21" numFmtId="0" xfId="0" applyBorder="1" applyFont="1"/>
    <xf borderId="1" fillId="5" fontId="21" numFmtId="0" xfId="0" applyAlignment="1" applyBorder="1" applyFont="1">
      <alignment horizontal="right"/>
    </xf>
    <xf borderId="1" fillId="5" fontId="21" numFmtId="49" xfId="0" applyAlignment="1" applyBorder="1" applyFont="1" applyNumberFormat="1">
      <alignment shrinkToFit="0" wrapText="1"/>
    </xf>
    <xf borderId="1" fillId="5" fontId="21" numFmtId="49" xfId="0" applyAlignment="1" applyBorder="1" applyFont="1" applyNumberFormat="1">
      <alignment readingOrder="0" shrinkToFit="0" vertical="top" wrapText="1"/>
    </xf>
    <xf borderId="1" fillId="12" fontId="21" numFmtId="0" xfId="0" applyAlignment="1" applyBorder="1" applyFont="1">
      <alignment horizontal="right"/>
    </xf>
    <xf borderId="1" fillId="5" fontId="23" numFmtId="49" xfId="0" applyAlignment="1" applyBorder="1" applyFont="1" applyNumberFormat="1">
      <alignment shrinkToFit="0" wrapText="0"/>
    </xf>
    <xf borderId="1" fillId="5" fontId="23" numFmtId="49" xfId="0" applyAlignment="1" applyBorder="1" applyFont="1" applyNumberFormat="1">
      <alignment readingOrder="0" shrinkToFit="0" vertical="top" wrapText="0"/>
    </xf>
    <xf borderId="1" fillId="12" fontId="44" numFmtId="0" xfId="0" applyAlignment="1" applyBorder="1" applyFont="1">
      <alignment shrinkToFit="0" wrapText="0"/>
    </xf>
    <xf borderId="1" fillId="12" fontId="44" numFmtId="164" xfId="0" applyBorder="1" applyFont="1" applyNumberFormat="1"/>
    <xf borderId="1" fillId="12" fontId="44" numFmtId="0" xfId="0" applyAlignment="1" applyBorder="1" applyFont="1">
      <alignment shrinkToFit="0" wrapText="1"/>
    </xf>
    <xf borderId="1" fillId="12" fontId="34" numFmtId="0" xfId="0" applyAlignment="1" applyBorder="1" applyFont="1">
      <alignment shrinkToFit="0" vertical="top" wrapText="1"/>
    </xf>
    <xf borderId="1" fillId="12" fontId="23" numFmtId="0" xfId="0" applyAlignment="1" applyBorder="1" applyFont="1">
      <alignment vertical="top"/>
    </xf>
    <xf borderId="1" fillId="8" fontId="44" numFmtId="0" xfId="0" applyAlignment="1" applyBorder="1" applyFont="1">
      <alignment shrinkToFit="0" wrapText="0"/>
    </xf>
    <xf borderId="1" fillId="8" fontId="34" numFmtId="0" xfId="0" applyAlignment="1" applyBorder="1" applyFont="1">
      <alignment shrinkToFit="0" vertical="top" wrapText="1"/>
    </xf>
    <xf borderId="1" fillId="3" fontId="21" numFmtId="0" xfId="0" applyBorder="1" applyFont="1"/>
    <xf borderId="1" fillId="12" fontId="44" numFmtId="0" xfId="0" applyBorder="1" applyFont="1"/>
    <xf borderId="1" fillId="4" fontId="21" numFmtId="0" xfId="0" applyAlignment="1" applyBorder="1" applyFont="1">
      <alignment horizontal="right"/>
    </xf>
    <xf borderId="1" fillId="8" fontId="34" numFmtId="0" xfId="0" applyAlignment="1" applyBorder="1" applyFont="1">
      <alignment vertical="top"/>
    </xf>
    <xf borderId="1" fillId="12" fontId="22" numFmtId="0" xfId="0" applyAlignment="1" applyBorder="1" applyFont="1">
      <alignment horizontal="right"/>
    </xf>
    <xf borderId="1" fillId="5" fontId="22" numFmtId="164" xfId="0" applyAlignment="1" applyBorder="1" applyFont="1" applyNumberFormat="1">
      <alignment horizontal="center"/>
    </xf>
    <xf borderId="1" fillId="5" fontId="22" numFmtId="0" xfId="0" applyAlignment="1" applyBorder="1" applyFont="1">
      <alignment shrinkToFit="0" wrapText="0"/>
    </xf>
    <xf borderId="1" fillId="5" fontId="22" numFmtId="0" xfId="0" applyBorder="1" applyFont="1"/>
    <xf borderId="1" fillId="5" fontId="22" numFmtId="0" xfId="0" applyAlignment="1" applyBorder="1" applyFont="1">
      <alignment horizontal="right"/>
    </xf>
    <xf borderId="1" fillId="12" fontId="32" numFmtId="0" xfId="0" applyBorder="1" applyFont="1"/>
    <xf borderId="1" fillId="12" fontId="32" numFmtId="0" xfId="0" applyBorder="1" applyFont="1"/>
    <xf borderId="1" fillId="12" fontId="32" numFmtId="164" xfId="0" applyAlignment="1" applyBorder="1" applyFont="1" applyNumberFormat="1">
      <alignment horizontal="right"/>
    </xf>
    <xf borderId="1" fillId="12" fontId="44" numFmtId="0" xfId="0" applyAlignment="1" applyBorder="1" applyFont="1">
      <alignment shrinkToFit="0" vertical="top" wrapText="1"/>
    </xf>
    <xf borderId="1" fillId="5" fontId="21" numFmtId="164" xfId="0" applyAlignment="1" applyBorder="1" applyFont="1" applyNumberFormat="1">
      <alignment horizontal="center" shrinkToFit="0" wrapText="0"/>
    </xf>
    <xf borderId="1" fillId="5" fontId="21" numFmtId="0" xfId="0" applyAlignment="1" applyBorder="1" applyFont="1">
      <alignment horizontal="right" shrinkToFit="0" wrapText="0"/>
    </xf>
    <xf borderId="1" fillId="5" fontId="23" numFmtId="0" xfId="0" applyAlignment="1" applyBorder="1" applyFont="1">
      <alignment shrinkToFit="0" wrapText="0"/>
    </xf>
    <xf borderId="1" fillId="12" fontId="50" numFmtId="0" xfId="0" applyAlignment="1" applyBorder="1" applyFont="1">
      <alignment shrinkToFit="0" wrapText="0"/>
    </xf>
    <xf borderId="1" fillId="8" fontId="51" numFmtId="0" xfId="0" applyAlignment="1" applyBorder="1" applyFont="1">
      <alignment shrinkToFit="0" vertical="top" wrapText="1"/>
    </xf>
    <xf borderId="1" fillId="8" fontId="50" numFmtId="0" xfId="0" applyAlignment="1" applyBorder="1" applyFont="1">
      <alignment shrinkToFit="0" wrapText="0"/>
    </xf>
    <xf borderId="1" fillId="5" fontId="23" numFmtId="0" xfId="0" applyAlignment="1" applyBorder="1" applyFont="1">
      <alignment horizontal="right" shrinkToFit="0" wrapText="0"/>
    </xf>
    <xf borderId="1" fillId="8" fontId="50" numFmtId="0" xfId="0" applyAlignment="1" applyBorder="1" applyFont="1">
      <alignment shrinkToFit="0" wrapText="1"/>
    </xf>
    <xf borderId="1" fillId="5" fontId="21" numFmtId="49" xfId="0" applyAlignment="1" applyBorder="1" applyFont="1" applyNumberFormat="1">
      <alignment readingOrder="0" shrinkToFit="0" wrapText="0"/>
    </xf>
    <xf borderId="1" fillId="11" fontId="21" numFmtId="49" xfId="0" applyAlignment="1" applyBorder="1" applyFont="1" applyNumberFormat="1">
      <alignment readingOrder="0" shrinkToFit="0" vertical="top" wrapText="1"/>
    </xf>
    <xf borderId="1" fillId="6" fontId="22" numFmtId="0" xfId="0" applyAlignment="1" applyBorder="1" applyFont="1">
      <alignment shrinkToFit="0" wrapText="0"/>
    </xf>
    <xf borderId="1" fillId="8" fontId="22" numFmtId="0" xfId="0" applyAlignment="1" applyBorder="1" applyFont="1">
      <alignment readingOrder="0"/>
    </xf>
    <xf borderId="1" fillId="6" fontId="21" numFmtId="164" xfId="0" applyAlignment="1" applyBorder="1" applyFont="1" applyNumberFormat="1">
      <alignment horizontal="right" shrinkToFit="0" wrapText="0"/>
    </xf>
    <xf borderId="1" fillId="8" fontId="21" numFmtId="0" xfId="0" applyBorder="1" applyFont="1"/>
    <xf borderId="1" fillId="12" fontId="22" numFmtId="166" xfId="0" applyAlignment="1" applyBorder="1" applyFont="1" applyNumberFormat="1">
      <alignment horizontal="right" shrinkToFit="0" wrapText="0"/>
    </xf>
    <xf borderId="1" fillId="6" fontId="22" numFmtId="164" xfId="0" applyAlignment="1" applyBorder="1" applyFont="1" applyNumberFormat="1">
      <alignment horizontal="right" shrinkToFit="0" wrapText="0"/>
    </xf>
    <xf borderId="1" fillId="6" fontId="22" numFmtId="49" xfId="0" applyAlignment="1" applyBorder="1" applyFont="1" applyNumberFormat="1">
      <alignment shrinkToFit="0" wrapText="1"/>
    </xf>
    <xf borderId="1" fillId="6" fontId="22" numFmtId="49" xfId="0" applyAlignment="1" applyBorder="1" applyFont="1" applyNumberFormat="1">
      <alignment readingOrder="0" shrinkToFit="0" vertical="top" wrapText="1"/>
    </xf>
    <xf borderId="1" fillId="11" fontId="21" numFmtId="164" xfId="0" applyAlignment="1" applyBorder="1" applyFont="1" applyNumberFormat="1">
      <alignment horizontal="right" shrinkToFit="0" wrapText="0"/>
    </xf>
    <xf borderId="1" fillId="6" fontId="21" numFmtId="164" xfId="0" applyAlignment="1" applyBorder="1" applyFont="1" applyNumberFormat="1">
      <alignment horizontal="right"/>
    </xf>
    <xf borderId="0" fillId="12" fontId="21" numFmtId="0" xfId="0" applyAlignment="1" applyFont="1">
      <alignment horizontal="right" shrinkToFit="0" wrapText="0"/>
    </xf>
    <xf borderId="0" fillId="0" fontId="21" numFmtId="167" xfId="0" applyAlignment="1" applyFont="1" applyNumberFormat="1">
      <alignment horizontal="center" shrinkToFit="0" wrapText="0"/>
    </xf>
    <xf borderId="0" fillId="0" fontId="21" numFmtId="0" xfId="0" applyAlignment="1" applyFont="1">
      <alignment shrinkToFit="0" wrapText="0"/>
    </xf>
    <xf borderId="0" fillId="0" fontId="23" numFmtId="0" xfId="0" applyFont="1"/>
    <xf borderId="0" fillId="0" fontId="21" numFmtId="49" xfId="0" applyAlignment="1" applyFont="1" applyNumberFormat="1">
      <alignment shrinkToFit="0" wrapText="1"/>
    </xf>
    <xf borderId="0" fillId="0" fontId="21" numFmtId="49" xfId="0" applyAlignment="1" applyFont="1" applyNumberFormat="1">
      <alignment shrinkToFit="0" vertical="top" wrapText="1"/>
    </xf>
    <xf borderId="0" fillId="12" fontId="21" numFmtId="0" xfId="0" applyAlignment="1" applyFont="1">
      <alignment shrinkToFit="0" wrapText="0"/>
    </xf>
    <xf borderId="0" fillId="12" fontId="21" numFmtId="0" xfId="0" applyAlignment="1" applyFont="1">
      <alignment shrinkToFit="0" wrapText="0"/>
    </xf>
    <xf borderId="0" fillId="12" fontId="33" numFmtId="0" xfId="0" applyFont="1"/>
    <xf borderId="0" fillId="12" fontId="23" numFmtId="0" xfId="0" applyFont="1"/>
    <xf borderId="0" fillId="12" fontId="23" numFmtId="0" xfId="0" applyFont="1"/>
    <xf borderId="0" fillId="12" fontId="23" numFmtId="164" xfId="0" applyFont="1" applyNumberFormat="1"/>
    <xf borderId="0" fillId="12" fontId="21" numFmtId="0" xfId="0" applyAlignment="1" applyFont="1">
      <alignment horizontal="center" shrinkToFit="0" wrapText="0"/>
    </xf>
    <xf borderId="0" fillId="12" fontId="21" numFmtId="164" xfId="0" applyAlignment="1" applyFont="1" applyNumberFormat="1">
      <alignment horizontal="right" shrinkToFit="0" wrapText="0"/>
    </xf>
    <xf borderId="0" fillId="13" fontId="52" numFmtId="0" xfId="0" applyAlignment="1" applyFill="1" applyFont="1">
      <alignment horizontal="center" readingOrder="0"/>
    </xf>
    <xf borderId="0" fillId="13" fontId="52" numFmtId="164" xfId="0" applyAlignment="1" applyFont="1" applyNumberFormat="1">
      <alignment horizontal="center" readingOrder="0"/>
    </xf>
    <xf borderId="0" fillId="13" fontId="52" numFmtId="0" xfId="0" applyAlignment="1" applyFont="1">
      <alignment readingOrder="0"/>
    </xf>
    <xf borderId="0" fillId="13" fontId="53" numFmtId="0" xfId="0" applyAlignment="1" applyFont="1">
      <alignment readingOrder="0"/>
    </xf>
    <xf borderId="0" fillId="13" fontId="52" numFmtId="49" xfId="0" applyAlignment="1" applyFont="1" applyNumberFormat="1">
      <alignment readingOrder="0"/>
    </xf>
    <xf borderId="0" fillId="13" fontId="54" numFmtId="0" xfId="0" applyAlignment="1" applyFont="1">
      <alignment horizontal="center" readingOrder="0"/>
    </xf>
    <xf borderId="0" fillId="13" fontId="53" numFmtId="0" xfId="0" applyAlignment="1" applyFont="1">
      <alignment horizontal="center" readingOrder="0"/>
    </xf>
    <xf borderId="0" fillId="8" fontId="13" numFmtId="0" xfId="0" applyAlignment="1" applyFont="1">
      <alignment horizontal="center" readingOrder="0"/>
    </xf>
    <xf borderId="0" fillId="8" fontId="13" numFmtId="164" xfId="0" applyAlignment="1" applyFont="1" applyNumberFormat="1">
      <alignment horizontal="center" readingOrder="0"/>
    </xf>
    <xf borderId="0" fillId="8" fontId="13" numFmtId="0" xfId="0" applyAlignment="1" applyFont="1">
      <alignment readingOrder="0"/>
    </xf>
    <xf borderId="0" fillId="8" fontId="13" numFmtId="0" xfId="0" applyAlignment="1" applyFont="1">
      <alignment horizontal="center"/>
    </xf>
    <xf borderId="0" fillId="8" fontId="13" numFmtId="164" xfId="0" applyAlignment="1" applyFont="1" applyNumberFormat="1">
      <alignment horizontal="center"/>
    </xf>
    <xf borderId="0" fillId="14" fontId="13" numFmtId="0" xfId="0" applyAlignment="1" applyFill="1" applyFont="1">
      <alignment horizontal="center" readingOrder="0"/>
    </xf>
    <xf borderId="0" fillId="14" fontId="13" numFmtId="164" xfId="0" applyAlignment="1" applyFont="1" applyNumberFormat="1">
      <alignment horizontal="center" readingOrder="0"/>
    </xf>
    <xf borderId="0" fillId="14" fontId="13" numFmtId="0" xfId="0" applyAlignment="1" applyFont="1">
      <alignment readingOrder="0"/>
    </xf>
    <xf borderId="0" fillId="14" fontId="13" numFmtId="0" xfId="0" applyAlignment="1" applyFont="1">
      <alignment horizontal="center"/>
    </xf>
    <xf borderId="0" fillId="14" fontId="13" numFmtId="164" xfId="0" applyAlignment="1" applyFont="1" applyNumberFormat="1">
      <alignment horizontal="center"/>
    </xf>
    <xf borderId="0" fillId="14" fontId="13" numFmtId="0" xfId="0" applyFont="1"/>
    <xf borderId="0" fillId="8" fontId="13" numFmtId="0" xfId="0" applyFont="1"/>
    <xf borderId="0" fillId="14" fontId="13" numFmtId="0" xfId="0" applyAlignment="1" applyFont="1">
      <alignment horizontal="left" readingOrder="0"/>
    </xf>
    <xf borderId="1" fillId="0" fontId="16" numFmtId="0" xfId="0" applyAlignment="1" applyBorder="1" applyFont="1">
      <alignment readingOrder="0"/>
    </xf>
    <xf borderId="1" fillId="0" fontId="30" numFmtId="0" xfId="0" applyAlignment="1" applyBorder="1" applyFont="1">
      <alignment readingOrder="0"/>
    </xf>
    <xf borderId="0" fillId="0" fontId="16" numFmtId="0" xfId="0" applyAlignment="1" applyFont="1">
      <alignment shrinkToFit="0" wrapText="0"/>
    </xf>
    <xf borderId="1" fillId="0" fontId="16" numFmtId="0" xfId="0" applyAlignment="1" applyBorder="1" applyFont="1">
      <alignment shrinkToFit="0" wrapText="0"/>
    </xf>
    <xf borderId="1" fillId="6" fontId="16" numFmtId="167" xfId="0" applyAlignment="1" applyBorder="1" applyFont="1" applyNumberFormat="1">
      <alignment horizontal="right" readingOrder="0" shrinkToFit="0" wrapText="0"/>
    </xf>
    <xf borderId="1" fillId="6" fontId="16" numFmtId="0" xfId="0" applyAlignment="1" applyBorder="1" applyFont="1">
      <alignment readingOrder="0"/>
    </xf>
    <xf borderId="1" fillId="6" fontId="16" numFmtId="0" xfId="0" applyAlignment="1" applyBorder="1" applyFont="1">
      <alignment horizontal="right" readingOrder="0" shrinkToFit="0" wrapText="0"/>
    </xf>
    <xf borderId="1" fillId="6" fontId="16" numFmtId="166" xfId="0" applyAlignment="1" applyBorder="1" applyFont="1" applyNumberFormat="1">
      <alignment horizontal="right" readingOrder="0" shrinkToFit="0" wrapText="0"/>
    </xf>
    <xf borderId="1" fillId="6" fontId="16" numFmtId="0" xfId="0" applyAlignment="1" applyBorder="1" applyFont="1">
      <alignment shrinkToFit="0" wrapText="0"/>
    </xf>
    <xf borderId="1" fillId="6" fontId="6" numFmtId="0" xfId="0" applyAlignment="1" applyBorder="1" applyFont="1">
      <alignment readingOrder="0"/>
    </xf>
    <xf borderId="1" fillId="6" fontId="16" numFmtId="0" xfId="0" applyBorder="1" applyFont="1"/>
    <xf borderId="1" fillId="0" fontId="16" numFmtId="0" xfId="0" applyAlignment="1" applyBorder="1" applyFont="1">
      <alignment horizontal="right" readingOrder="0" shrinkToFit="0" wrapText="0"/>
    </xf>
    <xf borderId="1" fillId="0" fontId="16" numFmtId="167" xfId="0" applyAlignment="1" applyBorder="1" applyFont="1" applyNumberFormat="1">
      <alignment horizontal="right" readingOrder="0" shrinkToFit="0" wrapText="0"/>
    </xf>
    <xf borderId="1" fillId="5" fontId="16" numFmtId="0" xfId="0" applyAlignment="1" applyBorder="1" applyFont="1">
      <alignment readingOrder="0"/>
    </xf>
    <xf borderId="1" fillId="0" fontId="16" numFmtId="0" xfId="0" applyBorder="1" applyFont="1"/>
    <xf borderId="1" fillId="5" fontId="30" numFmtId="0" xfId="0" applyAlignment="1" applyBorder="1" applyFont="1">
      <alignment readingOrder="0"/>
    </xf>
    <xf borderId="1" fillId="5" fontId="55" numFmtId="0" xfId="0" applyAlignment="1" applyBorder="1" applyFont="1">
      <alignment readingOrder="0"/>
    </xf>
    <xf borderId="1" fillId="5" fontId="6" numFmtId="0" xfId="0" applyAlignment="1" applyBorder="1" applyFont="1">
      <alignment readingOrder="0"/>
    </xf>
    <xf borderId="1" fillId="10" fontId="16" numFmtId="167" xfId="0" applyAlignment="1" applyBorder="1" applyFont="1" applyNumberFormat="1">
      <alignment horizontal="right" readingOrder="0" shrinkToFit="0" wrapText="0"/>
    </xf>
    <xf borderId="1" fillId="10" fontId="16" numFmtId="0" xfId="0" applyAlignment="1" applyBorder="1" applyFont="1">
      <alignment readingOrder="0"/>
    </xf>
    <xf borderId="1" fillId="10" fontId="16" numFmtId="0" xfId="0" applyAlignment="1" applyBorder="1" applyFont="1">
      <alignment readingOrder="0" shrinkToFit="0" wrapText="0"/>
    </xf>
    <xf borderId="1" fillId="10" fontId="16" numFmtId="0" xfId="0" applyAlignment="1" applyBorder="1" applyFont="1">
      <alignment horizontal="right" readingOrder="0" shrinkToFit="0" wrapText="0"/>
    </xf>
    <xf borderId="1" fillId="0" fontId="16" numFmtId="166" xfId="0" applyAlignment="1" applyBorder="1" applyFont="1" applyNumberFormat="1">
      <alignment horizontal="right" readingOrder="0" shrinkToFit="0" wrapText="0"/>
    </xf>
    <xf borderId="1" fillId="15" fontId="16" numFmtId="0" xfId="0" applyAlignment="1" applyBorder="1" applyFill="1" applyFont="1">
      <alignment readingOrder="0"/>
    </xf>
    <xf borderId="1" fillId="15" fontId="16" numFmtId="0" xfId="0" applyAlignment="1" applyBorder="1" applyFont="1">
      <alignment readingOrder="0" shrinkToFit="0" wrapText="0"/>
    </xf>
    <xf borderId="1" fillId="0" fontId="16" numFmtId="166" xfId="0" applyAlignment="1" applyBorder="1" applyFont="1" applyNumberFormat="1">
      <alignment readingOrder="0"/>
    </xf>
    <xf borderId="1" fillId="5" fontId="16" numFmtId="167" xfId="0" applyAlignment="1" applyBorder="1" applyFont="1" applyNumberFormat="1">
      <alignment horizontal="right" readingOrder="0" shrinkToFit="0" wrapText="0"/>
    </xf>
    <xf borderId="1" fillId="5" fontId="16" numFmtId="0" xfId="0" applyAlignment="1" applyBorder="1" applyFont="1">
      <alignment readingOrder="0" shrinkToFit="0" wrapText="0"/>
    </xf>
    <xf borderId="1" fillId="5" fontId="16" numFmtId="0" xfId="0" applyAlignment="1" applyBorder="1" applyFont="1">
      <alignment horizontal="right" readingOrder="0" shrinkToFit="0" wrapText="0"/>
    </xf>
    <xf borderId="1" fillId="6" fontId="56" numFmtId="0" xfId="0" applyAlignment="1" applyBorder="1" applyFont="1">
      <alignment readingOrder="0"/>
    </xf>
    <xf borderId="1" fillId="6" fontId="30" numFmtId="0" xfId="0" applyAlignment="1" applyBorder="1" applyFont="1">
      <alignment readingOrder="0"/>
    </xf>
    <xf borderId="1" fillId="16" fontId="16" numFmtId="167" xfId="0" applyAlignment="1" applyBorder="1" applyFill="1" applyFont="1" applyNumberFormat="1">
      <alignment horizontal="right" readingOrder="0" shrinkToFit="0" wrapText="0"/>
    </xf>
    <xf borderId="1" fillId="16" fontId="16" numFmtId="0" xfId="0" applyAlignment="1" applyBorder="1" applyFont="1">
      <alignment readingOrder="0"/>
    </xf>
    <xf borderId="1" fillId="16" fontId="16" numFmtId="0" xfId="0" applyAlignment="1" applyBorder="1" applyFont="1">
      <alignment readingOrder="0" shrinkToFit="0" wrapText="0"/>
    </xf>
    <xf borderId="1" fillId="16" fontId="16" numFmtId="0" xfId="0" applyAlignment="1" applyBorder="1" applyFont="1">
      <alignment horizontal="right" readingOrder="0" shrinkToFit="0" wrapText="0"/>
    </xf>
    <xf borderId="1" fillId="0" fontId="16" numFmtId="168" xfId="0" applyAlignment="1" applyBorder="1" applyFont="1" applyNumberFormat="1">
      <alignment horizontal="right" readingOrder="0" shrinkToFit="0" wrapText="0"/>
    </xf>
    <xf borderId="1" fillId="0" fontId="16" numFmtId="169" xfId="0" applyAlignment="1" applyBorder="1" applyFont="1" applyNumberFormat="1">
      <alignment horizontal="right" readingOrder="0" shrinkToFit="0" wrapText="0"/>
    </xf>
    <xf borderId="1" fillId="6" fontId="16" numFmtId="11" xfId="0" applyAlignment="1" applyBorder="1" applyFont="1" applyNumberFormat="1">
      <alignment horizontal="right" readingOrder="0" shrinkToFit="0" wrapText="0"/>
    </xf>
    <xf borderId="1" fillId="0" fontId="6" numFmtId="0" xfId="0" applyAlignment="1" applyBorder="1" applyFont="1">
      <alignment readingOrder="0"/>
    </xf>
    <xf borderId="1" fillId="10" fontId="16" numFmtId="0" xfId="0" applyAlignment="1" applyBorder="1" applyFont="1">
      <alignment shrinkToFit="0" wrapText="0"/>
    </xf>
    <xf borderId="1" fillId="5" fontId="16" numFmtId="166" xfId="0" applyAlignment="1" applyBorder="1" applyFont="1" applyNumberFormat="1">
      <alignment horizontal="right" readingOrder="0" shrinkToFit="0" wrapText="0"/>
    </xf>
    <xf borderId="1" fillId="6" fontId="49" numFmtId="0" xfId="0" applyAlignment="1" applyBorder="1" applyFont="1">
      <alignment readingOrder="0"/>
    </xf>
    <xf borderId="1" fillId="6" fontId="57" numFmtId="0" xfId="0" applyAlignment="1" applyBorder="1" applyFont="1">
      <alignment readingOrder="0"/>
    </xf>
    <xf borderId="1" fillId="6" fontId="58" numFmtId="0" xfId="0" applyAlignment="1" applyBorder="1" applyFont="1">
      <alignment readingOrder="0"/>
    </xf>
    <xf borderId="1" fillId="7" fontId="16" numFmtId="0" xfId="0" applyAlignment="1" applyBorder="1" applyFont="1">
      <alignment horizontal="right" readingOrder="0" shrinkToFit="0" wrapText="0"/>
    </xf>
    <xf borderId="1" fillId="7" fontId="16" numFmtId="167" xfId="0" applyAlignment="1" applyBorder="1" applyFont="1" applyNumberFormat="1">
      <alignment horizontal="right" readingOrder="0" shrinkToFit="0" wrapText="0"/>
    </xf>
    <xf borderId="1" fillId="7" fontId="16" numFmtId="0" xfId="0" applyAlignment="1" applyBorder="1" applyFont="1">
      <alignment readingOrder="0"/>
    </xf>
    <xf borderId="1" fillId="7" fontId="16" numFmtId="0" xfId="0" applyAlignment="1" applyBorder="1" applyFont="1">
      <alignment readingOrder="0" shrinkToFit="0" wrapText="0"/>
    </xf>
    <xf borderId="1" fillId="10" fontId="6" numFmtId="0" xfId="0" applyAlignment="1" applyBorder="1" applyFont="1">
      <alignment readingOrder="0"/>
    </xf>
    <xf borderId="1" fillId="7" fontId="16" numFmtId="166" xfId="0" applyAlignment="1" applyBorder="1" applyFont="1" applyNumberFormat="1">
      <alignment horizontal="right" readingOrder="0" shrinkToFit="0" wrapText="0"/>
    </xf>
    <xf borderId="1" fillId="0" fontId="56" numFmtId="0" xfId="0" applyAlignment="1" applyBorder="1" applyFont="1">
      <alignment readingOrder="0"/>
    </xf>
    <xf borderId="1" fillId="5" fontId="16" numFmtId="0" xfId="0" applyBorder="1" applyFont="1"/>
    <xf borderId="1" fillId="0" fontId="8" numFmtId="0" xfId="0" applyAlignment="1" applyBorder="1" applyFont="1">
      <alignment readingOrder="0"/>
    </xf>
    <xf borderId="1" fillId="6" fontId="59" numFmtId="0" xfId="0" applyAlignment="1" applyBorder="1" applyFont="1">
      <alignment readingOrder="0"/>
    </xf>
    <xf borderId="1" fillId="0" fontId="10" numFmtId="0" xfId="0" applyAlignment="1" applyBorder="1" applyFont="1">
      <alignment shrinkToFit="0" wrapText="0"/>
    </xf>
    <xf borderId="1" fillId="17" fontId="16" numFmtId="0" xfId="0" applyAlignment="1" applyBorder="1" applyFill="1" applyFont="1">
      <alignment readingOrder="0" shrinkToFit="0" wrapText="0"/>
    </xf>
    <xf borderId="1" fillId="0" fontId="16" numFmtId="0" xfId="0" applyAlignment="1" applyBorder="1" applyFont="1">
      <alignment horizontal="center" readingOrder="0" shrinkToFit="0" vertical="center" wrapText="0"/>
    </xf>
    <xf borderId="1" fillId="0" fontId="16" numFmtId="166" xfId="0" applyAlignment="1" applyBorder="1" applyFont="1" applyNumberFormat="1">
      <alignment readingOrder="0" shrinkToFit="0" vertical="center" wrapText="0"/>
    </xf>
    <xf borderId="1" fillId="6" fontId="60" numFmtId="0" xfId="0" applyAlignment="1" applyBorder="1" applyFont="1">
      <alignment readingOrder="0"/>
    </xf>
    <xf borderId="1" fillId="6" fontId="8" numFmtId="0" xfId="0" applyAlignment="1" applyBorder="1" applyFont="1">
      <alignment readingOrder="0"/>
    </xf>
    <xf borderId="1" fillId="6" fontId="8" numFmtId="0" xfId="0" applyAlignment="1" applyBorder="1" applyFont="1">
      <alignment readingOrder="0" shrinkToFit="0" wrapText="0"/>
    </xf>
    <xf borderId="35" fillId="6" fontId="16" numFmtId="0" xfId="0" applyAlignment="1" applyBorder="1" applyFont="1">
      <alignment horizontal="right" readingOrder="0" shrinkToFit="0" wrapText="0"/>
    </xf>
    <xf borderId="1" fillId="0" fontId="6" numFmtId="0" xfId="0" applyBorder="1" applyFont="1"/>
    <xf borderId="1" fillId="6" fontId="6" numFmtId="0" xfId="0" applyAlignment="1" applyBorder="1" applyFont="1">
      <alignment horizontal="right" readingOrder="0" shrinkToFit="0" wrapText="0"/>
    </xf>
    <xf borderId="1" fillId="6" fontId="6" numFmtId="167" xfId="0" applyAlignment="1" applyBorder="1" applyFont="1" applyNumberFormat="1">
      <alignment horizontal="right" readingOrder="0" shrinkToFit="0" wrapText="0"/>
    </xf>
    <xf borderId="1" fillId="6" fontId="6" numFmtId="0" xfId="0" applyAlignment="1" applyBorder="1" applyFont="1">
      <alignment readingOrder="0" shrinkToFit="0" wrapText="0"/>
    </xf>
    <xf borderId="1" fillId="6" fontId="40" numFmtId="0" xfId="0" applyAlignment="1" applyBorder="1" applyFont="1">
      <alignment horizontal="center" shrinkToFit="0" wrapText="0"/>
    </xf>
    <xf borderId="1" fillId="0" fontId="16" numFmtId="0" xfId="0" applyAlignment="1" applyBorder="1" applyFont="1">
      <alignment horizontal="left" readingOrder="0" vertical="top"/>
    </xf>
    <xf borderId="1" fillId="0" fontId="16" numFmtId="0" xfId="0" applyAlignment="1" applyBorder="1" applyFont="1">
      <alignment horizontal="left" vertical="top"/>
    </xf>
    <xf borderId="1" fillId="10" fontId="6" numFmtId="0" xfId="0" applyAlignment="1" applyBorder="1" applyFont="1">
      <alignment horizontal="right" readingOrder="0" shrinkToFit="0" wrapText="0"/>
    </xf>
    <xf borderId="1" fillId="10" fontId="6" numFmtId="166" xfId="0" applyAlignment="1" applyBorder="1" applyFont="1" applyNumberFormat="1">
      <alignment horizontal="right" readingOrder="0" shrinkToFit="0" wrapText="0"/>
    </xf>
    <xf borderId="1" fillId="10" fontId="6" numFmtId="0" xfId="0" applyAlignment="1" applyBorder="1" applyFont="1">
      <alignment readingOrder="0" shrinkToFit="0" wrapText="0"/>
    </xf>
    <xf borderId="1" fillId="10" fontId="40" numFmtId="0" xfId="0" applyAlignment="1" applyBorder="1" applyFont="1">
      <alignment horizontal="center" readingOrder="0" shrinkToFit="0" wrapText="0"/>
    </xf>
    <xf borderId="9" fillId="10" fontId="6" numFmtId="0" xfId="0" applyAlignment="1" applyBorder="1" applyFont="1">
      <alignment horizontal="right" readingOrder="0" shrinkToFit="0" wrapText="0"/>
    </xf>
    <xf borderId="36" fillId="10" fontId="6" numFmtId="167" xfId="0" applyAlignment="1" applyBorder="1" applyFont="1" applyNumberFormat="1">
      <alignment horizontal="right" readingOrder="0" shrinkToFit="0" wrapText="0"/>
    </xf>
    <xf borderId="36" fillId="10" fontId="6" numFmtId="0" xfId="0" applyAlignment="1" applyBorder="1" applyFont="1">
      <alignment readingOrder="0"/>
    </xf>
    <xf borderId="36" fillId="10" fontId="6" numFmtId="0" xfId="0" applyAlignment="1" applyBorder="1" applyFont="1">
      <alignment readingOrder="0" shrinkToFit="0" wrapText="0"/>
    </xf>
    <xf borderId="36" fillId="10" fontId="6" numFmtId="0" xfId="0" applyAlignment="1" applyBorder="1" applyFont="1">
      <alignment horizontal="right" readingOrder="0" shrinkToFit="0" wrapText="0"/>
    </xf>
    <xf borderId="36" fillId="0" fontId="6" numFmtId="0" xfId="0" applyAlignment="1" applyBorder="1" applyFont="1">
      <alignment readingOrder="0" shrinkToFit="0" wrapText="0"/>
    </xf>
    <xf borderId="36" fillId="0" fontId="6" numFmtId="0" xfId="0" applyAlignment="1" applyBorder="1" applyFont="1">
      <alignment shrinkToFit="0" wrapText="0"/>
    </xf>
    <xf borderId="36" fillId="10" fontId="40" numFmtId="0" xfId="0" applyAlignment="1" applyBorder="1" applyFont="1">
      <alignment horizontal="center" readingOrder="0" shrinkToFit="0" wrapText="0"/>
    </xf>
    <xf borderId="36" fillId="0" fontId="16" numFmtId="0" xfId="0" applyAlignment="1" applyBorder="1" applyFont="1">
      <alignment shrinkToFit="0" wrapText="0"/>
    </xf>
    <xf borderId="36" fillId="0" fontId="16" numFmtId="0" xfId="0" applyAlignment="1" applyBorder="1" applyFont="1">
      <alignment horizontal="left" vertical="top"/>
    </xf>
    <xf borderId="1" fillId="10" fontId="6" numFmtId="167" xfId="0" applyAlignment="1" applyBorder="1" applyFont="1" applyNumberFormat="1">
      <alignment horizontal="right" readingOrder="0" shrinkToFit="0" wrapText="0"/>
    </xf>
    <xf borderId="9" fillId="6" fontId="6" numFmtId="0" xfId="0" applyAlignment="1" applyBorder="1" applyFont="1">
      <alignment horizontal="right" readingOrder="0" shrinkToFit="0" wrapText="0"/>
    </xf>
    <xf borderId="36" fillId="6" fontId="6" numFmtId="167" xfId="0" applyAlignment="1" applyBorder="1" applyFont="1" applyNumberFormat="1">
      <alignment horizontal="right" readingOrder="0" shrinkToFit="0" wrapText="0"/>
    </xf>
    <xf borderId="36" fillId="6" fontId="6" numFmtId="0" xfId="0" applyAlignment="1" applyBorder="1" applyFont="1">
      <alignment readingOrder="0"/>
    </xf>
    <xf borderId="36" fillId="6" fontId="6" numFmtId="0" xfId="0" applyAlignment="1" applyBorder="1" applyFont="1">
      <alignment readingOrder="0" shrinkToFit="0" wrapText="0"/>
    </xf>
    <xf borderId="36" fillId="6" fontId="6" numFmtId="0" xfId="0" applyAlignment="1" applyBorder="1" applyFont="1">
      <alignment horizontal="right" readingOrder="0" shrinkToFit="0" wrapText="0"/>
    </xf>
    <xf borderId="36" fillId="6" fontId="31" numFmtId="0" xfId="0" applyAlignment="1" applyBorder="1" applyFont="1">
      <alignment shrinkToFit="0" wrapText="0"/>
    </xf>
    <xf borderId="36" fillId="0" fontId="30" numFmtId="0" xfId="0" applyAlignment="1" applyBorder="1" applyFont="1">
      <alignment horizontal="left" readingOrder="0" vertical="top"/>
    </xf>
    <xf borderId="1" fillId="10" fontId="31" numFmtId="0" xfId="0" applyAlignment="1" applyBorder="1" applyFont="1">
      <alignment readingOrder="0" shrinkToFit="0" wrapText="0"/>
    </xf>
    <xf borderId="1" fillId="0" fontId="6" numFmtId="169" xfId="0" applyAlignment="1" applyBorder="1" applyFont="1" applyNumberFormat="1">
      <alignment horizontal="right" readingOrder="0" shrinkToFit="0" wrapText="0"/>
    </xf>
    <xf borderId="1" fillId="0" fontId="30" numFmtId="0" xfId="0" applyAlignment="1" applyBorder="1" applyFont="1">
      <alignment horizontal="left" readingOrder="0" vertical="top"/>
    </xf>
    <xf borderId="0" fillId="0" fontId="16" numFmtId="0" xfId="0" applyAlignment="1" applyFont="1">
      <alignment readingOrder="0" shrinkToFit="0" wrapText="0"/>
    </xf>
    <xf borderId="0" fillId="0" fontId="13" numFmtId="0" xfId="0" applyAlignment="1" applyFont="1">
      <alignment readingOrder="0"/>
    </xf>
    <xf borderId="37" fillId="0" fontId="13" numFmtId="0" xfId="0" applyAlignment="1" applyBorder="1" applyFont="1">
      <alignment horizontal="center" readingOrder="0"/>
    </xf>
    <xf borderId="38" fillId="0" fontId="13" numFmtId="0" xfId="0" applyAlignment="1" applyBorder="1" applyFont="1">
      <alignment horizontal="center" readingOrder="0"/>
    </xf>
    <xf borderId="39" fillId="0" fontId="61" numFmtId="0" xfId="0" applyAlignment="1" applyBorder="1" applyFont="1">
      <alignment horizontal="center" readingOrder="0" vertical="center"/>
    </xf>
    <xf borderId="40" fillId="0" fontId="61" numFmtId="164" xfId="0" applyAlignment="1" applyBorder="1" applyFont="1" applyNumberFormat="1">
      <alignment horizontal="center" readingOrder="0" vertical="center"/>
    </xf>
    <xf borderId="0" fillId="0" fontId="13" numFmtId="164" xfId="0" applyAlignment="1" applyFont="1" applyNumberFormat="1">
      <alignment readingOrder="0"/>
    </xf>
    <xf borderId="0" fillId="0" fontId="13" numFmtId="49"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仕掛不良-style">
      <tableStyleElement dxfId="1" type="headerRow"/>
      <tableStyleElement dxfId="2" type="firstRowStripe"/>
      <tableStyleElement dxfId="3" type="secondRowStripe"/>
      <tableStyleElement dxfId="4" size="0" type="wholeTable"/>
    </tableStyle>
    <tableStyle count="2" pivot="0" name="仕掛不良-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0</xdr:row>
      <xdr:rowOff>0</xdr:rowOff>
    </xdr:from>
    <xdr:ext cx="4362450" cy="238125"/>
    <xdr:sp>
      <xdr:nvSpPr>
        <xdr:cNvPr id="3" name="Shape 3"/>
        <xdr:cNvSpPr/>
      </xdr:nvSpPr>
      <xdr:spPr>
        <a:xfrm>
          <a:off x="0" y="0"/>
          <a:ext cx="4353000" cy="230100"/>
        </a:xfrm>
        <a:prstGeom prst="rect">
          <a:avLst/>
        </a:prstGeom>
        <a:gradFill>
          <a:gsLst>
            <a:gs pos="0">
              <a:srgbClr val="FDECDB"/>
            </a:gs>
            <a:gs pos="100000">
              <a:srgbClr val="F0AA63"/>
            </a:gs>
          </a:gsLst>
          <a:path path="circle">
            <a:fillToRect b="50%" l="50%" r="50%" t="50%"/>
          </a:path>
          <a:tileRect/>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1行目:編集禁止エリア(タイトル行誤編集対策) </a:t>
          </a:r>
          <a:endParaRPr b="1" sz="1400" u="sng">
            <a:solidFill>
              <a:srgbClr val="FF0000"/>
            </a:solidFill>
          </a:endParaRPr>
        </a:p>
      </xdr:txBody>
    </xdr:sp>
    <xdr:clientData fLocksWithSheet="0"/>
  </xdr:oneCellAnchor>
  <xdr:oneCellAnchor>
    <xdr:from>
      <xdr:col>4</xdr:col>
      <xdr:colOff>952500</xdr:colOff>
      <xdr:row>0</xdr:row>
      <xdr:rowOff>9525</xdr:rowOff>
    </xdr:from>
    <xdr:ext cx="8039100" cy="219075"/>
    <xdr:sp>
      <xdr:nvSpPr>
        <xdr:cNvPr id="4" name="Shape 4"/>
        <xdr:cNvSpPr/>
      </xdr:nvSpPr>
      <xdr:spPr>
        <a:xfrm>
          <a:off x="10000" y="0"/>
          <a:ext cx="8015700" cy="210300"/>
        </a:xfrm>
        <a:prstGeom prst="rect">
          <a:avLst/>
        </a:prstGeom>
        <a:gradFill>
          <a:gsLst>
            <a:gs pos="0">
              <a:srgbClr val="FDECDB"/>
            </a:gs>
            <a:gs pos="100000">
              <a:srgbClr val="F0AA63"/>
            </a:gs>
          </a:gsLst>
          <a:path path="circle">
            <a:fillToRect b="50%" l="50%" r="50%" t="50%"/>
          </a:path>
          <a:tileRect/>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FF0000"/>
              </a:solidFill>
            </a:rPr>
            <a:t>※列変更不可、列変更/追加の場合、イントラ掲載している為、</a:t>
          </a:r>
          <a:r>
            <a:rPr b="1" lang="en-US" sz="1400" u="sng">
              <a:solidFill>
                <a:srgbClr val="FF0000"/>
              </a:solidFill>
            </a:rPr>
            <a:t>QMにも連絡が必要</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AB274" displayName="表_1" name="表_1" id="1">
  <autoFilter ref="$A$2:$AB$274"/>
  <tableColumns count="28">
    <tableColumn name="項番" id="1"/>
    <tableColumn name="受入日" id="2"/>
    <tableColumn name="作番" id="3"/>
    <tableColumn name="R作番_x000a_ランク" id="4"/>
    <tableColumn name="製品名" id="5"/>
    <tableColumn name="基板名" id="6"/>
    <tableColumn name="S/N" id="7"/>
    <tableColumn name="担当者" id="8"/>
    <tableColumn name="不良内容" id="9"/>
    <tableColumn name="進捗状況" id="10"/>
    <tableColumn name="図番" id="11"/>
    <tableColumn name="不良IC_x000a_ 不良部品" id="12"/>
    <tableColumn name="部品" id="13"/>
    <tableColumn name="製造不良コード" id="14"/>
    <tableColumn name="3課修理_x000a_ 成功：〇_x000a_ 失敗：×_x000a_ 未確認：△" id="15"/>
    <tableColumn name="3課完了日" id="16"/>
    <tableColumn name="センタ修理_x000a_ 成功：〇_x000a_ 失敗：×_x000a_ 未確認：△" id="17"/>
    <tableColumn name="完了日" id="18"/>
    <tableColumn name="外注リワーク_x000a_ 成功：〇_x000a_ 失敗：×_x000a_ 未確認：△" id="19"/>
    <tableColumn name="完了日 2" id="20"/>
    <tableColumn name="入庫_x000a_ 済：〇" id="21"/>
    <tableColumn name="完了日 3" id="22"/>
    <tableColumn name="廃棄_x000a_ 済：〇_x000a_ 保留：△_x000a_ 廃棄：×" id="23"/>
    <tableColumn name="完了日 4" id="24"/>
    <tableColumn name="仕掛戻り_x000a_ ③：3課_x000a_ ②：2課" id="25"/>
    <tableColumn name="戻り日" id="26"/>
    <tableColumn name="スケジュール_x000a_ (チェックポイント)" id="27"/>
    <tableColumn name="備考_x000a_ (進捗状況に記載されていない内容)" id="28"/>
  </tableColumns>
  <tableStyleInfo name="仕掛不良-style" showColumnStripes="0" showFirstColumn="1" showLastColumn="1" showRowStripes="1"/>
</table>
</file>

<file path=xl/tables/table2.xml><?xml version="1.0" encoding="utf-8"?>
<table xmlns="http://schemas.openxmlformats.org/spreadsheetml/2006/main" headerRowCount="0" ref="A275:AB276" displayName="Table_1" name="Table_1"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仕掛不良-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9.25"/>
    <col customWidth="1" min="3" max="3" width="22.63"/>
    <col customWidth="1" min="4" max="4" width="10.5"/>
    <col customWidth="1" min="5" max="5" width="13.13"/>
    <col customWidth="1" min="8" max="8" width="13.75"/>
    <col customWidth="1" min="9" max="9" width="44.0"/>
    <col customWidth="1" min="10" max="10" width="50.38"/>
    <col customWidth="1" min="11" max="11" width="12.0"/>
    <col customWidth="1" min="12" max="12" width="12.63"/>
    <col customWidth="1" min="13" max="13" width="23.5"/>
    <col customWidth="1" min="14" max="14" width="17.13"/>
    <col customWidth="1" min="15" max="15" width="17.5"/>
    <col customWidth="1" min="16" max="16" width="14.25"/>
    <col customWidth="1" min="17" max="17" width="17.5"/>
    <col customWidth="1" min="18" max="18" width="15.5"/>
    <col customWidth="1" min="19" max="19" width="18.75"/>
    <col customWidth="1" min="21" max="21" width="14.13"/>
    <col customWidth="1" min="22" max="22" width="13.38"/>
    <col customWidth="1" min="23" max="23" width="16.5"/>
    <col customWidth="1" min="24" max="24" width="13.75"/>
    <col customWidth="1" min="25" max="25" width="15.38"/>
    <col customWidth="1" min="26" max="26" width="14.25"/>
    <col customWidth="1" min="27" max="28" width="30.25"/>
  </cols>
  <sheetData>
    <row r="1">
      <c r="A1" s="1">
        <v>1.0</v>
      </c>
      <c r="B1" s="1">
        <v>2.0</v>
      </c>
      <c r="C1" s="2">
        <v>3.0</v>
      </c>
      <c r="D1" s="3">
        <v>4.0</v>
      </c>
      <c r="E1" s="3">
        <v>5.0</v>
      </c>
      <c r="F1" s="3">
        <v>6.0</v>
      </c>
      <c r="G1" s="3">
        <v>7.0</v>
      </c>
      <c r="H1" s="3">
        <v>8.0</v>
      </c>
      <c r="I1" s="3">
        <v>9.0</v>
      </c>
      <c r="J1" s="3">
        <v>10.0</v>
      </c>
      <c r="K1" s="3">
        <v>11.0</v>
      </c>
      <c r="L1" s="3">
        <v>12.0</v>
      </c>
      <c r="M1" s="3">
        <v>13.0</v>
      </c>
      <c r="N1" s="3">
        <v>14.0</v>
      </c>
      <c r="O1" s="3">
        <v>15.0</v>
      </c>
      <c r="P1" s="3">
        <v>16.0</v>
      </c>
      <c r="Q1" s="3">
        <v>17.0</v>
      </c>
      <c r="R1" s="3">
        <v>18.0</v>
      </c>
      <c r="S1" s="3">
        <v>19.0</v>
      </c>
      <c r="T1" s="3">
        <v>20.0</v>
      </c>
      <c r="U1" s="3">
        <v>21.0</v>
      </c>
      <c r="V1" s="3">
        <v>22.0</v>
      </c>
      <c r="W1" s="3">
        <v>23.0</v>
      </c>
      <c r="X1" s="3">
        <v>24.0</v>
      </c>
      <c r="Y1" s="3">
        <v>25.0</v>
      </c>
      <c r="Z1" s="3">
        <v>26.0</v>
      </c>
      <c r="AA1" s="3">
        <v>27.0</v>
      </c>
      <c r="AB1" s="3">
        <v>28.0</v>
      </c>
    </row>
    <row r="2" ht="22.5" customHeight="1">
      <c r="A2" s="4" t="s">
        <v>0</v>
      </c>
      <c r="B2" s="5" t="s">
        <v>1</v>
      </c>
      <c r="C2" s="6" t="s">
        <v>2</v>
      </c>
      <c r="D2" s="7" t="s">
        <v>3</v>
      </c>
      <c r="E2" s="6" t="s">
        <v>4</v>
      </c>
      <c r="F2" s="6" t="s">
        <v>5</v>
      </c>
      <c r="G2" s="6" t="s">
        <v>6</v>
      </c>
      <c r="H2" s="6" t="s">
        <v>7</v>
      </c>
      <c r="I2" s="8" t="s">
        <v>8</v>
      </c>
      <c r="J2" s="8" t="s">
        <v>9</v>
      </c>
      <c r="K2" s="6" t="s">
        <v>10</v>
      </c>
      <c r="L2" s="9" t="s">
        <v>11</v>
      </c>
      <c r="M2" s="6" t="s">
        <v>12</v>
      </c>
      <c r="N2" s="6" t="s">
        <v>13</v>
      </c>
      <c r="O2" s="10" t="s">
        <v>14</v>
      </c>
      <c r="P2" s="6" t="s">
        <v>15</v>
      </c>
      <c r="Q2" s="10" t="s">
        <v>16</v>
      </c>
      <c r="R2" s="11" t="s">
        <v>17</v>
      </c>
      <c r="S2" s="10" t="s">
        <v>18</v>
      </c>
      <c r="T2" s="11" t="s">
        <v>19</v>
      </c>
      <c r="U2" s="10" t="s">
        <v>20</v>
      </c>
      <c r="V2" s="11" t="s">
        <v>21</v>
      </c>
      <c r="W2" s="12" t="s">
        <v>22</v>
      </c>
      <c r="X2" s="11" t="s">
        <v>23</v>
      </c>
      <c r="Y2" s="9" t="s">
        <v>24</v>
      </c>
      <c r="Z2" s="11" t="s">
        <v>25</v>
      </c>
      <c r="AA2" s="13" t="s">
        <v>26</v>
      </c>
      <c r="AB2" s="13" t="s">
        <v>27</v>
      </c>
    </row>
    <row r="3" ht="22.5" customHeight="1">
      <c r="A3" s="14">
        <v>910.0</v>
      </c>
      <c r="B3" s="15">
        <v>45328.0</v>
      </c>
      <c r="C3" s="16" t="s">
        <v>28</v>
      </c>
      <c r="D3" s="17" t="s">
        <v>29</v>
      </c>
      <c r="E3" s="18" t="s">
        <v>30</v>
      </c>
      <c r="F3" s="18" t="s">
        <v>31</v>
      </c>
      <c r="G3" s="18">
        <v>1.859005E7</v>
      </c>
      <c r="H3" s="18" t="s">
        <v>32</v>
      </c>
      <c r="I3" s="19" t="s">
        <v>33</v>
      </c>
      <c r="J3" s="20" t="s">
        <v>34</v>
      </c>
      <c r="K3" s="21" t="s">
        <v>35</v>
      </c>
      <c r="L3" s="21" t="s">
        <v>36</v>
      </c>
      <c r="M3" s="21" t="s">
        <v>37</v>
      </c>
      <c r="N3" s="22"/>
      <c r="O3" s="23"/>
      <c r="P3" s="23"/>
      <c r="Q3" s="23"/>
      <c r="R3" s="23"/>
      <c r="S3" s="23"/>
      <c r="T3" s="23"/>
      <c r="U3" s="23"/>
      <c r="V3" s="24"/>
      <c r="W3" s="25"/>
      <c r="X3" s="23"/>
      <c r="Y3" s="23"/>
      <c r="Z3" s="23"/>
      <c r="AA3" s="26" t="s">
        <v>38</v>
      </c>
      <c r="AB3" s="27"/>
    </row>
    <row r="4" ht="22.5" customHeight="1">
      <c r="A4" s="14">
        <v>943.0</v>
      </c>
      <c r="B4" s="15">
        <v>45343.0</v>
      </c>
      <c r="C4" s="16" t="s">
        <v>39</v>
      </c>
      <c r="D4" s="17" t="s">
        <v>29</v>
      </c>
      <c r="E4" s="18" t="s">
        <v>40</v>
      </c>
      <c r="F4" s="18" t="s">
        <v>41</v>
      </c>
      <c r="G4" s="14">
        <v>1.8900012E7</v>
      </c>
      <c r="H4" s="18" t="s">
        <v>42</v>
      </c>
      <c r="I4" s="19" t="s">
        <v>43</v>
      </c>
      <c r="J4" s="28" t="s">
        <v>44</v>
      </c>
      <c r="K4" s="21" t="s">
        <v>45</v>
      </c>
      <c r="L4" s="29"/>
      <c r="M4" s="22"/>
      <c r="N4" s="22"/>
      <c r="O4" s="23"/>
      <c r="P4" s="23"/>
      <c r="Q4" s="23"/>
      <c r="R4" s="23"/>
      <c r="S4" s="23"/>
      <c r="T4" s="23"/>
      <c r="U4" s="23"/>
      <c r="V4" s="24"/>
      <c r="W4" s="23"/>
      <c r="X4" s="23"/>
      <c r="Y4" s="23"/>
      <c r="Z4" s="23"/>
      <c r="AA4" s="26" t="s">
        <v>46</v>
      </c>
      <c r="AB4" s="30"/>
    </row>
    <row r="5" ht="22.5" customHeight="1">
      <c r="A5" s="31">
        <v>1002.0</v>
      </c>
      <c r="B5" s="15">
        <v>45362.0</v>
      </c>
      <c r="C5" s="16" t="s">
        <v>47</v>
      </c>
      <c r="D5" s="17" t="s">
        <v>29</v>
      </c>
      <c r="E5" s="18" t="s">
        <v>48</v>
      </c>
      <c r="F5" s="18" t="s">
        <v>49</v>
      </c>
      <c r="G5" s="18" t="s">
        <v>50</v>
      </c>
      <c r="H5" s="18" t="s">
        <v>51</v>
      </c>
      <c r="I5" s="19" t="s">
        <v>52</v>
      </c>
      <c r="J5" s="32" t="s">
        <v>53</v>
      </c>
      <c r="K5" s="21" t="s">
        <v>54</v>
      </c>
      <c r="L5" s="21" t="s">
        <v>55</v>
      </c>
      <c r="M5" s="33" t="s">
        <v>56</v>
      </c>
      <c r="N5" s="22"/>
      <c r="O5" s="23"/>
      <c r="P5" s="23"/>
      <c r="Q5" s="23"/>
      <c r="R5" s="23"/>
      <c r="S5" s="23"/>
      <c r="T5" s="25">
        <v>45982.0</v>
      </c>
      <c r="U5" s="23"/>
      <c r="V5" s="24"/>
      <c r="W5" s="23"/>
      <c r="X5" s="23"/>
      <c r="Y5" s="23"/>
      <c r="Z5" s="23"/>
      <c r="AA5" s="26" t="s">
        <v>57</v>
      </c>
      <c r="AB5" s="34" t="s">
        <v>58</v>
      </c>
    </row>
    <row r="6" ht="22.5" customHeight="1">
      <c r="A6" s="35">
        <v>1004.0</v>
      </c>
      <c r="B6" s="15">
        <v>45362.0</v>
      </c>
      <c r="C6" s="16" t="s">
        <v>47</v>
      </c>
      <c r="D6" s="17" t="s">
        <v>29</v>
      </c>
      <c r="E6" s="18" t="s">
        <v>48</v>
      </c>
      <c r="F6" s="18" t="s">
        <v>49</v>
      </c>
      <c r="G6" s="18" t="s">
        <v>50</v>
      </c>
      <c r="H6" s="18" t="s">
        <v>51</v>
      </c>
      <c r="I6" s="19" t="s">
        <v>52</v>
      </c>
      <c r="J6" s="36" t="s">
        <v>59</v>
      </c>
      <c r="K6" s="21" t="s">
        <v>54</v>
      </c>
      <c r="L6" s="21" t="s">
        <v>60</v>
      </c>
      <c r="M6" s="33" t="s">
        <v>61</v>
      </c>
      <c r="N6" s="22"/>
      <c r="O6" s="21" t="s">
        <v>62</v>
      </c>
      <c r="P6" s="25">
        <v>46106.0</v>
      </c>
      <c r="Q6" s="23"/>
      <c r="R6" s="23"/>
      <c r="S6" s="21" t="s">
        <v>62</v>
      </c>
      <c r="T6" s="25">
        <v>45986.0</v>
      </c>
      <c r="U6" s="23"/>
      <c r="V6" s="24"/>
      <c r="W6" s="23"/>
      <c r="X6" s="23"/>
      <c r="Y6" s="23"/>
      <c r="Z6" s="23"/>
      <c r="AA6" s="26"/>
      <c r="AB6" s="34" t="s">
        <v>58</v>
      </c>
    </row>
    <row r="7" ht="22.5" customHeight="1">
      <c r="A7" s="14">
        <v>1005.0</v>
      </c>
      <c r="B7" s="15">
        <v>45363.0</v>
      </c>
      <c r="C7" s="16" t="s">
        <v>28</v>
      </c>
      <c r="D7" s="17" t="s">
        <v>29</v>
      </c>
      <c r="E7" s="18" t="s">
        <v>30</v>
      </c>
      <c r="F7" s="18" t="s">
        <v>31</v>
      </c>
      <c r="G7" s="18">
        <v>1.859005E7</v>
      </c>
      <c r="H7" s="18" t="s">
        <v>32</v>
      </c>
      <c r="I7" s="19" t="s">
        <v>63</v>
      </c>
      <c r="J7" s="20" t="s">
        <v>64</v>
      </c>
      <c r="K7" s="21" t="s">
        <v>35</v>
      </c>
      <c r="L7" s="21" t="s">
        <v>36</v>
      </c>
      <c r="M7" s="21" t="s">
        <v>37</v>
      </c>
      <c r="N7" s="22"/>
      <c r="O7" s="23"/>
      <c r="P7" s="23"/>
      <c r="Q7" s="23"/>
      <c r="R7" s="23"/>
      <c r="S7" s="23"/>
      <c r="T7" s="23"/>
      <c r="U7" s="23"/>
      <c r="V7" s="24"/>
      <c r="W7" s="25"/>
      <c r="X7" s="23"/>
      <c r="Y7" s="23"/>
      <c r="Z7" s="23"/>
      <c r="AA7" s="26" t="s">
        <v>38</v>
      </c>
      <c r="AB7" s="30"/>
    </row>
    <row r="8" ht="22.5" customHeight="1">
      <c r="A8" s="37">
        <v>1030.0</v>
      </c>
      <c r="B8" s="38">
        <v>45366.0</v>
      </c>
      <c r="C8" s="39" t="s">
        <v>65</v>
      </c>
      <c r="D8" s="40" t="s">
        <v>66</v>
      </c>
      <c r="E8" s="40" t="s">
        <v>67</v>
      </c>
      <c r="F8" s="18" t="s">
        <v>49</v>
      </c>
      <c r="G8" s="18" t="s">
        <v>50</v>
      </c>
      <c r="H8" s="18" t="s">
        <v>42</v>
      </c>
      <c r="I8" s="19" t="s">
        <v>68</v>
      </c>
      <c r="J8" s="41" t="s">
        <v>69</v>
      </c>
      <c r="K8" s="22"/>
      <c r="L8" s="29"/>
      <c r="M8" s="22"/>
      <c r="N8" s="22"/>
      <c r="O8" s="23"/>
      <c r="P8" s="23"/>
      <c r="Q8" s="23"/>
      <c r="R8" s="23"/>
      <c r="S8" s="23"/>
      <c r="T8" s="23"/>
      <c r="U8" s="23"/>
      <c r="V8" s="24"/>
      <c r="W8" s="23"/>
      <c r="X8" s="23"/>
      <c r="Y8" s="23"/>
      <c r="Z8" s="23"/>
      <c r="AA8" s="26" t="s">
        <v>46</v>
      </c>
      <c r="AB8" s="30"/>
    </row>
    <row r="9" ht="22.5" customHeight="1">
      <c r="A9" s="37">
        <v>1031.0</v>
      </c>
      <c r="B9" s="38">
        <v>45366.0</v>
      </c>
      <c r="C9" s="39" t="s">
        <v>65</v>
      </c>
      <c r="D9" s="40" t="s">
        <v>66</v>
      </c>
      <c r="E9" s="40" t="s">
        <v>67</v>
      </c>
      <c r="F9" s="18" t="s">
        <v>41</v>
      </c>
      <c r="G9" s="18" t="s">
        <v>50</v>
      </c>
      <c r="H9" s="18" t="s">
        <v>42</v>
      </c>
      <c r="I9" s="19" t="s">
        <v>70</v>
      </c>
      <c r="J9" s="42" t="s">
        <v>71</v>
      </c>
      <c r="K9" s="22"/>
      <c r="L9" s="29"/>
      <c r="M9" s="22"/>
      <c r="N9" s="22"/>
      <c r="O9" s="23"/>
      <c r="P9" s="23"/>
      <c r="Q9" s="23"/>
      <c r="R9" s="23"/>
      <c r="S9" s="23"/>
      <c r="T9" s="23"/>
      <c r="U9" s="23"/>
      <c r="V9" s="24"/>
      <c r="W9" s="23"/>
      <c r="X9" s="23"/>
      <c r="Y9" s="23"/>
      <c r="Z9" s="23"/>
      <c r="AA9" s="26"/>
      <c r="AB9" s="30"/>
    </row>
    <row r="10" ht="898.5" customHeight="1">
      <c r="A10" s="37">
        <v>1033.0</v>
      </c>
      <c r="B10" s="38">
        <v>45371.0</v>
      </c>
      <c r="C10" s="39" t="s">
        <v>72</v>
      </c>
      <c r="D10" s="17" t="s">
        <v>29</v>
      </c>
      <c r="E10" s="40" t="s">
        <v>73</v>
      </c>
      <c r="F10" s="18" t="s">
        <v>49</v>
      </c>
      <c r="G10" s="14">
        <v>1.6900155E7</v>
      </c>
      <c r="H10" s="18" t="s">
        <v>51</v>
      </c>
      <c r="I10" s="19" t="s">
        <v>74</v>
      </c>
      <c r="J10" s="28" t="s">
        <v>75</v>
      </c>
      <c r="K10" s="21" t="s">
        <v>76</v>
      </c>
      <c r="L10" s="43" t="s">
        <v>77</v>
      </c>
      <c r="M10" s="21" t="s">
        <v>78</v>
      </c>
      <c r="N10" s="22"/>
      <c r="O10" s="23"/>
      <c r="P10" s="23"/>
      <c r="Q10" s="23"/>
      <c r="R10" s="23"/>
      <c r="S10" s="23"/>
      <c r="T10" s="23"/>
      <c r="U10" s="23"/>
      <c r="V10" s="24"/>
      <c r="W10" s="23"/>
      <c r="X10" s="23"/>
      <c r="Y10" s="23"/>
      <c r="Z10" s="23"/>
      <c r="AA10" s="26" t="s">
        <v>79</v>
      </c>
      <c r="AB10" s="30"/>
    </row>
    <row r="11" ht="22.5" customHeight="1">
      <c r="A11" s="37">
        <v>1037.0</v>
      </c>
      <c r="B11" s="38">
        <v>45372.0</v>
      </c>
      <c r="C11" s="39" t="s">
        <v>80</v>
      </c>
      <c r="D11" s="40" t="s">
        <v>66</v>
      </c>
      <c r="E11" s="40" t="s">
        <v>73</v>
      </c>
      <c r="F11" s="18" t="s">
        <v>49</v>
      </c>
      <c r="G11" s="18" t="s">
        <v>50</v>
      </c>
      <c r="H11" s="18" t="s">
        <v>51</v>
      </c>
      <c r="I11" s="19" t="s">
        <v>81</v>
      </c>
      <c r="J11" s="28" t="s">
        <v>82</v>
      </c>
      <c r="K11" s="21" t="s">
        <v>76</v>
      </c>
      <c r="L11" s="43" t="s">
        <v>83</v>
      </c>
      <c r="M11" s="21" t="s">
        <v>78</v>
      </c>
      <c r="N11" s="22"/>
      <c r="O11" s="23"/>
      <c r="P11" s="23"/>
      <c r="Q11" s="23"/>
      <c r="R11" s="23"/>
      <c r="S11" s="23"/>
      <c r="T11" s="23"/>
      <c r="U11" s="23"/>
      <c r="V11" s="24"/>
      <c r="W11" s="23"/>
      <c r="X11" s="23"/>
      <c r="Y11" s="23"/>
      <c r="Z11" s="23"/>
      <c r="AA11" s="26" t="s">
        <v>79</v>
      </c>
      <c r="AB11" s="30"/>
    </row>
    <row r="12" ht="22.5" customHeight="1">
      <c r="A12" s="37">
        <v>1042.0</v>
      </c>
      <c r="B12" s="38">
        <v>45373.0</v>
      </c>
      <c r="C12" s="39" t="s">
        <v>80</v>
      </c>
      <c r="D12" s="40" t="s">
        <v>66</v>
      </c>
      <c r="E12" s="40" t="s">
        <v>73</v>
      </c>
      <c r="F12" s="18" t="s">
        <v>49</v>
      </c>
      <c r="G12" s="18" t="s">
        <v>50</v>
      </c>
      <c r="H12" s="18" t="s">
        <v>51</v>
      </c>
      <c r="I12" s="19" t="s">
        <v>84</v>
      </c>
      <c r="J12" s="28" t="s">
        <v>85</v>
      </c>
      <c r="K12" s="21" t="s">
        <v>76</v>
      </c>
      <c r="L12" s="43" t="s">
        <v>86</v>
      </c>
      <c r="M12" s="21" t="s">
        <v>87</v>
      </c>
      <c r="N12" s="22"/>
      <c r="O12" s="23"/>
      <c r="P12" s="23"/>
      <c r="Q12" s="23"/>
      <c r="R12" s="23"/>
      <c r="S12" s="21" t="s">
        <v>62</v>
      </c>
      <c r="T12" s="25">
        <v>46104.0</v>
      </c>
      <c r="U12" s="23"/>
      <c r="V12" s="24"/>
      <c r="W12" s="23"/>
      <c r="X12" s="23"/>
      <c r="Y12" s="23"/>
      <c r="Z12" s="23"/>
      <c r="AA12" s="26" t="s">
        <v>79</v>
      </c>
      <c r="AB12" s="30"/>
    </row>
    <row r="13" ht="22.5" customHeight="1">
      <c r="A13" s="14">
        <v>1044.0</v>
      </c>
      <c r="B13" s="15">
        <v>45373.0</v>
      </c>
      <c r="C13" s="16" t="s">
        <v>88</v>
      </c>
      <c r="D13" s="18" t="s">
        <v>29</v>
      </c>
      <c r="E13" s="18" t="s">
        <v>89</v>
      </c>
      <c r="F13" s="18" t="s">
        <v>41</v>
      </c>
      <c r="G13" s="14">
        <v>1.5831197E7</v>
      </c>
      <c r="H13" s="18" t="s">
        <v>51</v>
      </c>
      <c r="I13" s="19" t="s">
        <v>90</v>
      </c>
      <c r="J13" s="42" t="s">
        <v>91</v>
      </c>
      <c r="K13" s="21" t="s">
        <v>92</v>
      </c>
      <c r="L13" s="21" t="s">
        <v>93</v>
      </c>
      <c r="M13" s="33" t="s">
        <v>94</v>
      </c>
      <c r="N13" s="22"/>
      <c r="O13" s="23"/>
      <c r="P13" s="23"/>
      <c r="Q13" s="23"/>
      <c r="R13" s="23"/>
      <c r="S13" s="23"/>
      <c r="T13" s="23"/>
      <c r="U13" s="23"/>
      <c r="V13" s="24"/>
      <c r="W13" s="23"/>
      <c r="X13" s="23"/>
      <c r="Y13" s="23"/>
      <c r="Z13" s="23"/>
      <c r="AA13" s="44"/>
      <c r="AB13" s="30"/>
    </row>
    <row r="14" ht="22.5" customHeight="1">
      <c r="A14" s="14">
        <v>1060.0</v>
      </c>
      <c r="B14" s="15">
        <v>45386.0</v>
      </c>
      <c r="C14" s="16" t="s">
        <v>95</v>
      </c>
      <c r="D14" s="17" t="s">
        <v>29</v>
      </c>
      <c r="E14" s="18" t="s">
        <v>89</v>
      </c>
      <c r="F14" s="18" t="s">
        <v>41</v>
      </c>
      <c r="G14" s="14">
        <v>1.5831193E7</v>
      </c>
      <c r="H14" s="18" t="s">
        <v>51</v>
      </c>
      <c r="I14" s="19" t="s">
        <v>96</v>
      </c>
      <c r="J14" s="45" t="s">
        <v>97</v>
      </c>
      <c r="K14" s="21" t="s">
        <v>92</v>
      </c>
      <c r="L14" s="21" t="s">
        <v>98</v>
      </c>
      <c r="M14" s="21" t="s">
        <v>99</v>
      </c>
      <c r="N14" s="22"/>
      <c r="O14" s="23"/>
      <c r="P14" s="23"/>
      <c r="Q14" s="23"/>
      <c r="R14" s="23"/>
      <c r="S14" s="23"/>
      <c r="T14" s="23"/>
      <c r="U14" s="23"/>
      <c r="V14" s="24"/>
      <c r="W14" s="23"/>
      <c r="X14" s="23"/>
      <c r="Y14" s="23"/>
      <c r="Z14" s="23"/>
      <c r="AA14" s="44"/>
      <c r="AB14" s="30"/>
    </row>
    <row r="15" ht="22.5" customHeight="1">
      <c r="A15" s="14">
        <v>1107.0</v>
      </c>
      <c r="B15" s="15">
        <v>45392.0</v>
      </c>
      <c r="C15" s="16" t="s">
        <v>100</v>
      </c>
      <c r="D15" s="17" t="s">
        <v>66</v>
      </c>
      <c r="E15" s="18" t="s">
        <v>101</v>
      </c>
      <c r="F15" s="18" t="s">
        <v>102</v>
      </c>
      <c r="G15" s="18" t="s">
        <v>50</v>
      </c>
      <c r="H15" s="18" t="s">
        <v>103</v>
      </c>
      <c r="I15" s="19" t="s">
        <v>104</v>
      </c>
      <c r="J15" s="20" t="s">
        <v>105</v>
      </c>
      <c r="K15" s="21" t="s">
        <v>106</v>
      </c>
      <c r="L15" s="21" t="s">
        <v>107</v>
      </c>
      <c r="M15" s="21" t="s">
        <v>108</v>
      </c>
      <c r="N15" s="22"/>
      <c r="O15" s="21" t="s">
        <v>109</v>
      </c>
      <c r="P15" s="23"/>
      <c r="Q15" s="23"/>
      <c r="R15" s="23"/>
      <c r="S15" s="23"/>
      <c r="T15" s="23"/>
      <c r="U15" s="23"/>
      <c r="V15" s="24"/>
      <c r="W15" s="25"/>
      <c r="X15" s="23"/>
      <c r="Y15" s="23"/>
      <c r="Z15" s="23"/>
      <c r="AA15" s="26" t="s">
        <v>38</v>
      </c>
      <c r="AB15" s="30"/>
    </row>
    <row r="16" ht="22.5" customHeight="1">
      <c r="A16" s="14">
        <v>1119.0</v>
      </c>
      <c r="B16" s="15">
        <v>45457.0</v>
      </c>
      <c r="C16" s="16" t="s">
        <v>110</v>
      </c>
      <c r="D16" s="18" t="s">
        <v>66</v>
      </c>
      <c r="E16" s="18" t="s">
        <v>40</v>
      </c>
      <c r="F16" s="18" t="s">
        <v>111</v>
      </c>
      <c r="G16" s="46"/>
      <c r="H16" s="18" t="s">
        <v>112</v>
      </c>
      <c r="I16" s="47" t="s">
        <v>113</v>
      </c>
      <c r="J16" s="36" t="s">
        <v>114</v>
      </c>
      <c r="K16" s="21" t="s">
        <v>115</v>
      </c>
      <c r="L16" s="21" t="s">
        <v>116</v>
      </c>
      <c r="M16" s="21" t="s">
        <v>117</v>
      </c>
      <c r="N16" s="22"/>
      <c r="O16" s="23"/>
      <c r="P16" s="23"/>
      <c r="Q16" s="25"/>
      <c r="R16" s="23"/>
      <c r="S16" s="21" t="s">
        <v>62</v>
      </c>
      <c r="T16" s="25">
        <v>46073.0</v>
      </c>
      <c r="U16" s="23"/>
      <c r="V16" s="24"/>
      <c r="W16" s="23"/>
      <c r="X16" s="23"/>
      <c r="Y16" s="23"/>
      <c r="Z16" s="23"/>
      <c r="AA16" s="48"/>
      <c r="AB16" s="30"/>
    </row>
    <row r="17" ht="22.5" customHeight="1">
      <c r="A17" s="14">
        <v>1121.0</v>
      </c>
      <c r="B17" s="15">
        <v>45462.0</v>
      </c>
      <c r="C17" s="16" t="s">
        <v>118</v>
      </c>
      <c r="D17" s="18" t="s">
        <v>66</v>
      </c>
      <c r="E17" s="18" t="s">
        <v>119</v>
      </c>
      <c r="F17" s="18" t="s">
        <v>49</v>
      </c>
      <c r="G17" s="18">
        <v>1.3715229E7</v>
      </c>
      <c r="H17" s="18" t="s">
        <v>120</v>
      </c>
      <c r="I17" s="19" t="s">
        <v>121</v>
      </c>
      <c r="J17" s="49" t="s">
        <v>122</v>
      </c>
      <c r="K17" s="21" t="s">
        <v>123</v>
      </c>
      <c r="L17" s="21" t="s">
        <v>124</v>
      </c>
      <c r="M17" s="33" t="s">
        <v>125</v>
      </c>
      <c r="N17" s="22"/>
      <c r="O17" s="25"/>
      <c r="P17" s="25"/>
      <c r="Q17" s="23"/>
      <c r="R17" s="23"/>
      <c r="S17" s="23"/>
      <c r="T17" s="23"/>
      <c r="U17" s="23"/>
      <c r="V17" s="24"/>
      <c r="W17" s="23"/>
      <c r="X17" s="23"/>
      <c r="Y17" s="23"/>
      <c r="Z17" s="23"/>
      <c r="AA17" s="48"/>
      <c r="AB17" s="30"/>
    </row>
    <row r="18" ht="22.5" customHeight="1">
      <c r="A18" s="14">
        <v>1161.0</v>
      </c>
      <c r="B18" s="15">
        <v>45471.0</v>
      </c>
      <c r="C18" s="16" t="s">
        <v>126</v>
      </c>
      <c r="D18" s="18" t="s">
        <v>66</v>
      </c>
      <c r="E18" s="18" t="s">
        <v>67</v>
      </c>
      <c r="F18" s="18" t="s">
        <v>49</v>
      </c>
      <c r="G18" s="14">
        <v>1.9050233E7</v>
      </c>
      <c r="H18" s="18" t="s">
        <v>42</v>
      </c>
      <c r="I18" s="19" t="s">
        <v>127</v>
      </c>
      <c r="J18" s="42" t="s">
        <v>128</v>
      </c>
      <c r="K18" s="50" t="s">
        <v>129</v>
      </c>
      <c r="L18" s="51" t="s">
        <v>130</v>
      </c>
      <c r="M18" s="50" t="s">
        <v>131</v>
      </c>
      <c r="N18" s="22"/>
      <c r="O18" s="23"/>
      <c r="P18" s="23"/>
      <c r="Q18" s="23"/>
      <c r="R18" s="23"/>
      <c r="S18" s="23"/>
      <c r="T18" s="23"/>
      <c r="U18" s="23"/>
      <c r="V18" s="24"/>
      <c r="W18" s="23"/>
      <c r="X18" s="23"/>
      <c r="Y18" s="23"/>
      <c r="Z18" s="23"/>
      <c r="AA18" s="48"/>
      <c r="AB18" s="30"/>
    </row>
    <row r="19" ht="22.5" customHeight="1">
      <c r="A19" s="14">
        <v>1172.0</v>
      </c>
      <c r="B19" s="52">
        <v>45484.0</v>
      </c>
      <c r="C19" s="53" t="s">
        <v>132</v>
      </c>
      <c r="D19" s="54" t="s">
        <v>66</v>
      </c>
      <c r="E19" s="54" t="s">
        <v>133</v>
      </c>
      <c r="F19" s="54" t="s">
        <v>134</v>
      </c>
      <c r="G19" s="54" t="s">
        <v>50</v>
      </c>
      <c r="H19" s="54" t="s">
        <v>135</v>
      </c>
      <c r="I19" s="55" t="s">
        <v>136</v>
      </c>
      <c r="J19" s="56" t="s">
        <v>137</v>
      </c>
      <c r="K19" s="22"/>
      <c r="L19" s="57" t="s">
        <v>138</v>
      </c>
      <c r="M19" s="21" t="s">
        <v>139</v>
      </c>
      <c r="N19" s="22"/>
      <c r="O19" s="23"/>
      <c r="P19" s="23"/>
      <c r="Q19" s="23"/>
      <c r="R19" s="23"/>
      <c r="S19" s="23"/>
      <c r="T19" s="23"/>
      <c r="U19" s="23"/>
      <c r="V19" s="24"/>
      <c r="W19" s="25"/>
      <c r="X19" s="23"/>
      <c r="Y19" s="23"/>
      <c r="Z19" s="23"/>
      <c r="AA19" s="26" t="s">
        <v>140</v>
      </c>
      <c r="AB19" s="30"/>
    </row>
    <row r="20" ht="22.5" customHeight="1">
      <c r="A20" s="31">
        <v>1218.0</v>
      </c>
      <c r="B20" s="15">
        <v>45512.0</v>
      </c>
      <c r="C20" s="16" t="s">
        <v>47</v>
      </c>
      <c r="D20" s="17" t="s">
        <v>29</v>
      </c>
      <c r="E20" s="18" t="s">
        <v>48</v>
      </c>
      <c r="F20" s="18" t="s">
        <v>49</v>
      </c>
      <c r="G20" s="14">
        <v>1.469211E7</v>
      </c>
      <c r="H20" s="18" t="s">
        <v>51</v>
      </c>
      <c r="I20" s="19" t="s">
        <v>141</v>
      </c>
      <c r="J20" s="58" t="s">
        <v>142</v>
      </c>
      <c r="K20" s="21" t="s">
        <v>143</v>
      </c>
      <c r="L20" s="59"/>
      <c r="M20" s="60"/>
      <c r="N20" s="22"/>
      <c r="O20" s="21" t="s">
        <v>62</v>
      </c>
      <c r="P20" s="25">
        <v>45667.0</v>
      </c>
      <c r="Q20" s="23"/>
      <c r="R20" s="23"/>
      <c r="S20" s="23"/>
      <c r="T20" s="23"/>
      <c r="U20" s="23"/>
      <c r="V20" s="24"/>
      <c r="W20" s="23"/>
      <c r="X20" s="23"/>
      <c r="Y20" s="23"/>
      <c r="Z20" s="23"/>
      <c r="AA20" s="26" t="s">
        <v>57</v>
      </c>
      <c r="AB20" s="27" t="s">
        <v>144</v>
      </c>
    </row>
    <row r="21" ht="22.5" customHeight="1">
      <c r="A21" s="14">
        <v>1221.0</v>
      </c>
      <c r="B21" s="15">
        <v>45525.0</v>
      </c>
      <c r="C21" s="16" t="s">
        <v>145</v>
      </c>
      <c r="D21" s="18" t="s">
        <v>66</v>
      </c>
      <c r="E21" s="18" t="s">
        <v>146</v>
      </c>
      <c r="F21" s="18" t="s">
        <v>31</v>
      </c>
      <c r="G21" s="18" t="s">
        <v>50</v>
      </c>
      <c r="H21" s="18" t="s">
        <v>32</v>
      </c>
      <c r="I21" s="19" t="s">
        <v>147</v>
      </c>
      <c r="J21" s="42" t="s">
        <v>148</v>
      </c>
      <c r="K21" s="21" t="s">
        <v>35</v>
      </c>
      <c r="L21" s="57" t="s">
        <v>149</v>
      </c>
      <c r="M21" s="21" t="s">
        <v>37</v>
      </c>
      <c r="N21" s="22"/>
      <c r="O21" s="23"/>
      <c r="P21" s="23"/>
      <c r="Q21" s="23"/>
      <c r="R21" s="23"/>
      <c r="S21" s="23"/>
      <c r="T21" s="23"/>
      <c r="U21" s="23"/>
      <c r="V21" s="24"/>
      <c r="W21" s="21" t="s">
        <v>150</v>
      </c>
      <c r="X21" s="23"/>
      <c r="Y21" s="23"/>
      <c r="Z21" s="23"/>
      <c r="AA21" s="26"/>
      <c r="AB21" s="30"/>
    </row>
    <row r="22" ht="22.5" customHeight="1">
      <c r="A22" s="14">
        <v>1313.0</v>
      </c>
      <c r="B22" s="15">
        <v>45587.0</v>
      </c>
      <c r="C22" s="16" t="s">
        <v>151</v>
      </c>
      <c r="D22" s="16" t="s">
        <v>66</v>
      </c>
      <c r="E22" s="16" t="s">
        <v>152</v>
      </c>
      <c r="F22" s="18" t="s">
        <v>153</v>
      </c>
      <c r="G22" s="14">
        <v>1.672027E7</v>
      </c>
      <c r="H22" s="18" t="s">
        <v>51</v>
      </c>
      <c r="I22" s="19" t="s">
        <v>154</v>
      </c>
      <c r="J22" s="36" t="s">
        <v>155</v>
      </c>
      <c r="K22" s="16" t="s">
        <v>156</v>
      </c>
      <c r="L22" s="61" t="s">
        <v>157</v>
      </c>
      <c r="M22" s="22"/>
      <c r="N22" s="22"/>
      <c r="O22" s="21" t="s">
        <v>62</v>
      </c>
      <c r="P22" s="25">
        <v>46105.0</v>
      </c>
      <c r="Q22" s="23"/>
      <c r="R22" s="23"/>
      <c r="S22" s="23"/>
      <c r="T22" s="23"/>
      <c r="U22" s="23"/>
      <c r="V22" s="24"/>
      <c r="W22" s="23"/>
      <c r="X22" s="23"/>
      <c r="Y22" s="23"/>
      <c r="Z22" s="23"/>
      <c r="AA22" s="48"/>
      <c r="AB22" s="30"/>
    </row>
    <row r="23" ht="22.5" customHeight="1">
      <c r="A23" s="14">
        <v>1335.0</v>
      </c>
      <c r="B23" s="15">
        <v>45601.0</v>
      </c>
      <c r="C23" s="16" t="s">
        <v>158</v>
      </c>
      <c r="D23" s="18" t="s">
        <v>29</v>
      </c>
      <c r="E23" s="18" t="s">
        <v>159</v>
      </c>
      <c r="F23" s="18" t="s">
        <v>160</v>
      </c>
      <c r="G23" s="18">
        <v>1.9170506E7</v>
      </c>
      <c r="H23" s="18" t="s">
        <v>120</v>
      </c>
      <c r="I23" s="62" t="s">
        <v>161</v>
      </c>
      <c r="J23" s="63" t="s">
        <v>162</v>
      </c>
      <c r="K23" s="16" t="s">
        <v>163</v>
      </c>
      <c r="L23" s="57" t="s">
        <v>164</v>
      </c>
      <c r="M23" s="22"/>
      <c r="N23" s="22"/>
      <c r="O23" s="21" t="s">
        <v>62</v>
      </c>
      <c r="P23" s="21" t="s">
        <v>165</v>
      </c>
      <c r="Q23" s="23"/>
      <c r="R23" s="23"/>
      <c r="S23" s="21" t="s">
        <v>62</v>
      </c>
      <c r="T23" s="21" t="s">
        <v>166</v>
      </c>
      <c r="U23" s="23"/>
      <c r="V23" s="24"/>
      <c r="W23" s="23"/>
      <c r="X23" s="23"/>
      <c r="Y23" s="23"/>
      <c r="Z23" s="23"/>
      <c r="AA23" s="48"/>
      <c r="AB23" s="30"/>
    </row>
    <row r="24" ht="22.5" customHeight="1">
      <c r="A24" s="14">
        <v>1336.0</v>
      </c>
      <c r="B24" s="15">
        <v>45601.0</v>
      </c>
      <c r="C24" s="16" t="s">
        <v>167</v>
      </c>
      <c r="D24" s="18" t="s">
        <v>29</v>
      </c>
      <c r="E24" s="18" t="s">
        <v>159</v>
      </c>
      <c r="F24" s="18" t="s">
        <v>160</v>
      </c>
      <c r="G24" s="46"/>
      <c r="H24" s="18" t="s">
        <v>120</v>
      </c>
      <c r="I24" s="19" t="s">
        <v>168</v>
      </c>
      <c r="J24" s="28" t="s">
        <v>169</v>
      </c>
      <c r="K24" s="64"/>
      <c r="L24" s="59"/>
      <c r="M24" s="22"/>
      <c r="N24" s="22"/>
      <c r="O24" s="23"/>
      <c r="P24" s="23"/>
      <c r="Q24" s="23"/>
      <c r="R24" s="23"/>
      <c r="S24" s="23"/>
      <c r="T24" s="23"/>
      <c r="U24" s="23"/>
      <c r="V24" s="24"/>
      <c r="W24" s="23"/>
      <c r="X24" s="23"/>
      <c r="Y24" s="23"/>
      <c r="Z24" s="23"/>
      <c r="AA24" s="48"/>
      <c r="AB24" s="30"/>
    </row>
    <row r="25" ht="22.5" customHeight="1">
      <c r="A25" s="14">
        <v>1337.0</v>
      </c>
      <c r="B25" s="15">
        <v>45601.0</v>
      </c>
      <c r="C25" s="16" t="s">
        <v>167</v>
      </c>
      <c r="D25" s="18" t="s">
        <v>29</v>
      </c>
      <c r="E25" s="18" t="s">
        <v>159</v>
      </c>
      <c r="F25" s="18" t="s">
        <v>160</v>
      </c>
      <c r="G25" s="46"/>
      <c r="H25" s="18" t="s">
        <v>120</v>
      </c>
      <c r="I25" s="19" t="s">
        <v>170</v>
      </c>
      <c r="J25" s="28" t="s">
        <v>169</v>
      </c>
      <c r="K25" s="64"/>
      <c r="L25" s="59"/>
      <c r="M25" s="22"/>
      <c r="N25" s="22"/>
      <c r="O25" s="23"/>
      <c r="P25" s="23"/>
      <c r="Q25" s="23"/>
      <c r="R25" s="23"/>
      <c r="S25" s="23"/>
      <c r="T25" s="23"/>
      <c r="U25" s="23"/>
      <c r="V25" s="24"/>
      <c r="W25" s="23"/>
      <c r="X25" s="23"/>
      <c r="Y25" s="23"/>
      <c r="Z25" s="23"/>
      <c r="AA25" s="48"/>
      <c r="AB25" s="30"/>
    </row>
    <row r="26" ht="22.5" customHeight="1">
      <c r="A26" s="14">
        <v>1338.0</v>
      </c>
      <c r="B26" s="15">
        <v>45601.0</v>
      </c>
      <c r="C26" s="16" t="s">
        <v>171</v>
      </c>
      <c r="D26" s="18" t="s">
        <v>66</v>
      </c>
      <c r="E26" s="18" t="s">
        <v>159</v>
      </c>
      <c r="F26" s="18" t="s">
        <v>160</v>
      </c>
      <c r="G26" s="46"/>
      <c r="H26" s="18" t="s">
        <v>120</v>
      </c>
      <c r="I26" s="62" t="s">
        <v>172</v>
      </c>
      <c r="J26" s="65" t="s">
        <v>173</v>
      </c>
      <c r="K26" s="16" t="s">
        <v>163</v>
      </c>
      <c r="L26" s="66"/>
      <c r="M26" s="22"/>
      <c r="N26" s="22"/>
      <c r="O26" s="23"/>
      <c r="P26" s="23"/>
      <c r="Q26" s="23"/>
      <c r="R26" s="23"/>
      <c r="S26" s="21" t="s">
        <v>174</v>
      </c>
      <c r="T26" s="21" t="s">
        <v>166</v>
      </c>
      <c r="U26" s="23"/>
      <c r="V26" s="24"/>
      <c r="W26" s="23"/>
      <c r="X26" s="23"/>
      <c r="Y26" s="23"/>
      <c r="Z26" s="23"/>
      <c r="AA26" s="48"/>
      <c r="AB26" s="30"/>
    </row>
    <row r="27" ht="22.5" customHeight="1">
      <c r="A27" s="14">
        <v>1339.0</v>
      </c>
      <c r="B27" s="15">
        <v>45601.0</v>
      </c>
      <c r="C27" s="16" t="s">
        <v>171</v>
      </c>
      <c r="D27" s="18" t="s">
        <v>66</v>
      </c>
      <c r="E27" s="18" t="s">
        <v>159</v>
      </c>
      <c r="F27" s="18" t="s">
        <v>160</v>
      </c>
      <c r="G27" s="18">
        <v>1.91709E7</v>
      </c>
      <c r="H27" s="18" t="s">
        <v>120</v>
      </c>
      <c r="I27" s="62" t="s">
        <v>175</v>
      </c>
      <c r="J27" s="63" t="s">
        <v>176</v>
      </c>
      <c r="K27" s="16" t="s">
        <v>163</v>
      </c>
      <c r="L27" s="57" t="s">
        <v>164</v>
      </c>
      <c r="M27" s="22"/>
      <c r="N27" s="22"/>
      <c r="O27" s="21" t="s">
        <v>62</v>
      </c>
      <c r="P27" s="21" t="s">
        <v>177</v>
      </c>
      <c r="Q27" s="23"/>
      <c r="R27" s="23"/>
      <c r="S27" s="21" t="s">
        <v>62</v>
      </c>
      <c r="T27" s="21" t="s">
        <v>166</v>
      </c>
      <c r="U27" s="23"/>
      <c r="V27" s="24"/>
      <c r="W27" s="23"/>
      <c r="X27" s="23"/>
      <c r="Y27" s="23"/>
      <c r="Z27" s="23"/>
      <c r="AA27" s="48"/>
      <c r="AB27" s="30"/>
    </row>
    <row r="28" ht="22.5" customHeight="1">
      <c r="A28" s="14">
        <v>1340.0</v>
      </c>
      <c r="B28" s="15">
        <v>45601.0</v>
      </c>
      <c r="C28" s="16" t="s">
        <v>171</v>
      </c>
      <c r="D28" s="18" t="s">
        <v>66</v>
      </c>
      <c r="E28" s="18" t="s">
        <v>159</v>
      </c>
      <c r="F28" s="18" t="s">
        <v>160</v>
      </c>
      <c r="G28" s="67"/>
      <c r="H28" s="18" t="s">
        <v>120</v>
      </c>
      <c r="I28" s="62" t="s">
        <v>175</v>
      </c>
      <c r="J28" s="65" t="s">
        <v>178</v>
      </c>
      <c r="K28" s="16" t="s">
        <v>163</v>
      </c>
      <c r="L28" s="66"/>
      <c r="M28" s="22"/>
      <c r="N28" s="22"/>
      <c r="O28" s="23"/>
      <c r="P28" s="23"/>
      <c r="Q28" s="23"/>
      <c r="R28" s="23"/>
      <c r="S28" s="21" t="s">
        <v>174</v>
      </c>
      <c r="T28" s="21" t="s">
        <v>166</v>
      </c>
      <c r="U28" s="23"/>
      <c r="V28" s="24"/>
      <c r="W28" s="23"/>
      <c r="X28" s="23"/>
      <c r="Y28" s="23"/>
      <c r="Z28" s="23"/>
      <c r="AA28" s="48"/>
      <c r="AB28" s="30"/>
    </row>
    <row r="29" ht="22.5" customHeight="1">
      <c r="A29" s="14">
        <v>1341.0</v>
      </c>
      <c r="B29" s="15">
        <v>45601.0</v>
      </c>
      <c r="C29" s="16" t="s">
        <v>171</v>
      </c>
      <c r="D29" s="18" t="s">
        <v>66</v>
      </c>
      <c r="E29" s="18" t="s">
        <v>159</v>
      </c>
      <c r="F29" s="18" t="s">
        <v>160</v>
      </c>
      <c r="G29" s="18">
        <v>1.9170901E7</v>
      </c>
      <c r="H29" s="18" t="s">
        <v>120</v>
      </c>
      <c r="I29" s="62" t="s">
        <v>175</v>
      </c>
      <c r="J29" s="63" t="s">
        <v>179</v>
      </c>
      <c r="K29" s="16" t="s">
        <v>163</v>
      </c>
      <c r="L29" s="57" t="s">
        <v>164</v>
      </c>
      <c r="M29" s="22"/>
      <c r="N29" s="22"/>
      <c r="O29" s="21" t="s">
        <v>62</v>
      </c>
      <c r="P29" s="21" t="s">
        <v>177</v>
      </c>
      <c r="Q29" s="23"/>
      <c r="R29" s="23"/>
      <c r="S29" s="21" t="s">
        <v>62</v>
      </c>
      <c r="T29" s="21" t="s">
        <v>166</v>
      </c>
      <c r="U29" s="23"/>
      <c r="V29" s="24"/>
      <c r="W29" s="23"/>
      <c r="X29" s="23"/>
      <c r="Y29" s="23"/>
      <c r="Z29" s="23"/>
      <c r="AA29" s="48"/>
      <c r="AB29" s="30"/>
    </row>
    <row r="30" ht="22.5" customHeight="1">
      <c r="A30" s="14">
        <v>1342.0</v>
      </c>
      <c r="B30" s="15">
        <v>45601.0</v>
      </c>
      <c r="C30" s="16" t="s">
        <v>171</v>
      </c>
      <c r="D30" s="18" t="s">
        <v>66</v>
      </c>
      <c r="E30" s="18" t="s">
        <v>159</v>
      </c>
      <c r="F30" s="18" t="s">
        <v>160</v>
      </c>
      <c r="G30" s="18">
        <v>1.9170902E7</v>
      </c>
      <c r="H30" s="18" t="s">
        <v>120</v>
      </c>
      <c r="I30" s="62" t="s">
        <v>175</v>
      </c>
      <c r="J30" s="63" t="s">
        <v>180</v>
      </c>
      <c r="K30" s="16" t="s">
        <v>163</v>
      </c>
      <c r="L30" s="57" t="s">
        <v>164</v>
      </c>
      <c r="M30" s="22"/>
      <c r="N30" s="22"/>
      <c r="O30" s="21" t="s">
        <v>62</v>
      </c>
      <c r="P30" s="21" t="s">
        <v>177</v>
      </c>
      <c r="Q30" s="23"/>
      <c r="R30" s="23"/>
      <c r="S30" s="21" t="s">
        <v>62</v>
      </c>
      <c r="T30" s="21" t="s">
        <v>166</v>
      </c>
      <c r="U30" s="23"/>
      <c r="V30" s="24"/>
      <c r="W30" s="23"/>
      <c r="X30" s="23"/>
      <c r="Y30" s="23"/>
      <c r="Z30" s="23"/>
      <c r="AA30" s="48"/>
      <c r="AB30" s="30"/>
    </row>
    <row r="31" ht="22.5" customHeight="1">
      <c r="A31" s="14">
        <v>1343.0</v>
      </c>
      <c r="B31" s="15">
        <v>45601.0</v>
      </c>
      <c r="C31" s="16" t="s">
        <v>171</v>
      </c>
      <c r="D31" s="18" t="s">
        <v>66</v>
      </c>
      <c r="E31" s="18" t="s">
        <v>159</v>
      </c>
      <c r="F31" s="18" t="s">
        <v>160</v>
      </c>
      <c r="G31" s="18">
        <v>1.9170903E7</v>
      </c>
      <c r="H31" s="18" t="s">
        <v>120</v>
      </c>
      <c r="I31" s="62" t="s">
        <v>175</v>
      </c>
      <c r="J31" s="63" t="s">
        <v>181</v>
      </c>
      <c r="K31" s="16" t="s">
        <v>163</v>
      </c>
      <c r="L31" s="57" t="s">
        <v>164</v>
      </c>
      <c r="M31" s="22"/>
      <c r="N31" s="22"/>
      <c r="O31" s="21" t="s">
        <v>62</v>
      </c>
      <c r="P31" s="21" t="s">
        <v>177</v>
      </c>
      <c r="Q31" s="23"/>
      <c r="R31" s="23"/>
      <c r="S31" s="21" t="s">
        <v>62</v>
      </c>
      <c r="T31" s="21" t="s">
        <v>166</v>
      </c>
      <c r="U31" s="23"/>
      <c r="V31" s="24"/>
      <c r="W31" s="23"/>
      <c r="X31" s="23"/>
      <c r="Y31" s="23"/>
      <c r="Z31" s="23"/>
      <c r="AA31" s="48"/>
      <c r="AB31" s="30"/>
    </row>
    <row r="32" ht="22.5" customHeight="1">
      <c r="A32" s="14">
        <v>1344.0</v>
      </c>
      <c r="B32" s="15">
        <v>45601.0</v>
      </c>
      <c r="C32" s="16" t="s">
        <v>171</v>
      </c>
      <c r="D32" s="18" t="s">
        <v>66</v>
      </c>
      <c r="E32" s="18" t="s">
        <v>159</v>
      </c>
      <c r="F32" s="18" t="s">
        <v>160</v>
      </c>
      <c r="G32" s="18">
        <v>1.9170904E7</v>
      </c>
      <c r="H32" s="18" t="s">
        <v>120</v>
      </c>
      <c r="I32" s="62" t="s">
        <v>175</v>
      </c>
      <c r="J32" s="63" t="s">
        <v>182</v>
      </c>
      <c r="K32" s="16" t="s">
        <v>163</v>
      </c>
      <c r="L32" s="57" t="s">
        <v>164</v>
      </c>
      <c r="M32" s="22"/>
      <c r="N32" s="22"/>
      <c r="O32" s="21" t="s">
        <v>62</v>
      </c>
      <c r="P32" s="21" t="s">
        <v>177</v>
      </c>
      <c r="Q32" s="23"/>
      <c r="R32" s="23"/>
      <c r="S32" s="21" t="s">
        <v>62</v>
      </c>
      <c r="T32" s="21" t="s">
        <v>166</v>
      </c>
      <c r="U32" s="23"/>
      <c r="V32" s="24"/>
      <c r="W32" s="23"/>
      <c r="X32" s="23"/>
      <c r="Y32" s="23"/>
      <c r="Z32" s="23"/>
      <c r="AA32" s="48"/>
      <c r="AB32" s="30"/>
    </row>
    <row r="33" ht="22.5" customHeight="1">
      <c r="A33" s="14">
        <v>1345.0</v>
      </c>
      <c r="B33" s="15">
        <v>45601.0</v>
      </c>
      <c r="C33" s="16" t="s">
        <v>171</v>
      </c>
      <c r="D33" s="18" t="s">
        <v>66</v>
      </c>
      <c r="E33" s="18" t="s">
        <v>159</v>
      </c>
      <c r="F33" s="18" t="s">
        <v>160</v>
      </c>
      <c r="G33" s="18">
        <v>1.9170905E7</v>
      </c>
      <c r="H33" s="18" t="s">
        <v>120</v>
      </c>
      <c r="I33" s="62" t="s">
        <v>175</v>
      </c>
      <c r="J33" s="63" t="s">
        <v>183</v>
      </c>
      <c r="K33" s="16" t="s">
        <v>163</v>
      </c>
      <c r="L33" s="57" t="s">
        <v>164</v>
      </c>
      <c r="M33" s="22"/>
      <c r="N33" s="22"/>
      <c r="O33" s="21" t="s">
        <v>62</v>
      </c>
      <c r="P33" s="21" t="s">
        <v>177</v>
      </c>
      <c r="Q33" s="23"/>
      <c r="R33" s="23"/>
      <c r="S33" s="21" t="s">
        <v>62</v>
      </c>
      <c r="T33" s="21" t="s">
        <v>166</v>
      </c>
      <c r="U33" s="23"/>
      <c r="V33" s="24"/>
      <c r="W33" s="23"/>
      <c r="X33" s="23"/>
      <c r="Y33" s="23"/>
      <c r="Z33" s="23"/>
      <c r="AA33" s="48"/>
      <c r="AB33" s="30"/>
    </row>
    <row r="34" ht="22.5" customHeight="1">
      <c r="A34" s="14">
        <v>1346.0</v>
      </c>
      <c r="B34" s="15">
        <v>45601.0</v>
      </c>
      <c r="C34" s="16" t="s">
        <v>171</v>
      </c>
      <c r="D34" s="18" t="s">
        <v>66</v>
      </c>
      <c r="E34" s="18" t="s">
        <v>159</v>
      </c>
      <c r="F34" s="18" t="s">
        <v>160</v>
      </c>
      <c r="G34" s="46"/>
      <c r="H34" s="18" t="s">
        <v>120</v>
      </c>
      <c r="I34" s="68" t="s">
        <v>184</v>
      </c>
      <c r="J34" s="69"/>
      <c r="K34" s="64"/>
      <c r="L34" s="59"/>
      <c r="M34" s="22"/>
      <c r="N34" s="22"/>
      <c r="O34" s="23"/>
      <c r="P34" s="23"/>
      <c r="Q34" s="23"/>
      <c r="R34" s="23"/>
      <c r="S34" s="23"/>
      <c r="T34" s="23"/>
      <c r="U34" s="23"/>
      <c r="V34" s="24"/>
      <c r="W34" s="23"/>
      <c r="X34" s="23"/>
      <c r="Y34" s="23"/>
      <c r="Z34" s="23"/>
      <c r="AA34" s="48"/>
      <c r="AB34" s="30"/>
    </row>
    <row r="35" ht="22.5" customHeight="1">
      <c r="A35" s="14">
        <v>1347.0</v>
      </c>
      <c r="B35" s="15">
        <v>45601.0</v>
      </c>
      <c r="C35" s="16" t="s">
        <v>171</v>
      </c>
      <c r="D35" s="18" t="s">
        <v>66</v>
      </c>
      <c r="E35" s="18" t="s">
        <v>159</v>
      </c>
      <c r="F35" s="18" t="s">
        <v>160</v>
      </c>
      <c r="G35" s="46"/>
      <c r="H35" s="18" t="s">
        <v>120</v>
      </c>
      <c r="I35" s="19" t="s">
        <v>185</v>
      </c>
      <c r="J35" s="70" t="s">
        <v>186</v>
      </c>
      <c r="K35" s="64"/>
      <c r="L35" s="59"/>
      <c r="M35" s="22"/>
      <c r="N35" s="22"/>
      <c r="O35" s="23"/>
      <c r="P35" s="23"/>
      <c r="Q35" s="23"/>
      <c r="R35" s="23"/>
      <c r="S35" s="23"/>
      <c r="T35" s="23"/>
      <c r="U35" s="23"/>
      <c r="V35" s="24"/>
      <c r="W35" s="23"/>
      <c r="X35" s="23"/>
      <c r="Y35" s="23"/>
      <c r="Z35" s="23"/>
      <c r="AA35" s="48"/>
      <c r="AB35" s="30"/>
    </row>
    <row r="36" ht="22.5" customHeight="1">
      <c r="A36" s="14">
        <v>1348.0</v>
      </c>
      <c r="B36" s="15">
        <v>45601.0</v>
      </c>
      <c r="C36" s="16" t="s">
        <v>171</v>
      </c>
      <c r="D36" s="18" t="s">
        <v>66</v>
      </c>
      <c r="E36" s="18" t="s">
        <v>159</v>
      </c>
      <c r="F36" s="18" t="s">
        <v>160</v>
      </c>
      <c r="G36" s="46"/>
      <c r="H36" s="18" t="s">
        <v>120</v>
      </c>
      <c r="I36" s="19" t="s">
        <v>187</v>
      </c>
      <c r="J36" s="42" t="s">
        <v>186</v>
      </c>
      <c r="K36" s="64"/>
      <c r="L36" s="59"/>
      <c r="M36" s="22"/>
      <c r="N36" s="22"/>
      <c r="O36" s="23"/>
      <c r="P36" s="23"/>
      <c r="Q36" s="23"/>
      <c r="R36" s="23"/>
      <c r="S36" s="23"/>
      <c r="T36" s="23"/>
      <c r="U36" s="23"/>
      <c r="V36" s="24"/>
      <c r="W36" s="23"/>
      <c r="X36" s="23"/>
      <c r="Y36" s="23"/>
      <c r="Z36" s="23"/>
      <c r="AA36" s="48"/>
      <c r="AB36" s="30"/>
    </row>
    <row r="37" ht="22.5" customHeight="1">
      <c r="A37" s="14">
        <v>1349.0</v>
      </c>
      <c r="B37" s="15">
        <v>45601.0</v>
      </c>
      <c r="C37" s="16" t="s">
        <v>171</v>
      </c>
      <c r="D37" s="18" t="s">
        <v>66</v>
      </c>
      <c r="E37" s="18" t="s">
        <v>159</v>
      </c>
      <c r="F37" s="18" t="s">
        <v>160</v>
      </c>
      <c r="G37" s="46"/>
      <c r="H37" s="18" t="s">
        <v>120</v>
      </c>
      <c r="I37" s="19" t="s">
        <v>170</v>
      </c>
      <c r="J37" s="42" t="s">
        <v>186</v>
      </c>
      <c r="K37" s="64"/>
      <c r="L37" s="59"/>
      <c r="M37" s="22"/>
      <c r="N37" s="22"/>
      <c r="O37" s="23"/>
      <c r="P37" s="23"/>
      <c r="Q37" s="23"/>
      <c r="R37" s="23"/>
      <c r="S37" s="23"/>
      <c r="T37" s="23"/>
      <c r="U37" s="23"/>
      <c r="V37" s="24"/>
      <c r="W37" s="23"/>
      <c r="X37" s="23"/>
      <c r="Y37" s="23"/>
      <c r="Z37" s="23"/>
      <c r="AA37" s="48"/>
      <c r="AB37" s="30"/>
    </row>
    <row r="38" ht="22.5" customHeight="1">
      <c r="A38" s="71">
        <v>1350.0</v>
      </c>
      <c r="B38" s="52">
        <v>45601.0</v>
      </c>
      <c r="C38" s="53" t="s">
        <v>188</v>
      </c>
      <c r="D38" s="54" t="s">
        <v>66</v>
      </c>
      <c r="E38" s="54" t="s">
        <v>159</v>
      </c>
      <c r="F38" s="54" t="s">
        <v>160</v>
      </c>
      <c r="G38" s="72"/>
      <c r="H38" s="54" t="s">
        <v>120</v>
      </c>
      <c r="I38" s="55" t="s">
        <v>189</v>
      </c>
      <c r="J38" s="56" t="s">
        <v>190</v>
      </c>
      <c r="K38" s="73"/>
      <c r="L38" s="74"/>
      <c r="M38" s="75"/>
      <c r="N38" s="75"/>
      <c r="O38" s="76"/>
      <c r="P38" s="76"/>
      <c r="Q38" s="76"/>
      <c r="R38" s="76"/>
      <c r="S38" s="76"/>
      <c r="T38" s="76"/>
      <c r="U38" s="76"/>
      <c r="V38" s="77"/>
      <c r="W38" s="76"/>
      <c r="X38" s="76"/>
      <c r="Y38" s="76"/>
      <c r="Z38" s="76"/>
      <c r="AA38" s="78" t="s">
        <v>191</v>
      </c>
      <c r="AB38" s="79"/>
    </row>
    <row r="39" ht="22.5" customHeight="1">
      <c r="A39" s="71">
        <v>1351.0</v>
      </c>
      <c r="B39" s="52">
        <v>45601.0</v>
      </c>
      <c r="C39" s="53" t="s">
        <v>192</v>
      </c>
      <c r="D39" s="54" t="s">
        <v>66</v>
      </c>
      <c r="E39" s="54" t="s">
        <v>159</v>
      </c>
      <c r="F39" s="54" t="s">
        <v>160</v>
      </c>
      <c r="G39" s="72"/>
      <c r="H39" s="54" t="s">
        <v>120</v>
      </c>
      <c r="I39" s="55" t="s">
        <v>193</v>
      </c>
      <c r="J39" s="56" t="s">
        <v>194</v>
      </c>
      <c r="K39" s="73"/>
      <c r="L39" s="74"/>
      <c r="M39" s="75"/>
      <c r="N39" s="75"/>
      <c r="O39" s="80" t="s">
        <v>50</v>
      </c>
      <c r="P39" s="80" t="s">
        <v>50</v>
      </c>
      <c r="Q39" s="76"/>
      <c r="R39" s="76"/>
      <c r="S39" s="76"/>
      <c r="T39" s="76"/>
      <c r="U39" s="76"/>
      <c r="V39" s="77"/>
      <c r="W39" s="76"/>
      <c r="X39" s="76"/>
      <c r="Y39" s="76"/>
      <c r="Z39" s="76"/>
      <c r="AA39" s="78" t="s">
        <v>191</v>
      </c>
      <c r="AB39" s="79"/>
    </row>
    <row r="40" ht="22.5" customHeight="1">
      <c r="A40" s="71">
        <v>1352.0</v>
      </c>
      <c r="B40" s="52">
        <v>45601.0</v>
      </c>
      <c r="C40" s="53" t="s">
        <v>192</v>
      </c>
      <c r="D40" s="54" t="s">
        <v>66</v>
      </c>
      <c r="E40" s="54" t="s">
        <v>159</v>
      </c>
      <c r="F40" s="54" t="s">
        <v>160</v>
      </c>
      <c r="G40" s="72"/>
      <c r="H40" s="54" t="s">
        <v>120</v>
      </c>
      <c r="I40" s="55" t="s">
        <v>193</v>
      </c>
      <c r="J40" s="56" t="s">
        <v>194</v>
      </c>
      <c r="K40" s="73"/>
      <c r="L40" s="74"/>
      <c r="M40" s="75"/>
      <c r="N40" s="75"/>
      <c r="O40" s="80" t="s">
        <v>50</v>
      </c>
      <c r="P40" s="80" t="s">
        <v>50</v>
      </c>
      <c r="Q40" s="76"/>
      <c r="R40" s="76"/>
      <c r="S40" s="76"/>
      <c r="T40" s="76"/>
      <c r="U40" s="76"/>
      <c r="V40" s="77"/>
      <c r="W40" s="76"/>
      <c r="X40" s="76"/>
      <c r="Y40" s="76"/>
      <c r="Z40" s="76"/>
      <c r="AA40" s="78" t="s">
        <v>191</v>
      </c>
      <c r="AB40" s="79"/>
    </row>
    <row r="41" ht="22.5" customHeight="1">
      <c r="A41" s="14">
        <v>1353.0</v>
      </c>
      <c r="B41" s="15">
        <v>45601.0</v>
      </c>
      <c r="C41" s="16" t="s">
        <v>195</v>
      </c>
      <c r="D41" s="18" t="s">
        <v>66</v>
      </c>
      <c r="E41" s="18" t="s">
        <v>159</v>
      </c>
      <c r="F41" s="18" t="s">
        <v>160</v>
      </c>
      <c r="G41" s="46"/>
      <c r="H41" s="18" t="s">
        <v>120</v>
      </c>
      <c r="I41" s="19" t="s">
        <v>196</v>
      </c>
      <c r="J41" s="69"/>
      <c r="K41" s="64"/>
      <c r="L41" s="59"/>
      <c r="M41" s="22"/>
      <c r="N41" s="22"/>
      <c r="O41" s="23"/>
      <c r="P41" s="23"/>
      <c r="Q41" s="23"/>
      <c r="R41" s="23"/>
      <c r="S41" s="23"/>
      <c r="T41" s="23"/>
      <c r="U41" s="23"/>
      <c r="V41" s="24"/>
      <c r="W41" s="23"/>
      <c r="X41" s="23"/>
      <c r="Y41" s="23"/>
      <c r="Z41" s="23"/>
      <c r="AA41" s="48"/>
      <c r="AB41" s="30"/>
    </row>
    <row r="42" ht="22.5" customHeight="1">
      <c r="A42" s="14">
        <v>1356.0</v>
      </c>
      <c r="B42" s="15">
        <v>45597.0</v>
      </c>
      <c r="C42" s="16" t="s">
        <v>197</v>
      </c>
      <c r="D42" s="16" t="s">
        <v>66</v>
      </c>
      <c r="E42" s="16" t="s">
        <v>198</v>
      </c>
      <c r="F42" s="18" t="s">
        <v>199</v>
      </c>
      <c r="G42" s="18" t="s">
        <v>50</v>
      </c>
      <c r="H42" s="18" t="s">
        <v>200</v>
      </c>
      <c r="I42" s="19" t="s">
        <v>201</v>
      </c>
      <c r="J42" s="36" t="s">
        <v>202</v>
      </c>
      <c r="K42" s="21" t="s">
        <v>203</v>
      </c>
      <c r="L42" s="59"/>
      <c r="M42" s="22"/>
      <c r="N42" s="22"/>
      <c r="O42" s="23"/>
      <c r="P42" s="23"/>
      <c r="Q42" s="23"/>
      <c r="R42" s="23"/>
      <c r="S42" s="23"/>
      <c r="T42" s="23"/>
      <c r="U42" s="23"/>
      <c r="V42" s="24"/>
      <c r="W42" s="23"/>
      <c r="X42" s="23"/>
      <c r="Y42" s="23"/>
      <c r="Z42" s="23"/>
      <c r="AA42" s="48"/>
      <c r="AB42" s="30"/>
    </row>
    <row r="43" ht="22.5" customHeight="1">
      <c r="A43" s="81">
        <v>1358.0</v>
      </c>
      <c r="B43" s="82">
        <v>45597.0</v>
      </c>
      <c r="C43" s="83" t="s">
        <v>204</v>
      </c>
      <c r="D43" s="83" t="s">
        <v>66</v>
      </c>
      <c r="E43" s="83" t="s">
        <v>205</v>
      </c>
      <c r="F43" s="84" t="s">
        <v>49</v>
      </c>
      <c r="G43" s="81">
        <v>1.8240525E7</v>
      </c>
      <c r="H43" s="84" t="s">
        <v>51</v>
      </c>
      <c r="I43" s="19" t="s">
        <v>206</v>
      </c>
      <c r="J43" s="28" t="s">
        <v>207</v>
      </c>
      <c r="K43" s="85" t="s">
        <v>208</v>
      </c>
      <c r="L43" s="86" t="s">
        <v>209</v>
      </c>
      <c r="M43" s="85" t="s">
        <v>210</v>
      </c>
      <c r="N43" s="87"/>
      <c r="O43" s="88"/>
      <c r="P43" s="88"/>
      <c r="Q43" s="88"/>
      <c r="R43" s="88"/>
      <c r="S43" s="88"/>
      <c r="T43" s="88"/>
      <c r="U43" s="88"/>
      <c r="V43" s="89"/>
      <c r="W43" s="88"/>
      <c r="X43" s="88"/>
      <c r="Y43" s="88"/>
      <c r="Z43" s="88"/>
      <c r="AA43" s="48"/>
      <c r="AB43" s="30"/>
    </row>
    <row r="44" ht="22.5" customHeight="1">
      <c r="A44" s="81">
        <v>1363.0</v>
      </c>
      <c r="B44" s="82">
        <v>45607.0</v>
      </c>
      <c r="C44" s="83" t="s">
        <v>211</v>
      </c>
      <c r="D44" s="83" t="s">
        <v>66</v>
      </c>
      <c r="E44" s="83" t="s">
        <v>212</v>
      </c>
      <c r="F44" s="84" t="s">
        <v>31</v>
      </c>
      <c r="G44" s="84">
        <v>1.85801E7</v>
      </c>
      <c r="H44" s="84" t="s">
        <v>32</v>
      </c>
      <c r="I44" s="19" t="s">
        <v>213</v>
      </c>
      <c r="J44" s="20" t="s">
        <v>214</v>
      </c>
      <c r="K44" s="85" t="s">
        <v>35</v>
      </c>
      <c r="L44" s="86" t="s">
        <v>36</v>
      </c>
      <c r="M44" s="85" t="s">
        <v>37</v>
      </c>
      <c r="N44" s="87"/>
      <c r="O44" s="88"/>
      <c r="P44" s="88"/>
      <c r="Q44" s="88"/>
      <c r="R44" s="88"/>
      <c r="S44" s="85" t="s">
        <v>174</v>
      </c>
      <c r="T44" s="88"/>
      <c r="U44" s="88"/>
      <c r="V44" s="89"/>
      <c r="W44" s="90"/>
      <c r="X44" s="88"/>
      <c r="Y44" s="88"/>
      <c r="Z44" s="88"/>
      <c r="AA44" s="26" t="s">
        <v>215</v>
      </c>
      <c r="AB44" s="30"/>
    </row>
    <row r="45" ht="22.5" customHeight="1">
      <c r="A45" s="91">
        <v>1391.0</v>
      </c>
      <c r="B45" s="92">
        <v>45617.0</v>
      </c>
      <c r="C45" s="16" t="s">
        <v>195</v>
      </c>
      <c r="D45" s="18" t="s">
        <v>66</v>
      </c>
      <c r="E45" s="18" t="s">
        <v>159</v>
      </c>
      <c r="F45" s="18" t="s">
        <v>160</v>
      </c>
      <c r="G45" s="18" t="s">
        <v>50</v>
      </c>
      <c r="H45" s="18" t="s">
        <v>120</v>
      </c>
      <c r="I45" s="93" t="s">
        <v>216</v>
      </c>
      <c r="J45" s="65" t="s">
        <v>217</v>
      </c>
      <c r="K45" s="16" t="s">
        <v>163</v>
      </c>
      <c r="L45" s="66"/>
      <c r="M45" s="94"/>
      <c r="N45" s="94"/>
      <c r="O45" s="95"/>
      <c r="P45" s="95"/>
      <c r="Q45" s="95"/>
      <c r="R45" s="95"/>
      <c r="S45" s="21" t="s">
        <v>174</v>
      </c>
      <c r="T45" s="21" t="s">
        <v>166</v>
      </c>
      <c r="U45" s="95"/>
      <c r="V45" s="95"/>
      <c r="W45" s="96"/>
      <c r="X45" s="95"/>
      <c r="Y45" s="95"/>
      <c r="Z45" s="95"/>
      <c r="AA45" s="97"/>
      <c r="AB45" s="97"/>
    </row>
    <row r="46" ht="22.5" customHeight="1">
      <c r="A46" s="91">
        <v>1392.0</v>
      </c>
      <c r="B46" s="92">
        <v>45617.0</v>
      </c>
      <c r="C46" s="16" t="s">
        <v>195</v>
      </c>
      <c r="D46" s="18" t="s">
        <v>66</v>
      </c>
      <c r="E46" s="18" t="s">
        <v>159</v>
      </c>
      <c r="F46" s="18" t="s">
        <v>160</v>
      </c>
      <c r="G46" s="18">
        <v>1.9171006E7</v>
      </c>
      <c r="H46" s="18" t="s">
        <v>120</v>
      </c>
      <c r="I46" s="62" t="s">
        <v>172</v>
      </c>
      <c r="J46" s="63" t="s">
        <v>218</v>
      </c>
      <c r="K46" s="16" t="s">
        <v>163</v>
      </c>
      <c r="L46" s="57" t="s">
        <v>164</v>
      </c>
      <c r="M46" s="94"/>
      <c r="N46" s="94"/>
      <c r="O46" s="21" t="s">
        <v>62</v>
      </c>
      <c r="P46" s="21" t="s">
        <v>177</v>
      </c>
      <c r="Q46" s="95"/>
      <c r="R46" s="95"/>
      <c r="S46" s="21" t="s">
        <v>62</v>
      </c>
      <c r="T46" s="21" t="s">
        <v>166</v>
      </c>
      <c r="U46" s="95"/>
      <c r="V46" s="95"/>
      <c r="W46" s="96"/>
      <c r="X46" s="95"/>
      <c r="Y46" s="95"/>
      <c r="Z46" s="95"/>
      <c r="AA46" s="97"/>
      <c r="AB46" s="97"/>
    </row>
    <row r="47" ht="22.5" customHeight="1">
      <c r="A47" s="91">
        <v>1393.0</v>
      </c>
      <c r="B47" s="92">
        <v>45617.0</v>
      </c>
      <c r="C47" s="16" t="s">
        <v>219</v>
      </c>
      <c r="D47" s="16" t="s">
        <v>66</v>
      </c>
      <c r="E47" s="16" t="s">
        <v>220</v>
      </c>
      <c r="F47" s="16" t="s">
        <v>160</v>
      </c>
      <c r="G47" s="16" t="s">
        <v>50</v>
      </c>
      <c r="H47" s="18" t="s">
        <v>120</v>
      </c>
      <c r="I47" s="19" t="s">
        <v>221</v>
      </c>
      <c r="J47" s="28" t="s">
        <v>222</v>
      </c>
      <c r="K47" s="16" t="s">
        <v>223</v>
      </c>
      <c r="L47" s="98"/>
      <c r="M47" s="94"/>
      <c r="N47" s="94"/>
      <c r="O47" s="95"/>
      <c r="P47" s="95"/>
      <c r="Q47" s="95"/>
      <c r="R47" s="95"/>
      <c r="S47" s="95"/>
      <c r="T47" s="95"/>
      <c r="U47" s="95"/>
      <c r="V47" s="95"/>
      <c r="W47" s="96"/>
      <c r="X47" s="95"/>
      <c r="Y47" s="95"/>
      <c r="Z47" s="95"/>
      <c r="AA47" s="97"/>
      <c r="AB47" s="97"/>
    </row>
    <row r="48" ht="22.5" customHeight="1">
      <c r="A48" s="91">
        <v>1394.0</v>
      </c>
      <c r="B48" s="92">
        <v>45617.0</v>
      </c>
      <c r="C48" s="16" t="s">
        <v>195</v>
      </c>
      <c r="D48" s="18" t="s">
        <v>66</v>
      </c>
      <c r="E48" s="18" t="s">
        <v>159</v>
      </c>
      <c r="F48" s="18" t="s">
        <v>160</v>
      </c>
      <c r="G48" s="18" t="s">
        <v>50</v>
      </c>
      <c r="H48" s="18" t="s">
        <v>120</v>
      </c>
      <c r="I48" s="19" t="s">
        <v>224</v>
      </c>
      <c r="J48" s="42" t="s">
        <v>186</v>
      </c>
      <c r="K48" s="16" t="s">
        <v>163</v>
      </c>
      <c r="L48" s="66"/>
      <c r="M48" s="94"/>
      <c r="N48" s="94"/>
      <c r="O48" s="95"/>
      <c r="P48" s="95"/>
      <c r="Q48" s="95"/>
      <c r="R48" s="95"/>
      <c r="S48" s="95"/>
      <c r="T48" s="95"/>
      <c r="U48" s="95"/>
      <c r="V48" s="95"/>
      <c r="W48" s="96"/>
      <c r="X48" s="95"/>
      <c r="Y48" s="95"/>
      <c r="Z48" s="95"/>
      <c r="AA48" s="97"/>
      <c r="AB48" s="97"/>
    </row>
    <row r="49" ht="22.5" customHeight="1">
      <c r="A49" s="91">
        <v>1395.0</v>
      </c>
      <c r="B49" s="92">
        <v>45617.0</v>
      </c>
      <c r="C49" s="16" t="s">
        <v>219</v>
      </c>
      <c r="D49" s="16" t="s">
        <v>66</v>
      </c>
      <c r="E49" s="16" t="s">
        <v>220</v>
      </c>
      <c r="F49" s="16" t="s">
        <v>160</v>
      </c>
      <c r="G49" s="16" t="s">
        <v>50</v>
      </c>
      <c r="H49" s="18" t="s">
        <v>120</v>
      </c>
      <c r="I49" s="19" t="s">
        <v>225</v>
      </c>
      <c r="J49" s="28" t="s">
        <v>169</v>
      </c>
      <c r="K49" s="16" t="s">
        <v>223</v>
      </c>
      <c r="L49" s="98"/>
      <c r="M49" s="94"/>
      <c r="N49" s="94"/>
      <c r="O49" s="95"/>
      <c r="P49" s="95"/>
      <c r="Q49" s="95"/>
      <c r="R49" s="95"/>
      <c r="S49" s="95"/>
      <c r="T49" s="95"/>
      <c r="U49" s="95"/>
      <c r="V49" s="95"/>
      <c r="W49" s="96"/>
      <c r="X49" s="95"/>
      <c r="Y49" s="95"/>
      <c r="Z49" s="95"/>
      <c r="AA49" s="97"/>
      <c r="AB49" s="97"/>
    </row>
    <row r="50" ht="22.5" customHeight="1">
      <c r="A50" s="91">
        <v>1396.0</v>
      </c>
      <c r="B50" s="92">
        <v>45617.0</v>
      </c>
      <c r="C50" s="16" t="s">
        <v>219</v>
      </c>
      <c r="D50" s="16" t="s">
        <v>66</v>
      </c>
      <c r="E50" s="16" t="s">
        <v>220</v>
      </c>
      <c r="F50" s="16" t="s">
        <v>160</v>
      </c>
      <c r="G50" s="16" t="s">
        <v>50</v>
      </c>
      <c r="H50" s="18" t="s">
        <v>120</v>
      </c>
      <c r="I50" s="19" t="s">
        <v>225</v>
      </c>
      <c r="J50" s="28" t="s">
        <v>169</v>
      </c>
      <c r="K50" s="16" t="s">
        <v>223</v>
      </c>
      <c r="L50" s="98"/>
      <c r="M50" s="94"/>
      <c r="N50" s="94"/>
      <c r="O50" s="95"/>
      <c r="P50" s="95"/>
      <c r="Q50" s="95"/>
      <c r="R50" s="95"/>
      <c r="S50" s="95"/>
      <c r="T50" s="95"/>
      <c r="U50" s="95"/>
      <c r="V50" s="95"/>
      <c r="W50" s="96"/>
      <c r="X50" s="95"/>
      <c r="Y50" s="95"/>
      <c r="Z50" s="95"/>
      <c r="AA50" s="97"/>
      <c r="AB50" s="97"/>
    </row>
    <row r="51" ht="22.5" customHeight="1">
      <c r="A51" s="91">
        <v>1397.0</v>
      </c>
      <c r="B51" s="92">
        <v>45593.0</v>
      </c>
      <c r="C51" s="16" t="s">
        <v>226</v>
      </c>
      <c r="D51" s="16" t="s">
        <v>29</v>
      </c>
      <c r="E51" s="16" t="s">
        <v>227</v>
      </c>
      <c r="F51" s="16" t="s">
        <v>228</v>
      </c>
      <c r="G51" s="16">
        <v>1.9620309E7</v>
      </c>
      <c r="H51" s="16" t="s">
        <v>135</v>
      </c>
      <c r="I51" s="19" t="s">
        <v>229</v>
      </c>
      <c r="J51" s="42" t="s">
        <v>230</v>
      </c>
      <c r="K51" s="16" t="s">
        <v>231</v>
      </c>
      <c r="L51" s="61"/>
      <c r="M51" s="94"/>
      <c r="N51" s="94"/>
      <c r="O51" s="95"/>
      <c r="P51" s="95"/>
      <c r="Q51" s="95"/>
      <c r="R51" s="95"/>
      <c r="S51" s="95"/>
      <c r="T51" s="95"/>
      <c r="U51" s="95"/>
      <c r="V51" s="95"/>
      <c r="W51" s="96"/>
      <c r="X51" s="95"/>
      <c r="Y51" s="95"/>
      <c r="Z51" s="95"/>
      <c r="AA51" s="97"/>
      <c r="AB51" s="97"/>
    </row>
    <row r="52" ht="22.5" customHeight="1">
      <c r="A52" s="91">
        <v>1399.0</v>
      </c>
      <c r="B52" s="92">
        <v>45617.0</v>
      </c>
      <c r="C52" s="16" t="s">
        <v>195</v>
      </c>
      <c r="D52" s="18" t="s">
        <v>66</v>
      </c>
      <c r="E52" s="16" t="s">
        <v>159</v>
      </c>
      <c r="F52" s="16" t="s">
        <v>160</v>
      </c>
      <c r="G52" s="16" t="s">
        <v>50</v>
      </c>
      <c r="H52" s="18" t="s">
        <v>120</v>
      </c>
      <c r="I52" s="19" t="s">
        <v>232</v>
      </c>
      <c r="J52" s="42" t="s">
        <v>233</v>
      </c>
      <c r="K52" s="94"/>
      <c r="L52" s="98"/>
      <c r="M52" s="94"/>
      <c r="N52" s="94"/>
      <c r="O52" s="95"/>
      <c r="P52" s="95"/>
      <c r="Q52" s="95"/>
      <c r="R52" s="95"/>
      <c r="S52" s="95"/>
      <c r="T52" s="95"/>
      <c r="U52" s="95"/>
      <c r="V52" s="95"/>
      <c r="W52" s="96"/>
      <c r="X52" s="95"/>
      <c r="Y52" s="95"/>
      <c r="Z52" s="95"/>
      <c r="AA52" s="97"/>
      <c r="AB52" s="97"/>
    </row>
    <row r="53" ht="22.5" customHeight="1">
      <c r="A53" s="14">
        <v>1406.0</v>
      </c>
      <c r="B53" s="15">
        <v>45623.0</v>
      </c>
      <c r="C53" s="16" t="s">
        <v>234</v>
      </c>
      <c r="D53" s="18" t="s">
        <v>29</v>
      </c>
      <c r="E53" s="18" t="s">
        <v>227</v>
      </c>
      <c r="F53" s="18" t="s">
        <v>228</v>
      </c>
      <c r="G53" s="14">
        <v>1.962043E7</v>
      </c>
      <c r="H53" s="18" t="s">
        <v>135</v>
      </c>
      <c r="I53" s="19" t="s">
        <v>235</v>
      </c>
      <c r="J53" s="42" t="s">
        <v>236</v>
      </c>
      <c r="K53" s="16" t="s">
        <v>231</v>
      </c>
      <c r="L53" s="99"/>
      <c r="M53" s="46"/>
      <c r="N53" s="46"/>
      <c r="O53" s="100"/>
      <c r="P53" s="100"/>
      <c r="Q53" s="100"/>
      <c r="R53" s="100"/>
      <c r="S53" s="100"/>
      <c r="T53" s="100"/>
      <c r="U53" s="100"/>
      <c r="V53" s="100"/>
      <c r="W53" s="101"/>
      <c r="X53" s="102"/>
      <c r="Y53" s="102"/>
      <c r="Z53" s="103"/>
      <c r="AA53" s="103" t="s">
        <v>237</v>
      </c>
      <c r="AB53" s="104"/>
    </row>
    <row r="54" ht="22.5" customHeight="1">
      <c r="A54" s="91">
        <v>1414.0</v>
      </c>
      <c r="B54" s="92">
        <v>45628.0</v>
      </c>
      <c r="C54" s="16" t="s">
        <v>238</v>
      </c>
      <c r="D54" s="16" t="s">
        <v>66</v>
      </c>
      <c r="E54" s="16" t="s">
        <v>239</v>
      </c>
      <c r="F54" s="16" t="s">
        <v>240</v>
      </c>
      <c r="G54" s="16">
        <v>1.7190915E7</v>
      </c>
      <c r="H54" s="16" t="s">
        <v>103</v>
      </c>
      <c r="I54" s="19" t="s">
        <v>241</v>
      </c>
      <c r="J54" s="36" t="s">
        <v>242</v>
      </c>
      <c r="K54" s="16" t="s">
        <v>243</v>
      </c>
      <c r="L54" s="16" t="s">
        <v>244</v>
      </c>
      <c r="M54" s="16" t="s">
        <v>245</v>
      </c>
      <c r="N54" s="94"/>
      <c r="O54" s="16" t="s">
        <v>62</v>
      </c>
      <c r="P54" s="92">
        <v>45982.0</v>
      </c>
      <c r="Q54" s="95"/>
      <c r="R54" s="95"/>
      <c r="S54" s="16" t="s">
        <v>62</v>
      </c>
      <c r="T54" s="92">
        <v>45982.0</v>
      </c>
      <c r="U54" s="95"/>
      <c r="V54" s="95"/>
      <c r="W54" s="96"/>
      <c r="X54" s="95"/>
      <c r="Y54" s="95"/>
      <c r="Z54" s="95"/>
      <c r="AA54" s="97"/>
      <c r="AB54" s="97"/>
    </row>
    <row r="55" ht="22.5" customHeight="1">
      <c r="A55" s="91">
        <v>1421.0</v>
      </c>
      <c r="B55" s="92">
        <v>45631.0</v>
      </c>
      <c r="C55" s="16" t="s">
        <v>65</v>
      </c>
      <c r="D55" s="16" t="s">
        <v>66</v>
      </c>
      <c r="E55" s="16" t="s">
        <v>67</v>
      </c>
      <c r="F55" s="16" t="s">
        <v>49</v>
      </c>
      <c r="G55" s="16" t="s">
        <v>50</v>
      </c>
      <c r="H55" s="16" t="s">
        <v>42</v>
      </c>
      <c r="I55" s="19" t="s">
        <v>246</v>
      </c>
      <c r="J55" s="36" t="s">
        <v>247</v>
      </c>
      <c r="K55" s="16" t="s">
        <v>248</v>
      </c>
      <c r="L55" s="98"/>
      <c r="M55" s="94"/>
      <c r="N55" s="94"/>
      <c r="O55" s="16" t="s">
        <v>62</v>
      </c>
      <c r="P55" s="92">
        <v>46104.0</v>
      </c>
      <c r="Q55" s="95"/>
      <c r="R55" s="95"/>
      <c r="S55" s="95"/>
      <c r="T55" s="95"/>
      <c r="U55" s="95"/>
      <c r="V55" s="95"/>
      <c r="W55" s="96"/>
      <c r="X55" s="95"/>
      <c r="Y55" s="95"/>
      <c r="Z55" s="95"/>
      <c r="AA55" s="97"/>
      <c r="AB55" s="97"/>
    </row>
    <row r="56" ht="22.5" customHeight="1">
      <c r="A56" s="91">
        <v>1442.0</v>
      </c>
      <c r="B56" s="92">
        <v>45644.0</v>
      </c>
      <c r="C56" s="16" t="s">
        <v>226</v>
      </c>
      <c r="D56" s="16" t="s">
        <v>29</v>
      </c>
      <c r="E56" s="16" t="s">
        <v>227</v>
      </c>
      <c r="F56" s="18" t="s">
        <v>228</v>
      </c>
      <c r="G56" s="16">
        <v>1.9620291E7</v>
      </c>
      <c r="H56" s="16" t="s">
        <v>135</v>
      </c>
      <c r="I56" s="19" t="s">
        <v>249</v>
      </c>
      <c r="J56" s="42" t="s">
        <v>250</v>
      </c>
      <c r="K56" s="16" t="s">
        <v>231</v>
      </c>
      <c r="L56" s="61" t="s">
        <v>251</v>
      </c>
      <c r="M56" s="94"/>
      <c r="N56" s="94"/>
      <c r="O56" s="95"/>
      <c r="P56" s="95"/>
      <c r="Q56" s="95"/>
      <c r="R56" s="95"/>
      <c r="S56" s="95"/>
      <c r="T56" s="95"/>
      <c r="U56" s="95"/>
      <c r="V56" s="95"/>
      <c r="W56" s="96"/>
      <c r="X56" s="95"/>
      <c r="Y56" s="95"/>
      <c r="Z56" s="103" t="s">
        <v>237</v>
      </c>
      <c r="AA56" s="97"/>
      <c r="AB56" s="97"/>
    </row>
    <row r="57" ht="22.5" customHeight="1">
      <c r="A57" s="91">
        <v>1453.0</v>
      </c>
      <c r="B57" s="92">
        <v>45650.0</v>
      </c>
      <c r="C57" s="16" t="s">
        <v>197</v>
      </c>
      <c r="D57" s="16" t="s">
        <v>66</v>
      </c>
      <c r="E57" s="16" t="s">
        <v>198</v>
      </c>
      <c r="F57" s="16" t="s">
        <v>31</v>
      </c>
      <c r="G57" s="94"/>
      <c r="H57" s="16" t="s">
        <v>252</v>
      </c>
      <c r="I57" s="19" t="s">
        <v>253</v>
      </c>
      <c r="J57" s="36" t="s">
        <v>254</v>
      </c>
      <c r="K57" s="16" t="s">
        <v>255</v>
      </c>
      <c r="L57" s="16" t="s">
        <v>138</v>
      </c>
      <c r="M57" s="94"/>
      <c r="N57" s="94"/>
      <c r="O57" s="95"/>
      <c r="P57" s="95"/>
      <c r="Q57" s="95"/>
      <c r="R57" s="95"/>
      <c r="S57" s="95"/>
      <c r="T57" s="95"/>
      <c r="U57" s="95"/>
      <c r="V57" s="95"/>
      <c r="W57" s="96"/>
      <c r="X57" s="95"/>
      <c r="Y57" s="95"/>
      <c r="Z57" s="95"/>
      <c r="AA57" s="97"/>
      <c r="AB57" s="97"/>
    </row>
    <row r="58" ht="22.5" customHeight="1">
      <c r="A58" s="91">
        <v>1458.0</v>
      </c>
      <c r="B58" s="92">
        <v>45665.0</v>
      </c>
      <c r="C58" s="16" t="s">
        <v>204</v>
      </c>
      <c r="D58" s="16" t="s">
        <v>66</v>
      </c>
      <c r="E58" s="16" t="s">
        <v>205</v>
      </c>
      <c r="F58" s="16" t="s">
        <v>49</v>
      </c>
      <c r="G58" s="16" t="s">
        <v>50</v>
      </c>
      <c r="H58" s="16" t="s">
        <v>51</v>
      </c>
      <c r="I58" s="19" t="s">
        <v>256</v>
      </c>
      <c r="J58" s="28" t="s">
        <v>257</v>
      </c>
      <c r="K58" s="16" t="s">
        <v>208</v>
      </c>
      <c r="L58" s="16" t="s">
        <v>209</v>
      </c>
      <c r="M58" s="16" t="s">
        <v>210</v>
      </c>
      <c r="N58" s="94"/>
      <c r="O58" s="95"/>
      <c r="P58" s="95"/>
      <c r="Q58" s="95"/>
      <c r="R58" s="95"/>
      <c r="S58" s="95"/>
      <c r="T58" s="95"/>
      <c r="U58" s="95"/>
      <c r="V58" s="95"/>
      <c r="W58" s="96"/>
      <c r="X58" s="95"/>
      <c r="Y58" s="95"/>
      <c r="Z58" s="95"/>
      <c r="AA58" s="105" t="s">
        <v>258</v>
      </c>
      <c r="AB58" s="97"/>
    </row>
    <row r="59" ht="22.5" customHeight="1">
      <c r="A59" s="91">
        <v>1471.0</v>
      </c>
      <c r="B59" s="92">
        <v>45673.0</v>
      </c>
      <c r="C59" s="16" t="s">
        <v>259</v>
      </c>
      <c r="D59" s="16" t="s">
        <v>66</v>
      </c>
      <c r="E59" s="16" t="s">
        <v>260</v>
      </c>
      <c r="F59" s="16" t="s">
        <v>261</v>
      </c>
      <c r="G59" s="16" t="s">
        <v>50</v>
      </c>
      <c r="H59" s="16" t="s">
        <v>262</v>
      </c>
      <c r="I59" s="19" t="s">
        <v>263</v>
      </c>
      <c r="J59" s="36" t="s">
        <v>264</v>
      </c>
      <c r="K59" s="16" t="s">
        <v>265</v>
      </c>
      <c r="L59" s="16" t="s">
        <v>266</v>
      </c>
      <c r="M59" s="21" t="s">
        <v>267</v>
      </c>
      <c r="N59" s="94"/>
      <c r="O59" s="95"/>
      <c r="P59" s="95"/>
      <c r="Q59" s="95"/>
      <c r="R59" s="95"/>
      <c r="S59" s="95"/>
      <c r="T59" s="95"/>
      <c r="U59" s="95"/>
      <c r="V59" s="95"/>
      <c r="W59" s="96"/>
      <c r="X59" s="95"/>
      <c r="Y59" s="95"/>
      <c r="Z59" s="95"/>
      <c r="AA59" s="105" t="s">
        <v>258</v>
      </c>
      <c r="AB59" s="97"/>
    </row>
    <row r="60" ht="22.5" customHeight="1">
      <c r="A60" s="91">
        <v>1481.0</v>
      </c>
      <c r="B60" s="92">
        <v>45681.0</v>
      </c>
      <c r="C60" s="16" t="s">
        <v>268</v>
      </c>
      <c r="D60" s="106" t="s">
        <v>29</v>
      </c>
      <c r="E60" s="16" t="s">
        <v>89</v>
      </c>
      <c r="F60" s="16" t="s">
        <v>269</v>
      </c>
      <c r="G60" s="16">
        <v>1.5831305E7</v>
      </c>
      <c r="H60" s="16" t="s">
        <v>51</v>
      </c>
      <c r="I60" s="19" t="s">
        <v>270</v>
      </c>
      <c r="J60" s="36" t="s">
        <v>271</v>
      </c>
      <c r="K60" s="85" t="s">
        <v>92</v>
      </c>
      <c r="L60" s="86" t="s">
        <v>272</v>
      </c>
      <c r="M60" s="85" t="s">
        <v>273</v>
      </c>
      <c r="N60" s="94"/>
      <c r="O60" s="16" t="s">
        <v>62</v>
      </c>
      <c r="P60" s="92">
        <v>45820.0</v>
      </c>
      <c r="Q60" s="95"/>
      <c r="R60" s="95"/>
      <c r="S60" s="95"/>
      <c r="T60" s="95"/>
      <c r="U60" s="95"/>
      <c r="V60" s="95"/>
      <c r="W60" s="96"/>
      <c r="X60" s="95"/>
      <c r="Y60" s="95"/>
      <c r="Z60" s="95"/>
      <c r="AA60" s="44">
        <v>2.0250602E7</v>
      </c>
      <c r="AB60" s="97"/>
    </row>
    <row r="61" ht="22.5" customHeight="1">
      <c r="A61" s="91">
        <v>1492.0</v>
      </c>
      <c r="B61" s="92">
        <v>45691.0</v>
      </c>
      <c r="C61" s="16" t="s">
        <v>274</v>
      </c>
      <c r="D61" s="16" t="s">
        <v>66</v>
      </c>
      <c r="E61" s="16" t="s">
        <v>275</v>
      </c>
      <c r="F61" s="16" t="s">
        <v>261</v>
      </c>
      <c r="G61" s="94"/>
      <c r="H61" s="16" t="s">
        <v>262</v>
      </c>
      <c r="I61" s="19" t="s">
        <v>276</v>
      </c>
      <c r="J61" s="36" t="s">
        <v>277</v>
      </c>
      <c r="K61" s="16" t="s">
        <v>278</v>
      </c>
      <c r="L61" s="16" t="s">
        <v>279</v>
      </c>
      <c r="M61" s="16" t="s">
        <v>280</v>
      </c>
      <c r="N61" s="94"/>
      <c r="O61" s="95"/>
      <c r="P61" s="95"/>
      <c r="Q61" s="16" t="s">
        <v>62</v>
      </c>
      <c r="R61" s="92">
        <v>45702.0</v>
      </c>
      <c r="S61" s="95"/>
      <c r="T61" s="95"/>
      <c r="U61" s="95"/>
      <c r="V61" s="95"/>
      <c r="W61" s="107"/>
      <c r="X61" s="95"/>
      <c r="Y61" s="95"/>
      <c r="Z61" s="95"/>
      <c r="AA61" s="97"/>
      <c r="AB61" s="97"/>
    </row>
    <row r="62" ht="22.5" customHeight="1">
      <c r="A62" s="91">
        <v>1494.0</v>
      </c>
      <c r="B62" s="92">
        <v>45692.0</v>
      </c>
      <c r="C62" s="16" t="s">
        <v>274</v>
      </c>
      <c r="D62" s="16" t="s">
        <v>66</v>
      </c>
      <c r="E62" s="16" t="s">
        <v>275</v>
      </c>
      <c r="F62" s="16" t="s">
        <v>281</v>
      </c>
      <c r="G62" s="16" t="s">
        <v>50</v>
      </c>
      <c r="H62" s="16" t="s">
        <v>262</v>
      </c>
      <c r="I62" s="19" t="s">
        <v>282</v>
      </c>
      <c r="J62" s="36" t="s">
        <v>283</v>
      </c>
      <c r="K62" s="16" t="s">
        <v>284</v>
      </c>
      <c r="L62" s="16" t="s">
        <v>285</v>
      </c>
      <c r="M62" s="33" t="s">
        <v>286</v>
      </c>
      <c r="N62" s="94"/>
      <c r="O62" s="95"/>
      <c r="P62" s="95"/>
      <c r="Q62" s="16" t="s">
        <v>62</v>
      </c>
      <c r="R62" s="92">
        <v>45713.0</v>
      </c>
      <c r="S62" s="95"/>
      <c r="T62" s="95"/>
      <c r="U62" s="95"/>
      <c r="V62" s="95"/>
      <c r="W62" s="107"/>
      <c r="X62" s="95"/>
      <c r="Y62" s="95"/>
      <c r="Z62" s="95"/>
      <c r="AA62" s="97"/>
      <c r="AB62" s="97"/>
    </row>
    <row r="63" ht="22.5" customHeight="1">
      <c r="A63" s="91">
        <v>1501.0</v>
      </c>
      <c r="B63" s="92">
        <v>45694.0</v>
      </c>
      <c r="C63" s="16" t="s">
        <v>274</v>
      </c>
      <c r="D63" s="16" t="s">
        <v>66</v>
      </c>
      <c r="E63" s="16" t="s">
        <v>275</v>
      </c>
      <c r="F63" s="16" t="s">
        <v>261</v>
      </c>
      <c r="G63" s="16" t="s">
        <v>50</v>
      </c>
      <c r="H63" s="16" t="s">
        <v>262</v>
      </c>
      <c r="I63" s="19" t="s">
        <v>287</v>
      </c>
      <c r="J63" s="36" t="s">
        <v>288</v>
      </c>
      <c r="K63" s="16" t="s">
        <v>278</v>
      </c>
      <c r="L63" s="16" t="s">
        <v>289</v>
      </c>
      <c r="M63" s="16" t="s">
        <v>290</v>
      </c>
      <c r="N63" s="94"/>
      <c r="O63" s="95"/>
      <c r="P63" s="95"/>
      <c r="Q63" s="95"/>
      <c r="R63" s="95"/>
      <c r="S63" s="95"/>
      <c r="T63" s="95"/>
      <c r="U63" s="95"/>
      <c r="V63" s="95"/>
      <c r="W63" s="96"/>
      <c r="X63" s="95"/>
      <c r="Y63" s="95"/>
      <c r="Z63" s="95"/>
      <c r="AA63" s="97"/>
      <c r="AB63" s="97"/>
    </row>
    <row r="64" ht="22.5" customHeight="1">
      <c r="A64" s="108">
        <v>1521.0</v>
      </c>
      <c r="B64" s="109">
        <v>45715.0</v>
      </c>
      <c r="C64" s="110" t="s">
        <v>291</v>
      </c>
      <c r="D64" s="111" t="s">
        <v>29</v>
      </c>
      <c r="E64" s="112" t="s">
        <v>227</v>
      </c>
      <c r="F64" s="113" t="s">
        <v>228</v>
      </c>
      <c r="G64" s="108">
        <v>1.962051E7</v>
      </c>
      <c r="H64" s="113" t="s">
        <v>135</v>
      </c>
      <c r="I64" s="114" t="s">
        <v>292</v>
      </c>
      <c r="J64" s="115" t="s">
        <v>293</v>
      </c>
      <c r="K64" s="112" t="s">
        <v>231</v>
      </c>
      <c r="L64" s="116"/>
      <c r="M64" s="117"/>
      <c r="N64" s="117"/>
      <c r="O64" s="118"/>
      <c r="P64" s="118"/>
      <c r="Q64" s="118"/>
      <c r="R64" s="118"/>
      <c r="S64" s="118"/>
      <c r="T64" s="118"/>
      <c r="U64" s="118"/>
      <c r="V64" s="119"/>
      <c r="W64" s="118"/>
      <c r="X64" s="118"/>
      <c r="Y64" s="118"/>
      <c r="Z64" s="118"/>
      <c r="AA64" s="117"/>
      <c r="AB64" s="117"/>
    </row>
    <row r="65" ht="22.5" customHeight="1">
      <c r="A65" s="91">
        <v>1545.0</v>
      </c>
      <c r="B65" s="92">
        <v>45727.0</v>
      </c>
      <c r="C65" s="16" t="s">
        <v>294</v>
      </c>
      <c r="D65" s="16" t="s">
        <v>29</v>
      </c>
      <c r="E65" s="16" t="s">
        <v>198</v>
      </c>
      <c r="F65" s="16" t="s">
        <v>295</v>
      </c>
      <c r="G65" s="16" t="s">
        <v>296</v>
      </c>
      <c r="H65" s="16" t="s">
        <v>200</v>
      </c>
      <c r="I65" s="19" t="s">
        <v>297</v>
      </c>
      <c r="J65" s="120" t="s">
        <v>298</v>
      </c>
      <c r="K65" s="16" t="s">
        <v>299</v>
      </c>
      <c r="L65" s="98"/>
      <c r="M65" s="94"/>
      <c r="N65" s="94"/>
      <c r="O65" s="95"/>
      <c r="P65" s="95"/>
      <c r="Q65" s="95"/>
      <c r="R65" s="95"/>
      <c r="S65" s="95"/>
      <c r="T65" s="95"/>
      <c r="U65" s="95"/>
      <c r="V65" s="95"/>
      <c r="W65" s="96"/>
      <c r="X65" s="95"/>
      <c r="Y65" s="95"/>
      <c r="Z65" s="95"/>
      <c r="AA65" s="97"/>
      <c r="AB65" s="97"/>
    </row>
    <row r="66" ht="22.5" customHeight="1">
      <c r="A66" s="91">
        <v>1546.0</v>
      </c>
      <c r="B66" s="92">
        <v>45728.0</v>
      </c>
      <c r="C66" s="16" t="s">
        <v>274</v>
      </c>
      <c r="D66" s="16" t="s">
        <v>66</v>
      </c>
      <c r="E66" s="16" t="s">
        <v>275</v>
      </c>
      <c r="F66" s="16" t="s">
        <v>300</v>
      </c>
      <c r="G66" s="16" t="s">
        <v>50</v>
      </c>
      <c r="H66" s="16" t="s">
        <v>262</v>
      </c>
      <c r="I66" s="19" t="s">
        <v>301</v>
      </c>
      <c r="J66" s="36" t="s">
        <v>302</v>
      </c>
      <c r="K66" s="16" t="s">
        <v>284</v>
      </c>
      <c r="L66" s="16" t="s">
        <v>285</v>
      </c>
      <c r="M66" s="33" t="s">
        <v>303</v>
      </c>
      <c r="N66" s="94"/>
      <c r="O66" s="95"/>
      <c r="P66" s="92">
        <v>45793.0</v>
      </c>
      <c r="Q66" s="16" t="s">
        <v>62</v>
      </c>
      <c r="R66" s="95"/>
      <c r="S66" s="95"/>
      <c r="T66" s="95"/>
      <c r="U66" s="95"/>
      <c r="V66" s="95"/>
      <c r="W66" s="96"/>
      <c r="X66" s="95"/>
      <c r="Y66" s="95"/>
      <c r="Z66" s="95"/>
      <c r="AA66" s="97"/>
      <c r="AB66" s="97"/>
    </row>
    <row r="67" ht="22.5" customHeight="1">
      <c r="A67" s="91">
        <v>1570.0</v>
      </c>
      <c r="B67" s="92">
        <v>45744.0</v>
      </c>
      <c r="C67" s="16" t="s">
        <v>304</v>
      </c>
      <c r="D67" s="16" t="s">
        <v>66</v>
      </c>
      <c r="E67" s="16" t="s">
        <v>205</v>
      </c>
      <c r="F67" s="16" t="s">
        <v>305</v>
      </c>
      <c r="G67" s="16" t="s">
        <v>50</v>
      </c>
      <c r="H67" s="16" t="s">
        <v>51</v>
      </c>
      <c r="I67" s="19" t="s">
        <v>306</v>
      </c>
      <c r="J67" s="28" t="s">
        <v>307</v>
      </c>
      <c r="K67" s="16" t="s">
        <v>208</v>
      </c>
      <c r="L67" s="98"/>
      <c r="M67" s="94"/>
      <c r="N67" s="94"/>
      <c r="O67" s="95"/>
      <c r="P67" s="95"/>
      <c r="Q67" s="95"/>
      <c r="R67" s="95"/>
      <c r="S67" s="95"/>
      <c r="T67" s="95"/>
      <c r="U67" s="95"/>
      <c r="V67" s="95"/>
      <c r="W67" s="96"/>
      <c r="X67" s="95"/>
      <c r="Y67" s="95"/>
      <c r="Z67" s="95"/>
      <c r="AA67" s="97"/>
      <c r="AB67" s="97"/>
    </row>
    <row r="68" ht="22.5" customHeight="1">
      <c r="A68" s="91">
        <v>1579.0</v>
      </c>
      <c r="B68" s="92">
        <v>45756.0</v>
      </c>
      <c r="C68" s="16" t="s">
        <v>308</v>
      </c>
      <c r="D68" s="16" t="s">
        <v>29</v>
      </c>
      <c r="E68" s="16" t="s">
        <v>309</v>
      </c>
      <c r="F68" s="16" t="s">
        <v>310</v>
      </c>
      <c r="G68" s="16">
        <v>1.8030813E7</v>
      </c>
      <c r="H68" s="16" t="s">
        <v>103</v>
      </c>
      <c r="I68" s="19" t="s">
        <v>311</v>
      </c>
      <c r="J68" s="42" t="s">
        <v>312</v>
      </c>
      <c r="K68" s="21" t="s">
        <v>313</v>
      </c>
      <c r="L68" s="98"/>
      <c r="M68" s="94"/>
      <c r="N68" s="94"/>
      <c r="O68" s="95"/>
      <c r="P68" s="95"/>
      <c r="Q68" s="95"/>
      <c r="R68" s="95"/>
      <c r="S68" s="95"/>
      <c r="T68" s="95"/>
      <c r="U68" s="95"/>
      <c r="V68" s="95"/>
      <c r="W68" s="96"/>
      <c r="X68" s="95"/>
      <c r="Y68" s="95"/>
      <c r="Z68" s="95"/>
      <c r="AA68" s="97"/>
      <c r="AB68" s="97"/>
    </row>
    <row r="69" ht="22.5" customHeight="1">
      <c r="A69" s="91">
        <v>1580.0</v>
      </c>
      <c r="B69" s="92">
        <v>45757.0</v>
      </c>
      <c r="C69" s="16" t="s">
        <v>314</v>
      </c>
      <c r="D69" s="16" t="s">
        <v>66</v>
      </c>
      <c r="E69" s="16" t="s">
        <v>315</v>
      </c>
      <c r="F69" s="16" t="s">
        <v>316</v>
      </c>
      <c r="G69" s="16" t="s">
        <v>50</v>
      </c>
      <c r="H69" s="16" t="s">
        <v>103</v>
      </c>
      <c r="I69" s="19" t="s">
        <v>317</v>
      </c>
      <c r="J69" s="42" t="s">
        <v>318</v>
      </c>
      <c r="K69" s="16" t="s">
        <v>319</v>
      </c>
      <c r="L69" s="16" t="s">
        <v>320</v>
      </c>
      <c r="M69" s="16" t="s">
        <v>321</v>
      </c>
      <c r="N69" s="94"/>
      <c r="O69" s="95"/>
      <c r="P69" s="95"/>
      <c r="Q69" s="95"/>
      <c r="R69" s="95"/>
      <c r="S69" s="95"/>
      <c r="T69" s="95"/>
      <c r="U69" s="95"/>
      <c r="V69" s="95"/>
      <c r="W69" s="96"/>
      <c r="X69" s="95"/>
      <c r="Y69" s="95"/>
      <c r="Z69" s="95"/>
      <c r="AA69" s="97"/>
      <c r="AB69" s="97"/>
    </row>
    <row r="70" ht="22.5" customHeight="1">
      <c r="A70" s="121">
        <v>1589.0</v>
      </c>
      <c r="B70" s="92">
        <v>45762.0</v>
      </c>
      <c r="C70" s="16" t="s">
        <v>322</v>
      </c>
      <c r="D70" s="106" t="s">
        <v>29</v>
      </c>
      <c r="E70" s="16" t="s">
        <v>48</v>
      </c>
      <c r="F70" s="16" t="s">
        <v>49</v>
      </c>
      <c r="G70" s="94"/>
      <c r="H70" s="16" t="s">
        <v>51</v>
      </c>
      <c r="I70" s="19" t="s">
        <v>323</v>
      </c>
      <c r="J70" s="42" t="s">
        <v>324</v>
      </c>
      <c r="K70" s="16" t="s">
        <v>143</v>
      </c>
      <c r="L70" s="98"/>
      <c r="M70" s="94"/>
      <c r="N70" s="94"/>
      <c r="O70" s="95"/>
      <c r="P70" s="95"/>
      <c r="Q70" s="95"/>
      <c r="R70" s="95"/>
      <c r="S70" s="95"/>
      <c r="T70" s="95"/>
      <c r="U70" s="95"/>
      <c r="V70" s="95"/>
      <c r="W70" s="96"/>
      <c r="X70" s="95"/>
      <c r="Y70" s="95"/>
      <c r="Z70" s="95"/>
      <c r="AA70" s="97"/>
      <c r="AB70" s="97"/>
    </row>
    <row r="71" ht="22.5" customHeight="1">
      <c r="A71" s="91">
        <v>1597.0</v>
      </c>
      <c r="B71" s="92">
        <v>45768.0</v>
      </c>
      <c r="C71" s="16" t="s">
        <v>325</v>
      </c>
      <c r="D71" s="16" t="s">
        <v>66</v>
      </c>
      <c r="E71" s="16" t="s">
        <v>326</v>
      </c>
      <c r="F71" s="16" t="s">
        <v>327</v>
      </c>
      <c r="G71" s="16" t="s">
        <v>50</v>
      </c>
      <c r="H71" s="16" t="s">
        <v>42</v>
      </c>
      <c r="I71" s="19" t="s">
        <v>328</v>
      </c>
      <c r="J71" s="42" t="s">
        <v>329</v>
      </c>
      <c r="K71" s="94"/>
      <c r="L71" s="16" t="s">
        <v>330</v>
      </c>
      <c r="M71" s="16" t="s">
        <v>331</v>
      </c>
      <c r="N71" s="94"/>
      <c r="O71" s="95"/>
      <c r="P71" s="95"/>
      <c r="Q71" s="95"/>
      <c r="R71" s="95"/>
      <c r="S71" s="95"/>
      <c r="T71" s="95"/>
      <c r="U71" s="95"/>
      <c r="V71" s="95"/>
      <c r="W71" s="96"/>
      <c r="X71" s="95"/>
      <c r="Y71" s="95"/>
      <c r="Z71" s="95"/>
      <c r="AA71" s="97"/>
      <c r="AB71" s="97"/>
    </row>
    <row r="72" ht="22.5" customHeight="1">
      <c r="A72" s="91">
        <v>1600.0</v>
      </c>
      <c r="B72" s="92">
        <v>45770.0</v>
      </c>
      <c r="C72" s="16" t="s">
        <v>274</v>
      </c>
      <c r="D72" s="16" t="s">
        <v>66</v>
      </c>
      <c r="E72" s="16" t="s">
        <v>275</v>
      </c>
      <c r="F72" s="16" t="s">
        <v>261</v>
      </c>
      <c r="G72" s="16">
        <v>1.9520056E7</v>
      </c>
      <c r="H72" s="16" t="s">
        <v>332</v>
      </c>
      <c r="I72" s="19" t="s">
        <v>333</v>
      </c>
      <c r="J72" s="36" t="s">
        <v>334</v>
      </c>
      <c r="K72" s="16" t="s">
        <v>278</v>
      </c>
      <c r="L72" s="16" t="s">
        <v>335</v>
      </c>
      <c r="M72" s="16" t="s">
        <v>280</v>
      </c>
      <c r="N72" s="94"/>
      <c r="O72" s="95"/>
      <c r="P72" s="95"/>
      <c r="Q72" s="95"/>
      <c r="R72" s="95"/>
      <c r="S72" s="95"/>
      <c r="T72" s="95"/>
      <c r="U72" s="95"/>
      <c r="V72" s="95"/>
      <c r="W72" s="96"/>
      <c r="X72" s="95"/>
      <c r="Y72" s="95"/>
      <c r="Z72" s="95"/>
      <c r="AA72" s="97"/>
      <c r="AB72" s="97"/>
    </row>
    <row r="73" ht="22.5" customHeight="1">
      <c r="A73" s="91">
        <v>1621.0</v>
      </c>
      <c r="B73" s="92">
        <v>45779.0</v>
      </c>
      <c r="C73" s="16" t="s">
        <v>336</v>
      </c>
      <c r="D73" s="106" t="s">
        <v>29</v>
      </c>
      <c r="E73" s="16" t="s">
        <v>337</v>
      </c>
      <c r="F73" s="16" t="s">
        <v>338</v>
      </c>
      <c r="G73" s="16" t="s">
        <v>50</v>
      </c>
      <c r="H73" s="16" t="s">
        <v>339</v>
      </c>
      <c r="I73" s="19" t="s">
        <v>340</v>
      </c>
      <c r="J73" s="36" t="s">
        <v>341</v>
      </c>
      <c r="K73" s="16" t="s">
        <v>342</v>
      </c>
      <c r="L73" s="16" t="s">
        <v>343</v>
      </c>
      <c r="M73" s="16" t="s">
        <v>344</v>
      </c>
      <c r="N73" s="94"/>
      <c r="O73" s="95"/>
      <c r="P73" s="95"/>
      <c r="Q73" s="95"/>
      <c r="R73" s="95"/>
      <c r="S73" s="95"/>
      <c r="T73" s="95"/>
      <c r="U73" s="95"/>
      <c r="V73" s="95"/>
      <c r="W73" s="96"/>
      <c r="X73" s="95"/>
      <c r="Y73" s="95"/>
      <c r="Z73" s="95"/>
      <c r="AA73" s="97"/>
      <c r="AB73" s="97"/>
    </row>
    <row r="74" ht="22.5" customHeight="1">
      <c r="A74" s="91">
        <v>1622.0</v>
      </c>
      <c r="B74" s="92">
        <v>45761.0</v>
      </c>
      <c r="C74" s="16" t="s">
        <v>345</v>
      </c>
      <c r="D74" s="16" t="s">
        <v>66</v>
      </c>
      <c r="E74" s="16" t="s">
        <v>346</v>
      </c>
      <c r="F74" s="16" t="s">
        <v>347</v>
      </c>
      <c r="G74" s="16" t="s">
        <v>50</v>
      </c>
      <c r="H74" s="16" t="s">
        <v>348</v>
      </c>
      <c r="I74" s="19" t="s">
        <v>349</v>
      </c>
      <c r="J74" s="36" t="s">
        <v>350</v>
      </c>
      <c r="K74" s="16" t="s">
        <v>351</v>
      </c>
      <c r="L74" s="61" t="s">
        <v>352</v>
      </c>
      <c r="M74" s="16" t="s">
        <v>353</v>
      </c>
      <c r="N74" s="94"/>
      <c r="O74" s="95"/>
      <c r="P74" s="95"/>
      <c r="Q74" s="95"/>
      <c r="R74" s="95"/>
      <c r="S74" s="95"/>
      <c r="T74" s="95"/>
      <c r="U74" s="95"/>
      <c r="V74" s="95"/>
      <c r="W74" s="96"/>
      <c r="X74" s="95"/>
      <c r="Y74" s="95"/>
      <c r="Z74" s="95"/>
      <c r="AA74" s="97"/>
      <c r="AB74" s="97"/>
    </row>
    <row r="75" ht="22.5" customHeight="1">
      <c r="A75" s="91">
        <v>1624.0</v>
      </c>
      <c r="B75" s="92">
        <v>45779.0</v>
      </c>
      <c r="C75" s="16" t="s">
        <v>345</v>
      </c>
      <c r="D75" s="16" t="s">
        <v>66</v>
      </c>
      <c r="E75" s="16" t="s">
        <v>346</v>
      </c>
      <c r="F75" s="16" t="s">
        <v>347</v>
      </c>
      <c r="G75" s="16" t="s">
        <v>50</v>
      </c>
      <c r="H75" s="16" t="s">
        <v>348</v>
      </c>
      <c r="I75" s="19" t="s">
        <v>354</v>
      </c>
      <c r="J75" s="36" t="s">
        <v>355</v>
      </c>
      <c r="K75" s="16" t="s">
        <v>351</v>
      </c>
      <c r="L75" s="61" t="s">
        <v>352</v>
      </c>
      <c r="M75" s="16" t="s">
        <v>353</v>
      </c>
      <c r="N75" s="94"/>
      <c r="O75" s="95"/>
      <c r="P75" s="95"/>
      <c r="Q75" s="95"/>
      <c r="R75" s="95"/>
      <c r="S75" s="95"/>
      <c r="T75" s="95"/>
      <c r="U75" s="95"/>
      <c r="V75" s="95"/>
      <c r="W75" s="96"/>
      <c r="X75" s="95"/>
      <c r="Y75" s="95"/>
      <c r="Z75" s="95"/>
      <c r="AA75" s="97"/>
      <c r="AB75" s="97"/>
    </row>
    <row r="76" ht="22.5" customHeight="1">
      <c r="A76" s="91">
        <v>1627.0</v>
      </c>
      <c r="B76" s="92">
        <v>45784.0</v>
      </c>
      <c r="C76" s="16" t="s">
        <v>345</v>
      </c>
      <c r="D76" s="16" t="s">
        <v>66</v>
      </c>
      <c r="E76" s="16" t="s">
        <v>346</v>
      </c>
      <c r="F76" s="16" t="s">
        <v>347</v>
      </c>
      <c r="G76" s="94"/>
      <c r="H76" s="16" t="s">
        <v>348</v>
      </c>
      <c r="I76" s="19" t="s">
        <v>356</v>
      </c>
      <c r="J76" s="45" t="s">
        <v>357</v>
      </c>
      <c r="K76" s="94"/>
      <c r="L76" s="98"/>
      <c r="M76" s="94"/>
      <c r="N76" s="94"/>
      <c r="O76" s="95"/>
      <c r="P76" s="95"/>
      <c r="Q76" s="95"/>
      <c r="R76" s="95"/>
      <c r="S76" s="95"/>
      <c r="T76" s="95"/>
      <c r="U76" s="95"/>
      <c r="V76" s="95"/>
      <c r="W76" s="96"/>
      <c r="X76" s="95"/>
      <c r="Y76" s="95"/>
      <c r="Z76" s="95"/>
      <c r="AA76" s="97"/>
      <c r="AB76" s="97"/>
    </row>
    <row r="77" ht="22.5" customHeight="1">
      <c r="A77" s="91">
        <v>1636.0</v>
      </c>
      <c r="B77" s="92">
        <v>45789.0</v>
      </c>
      <c r="C77" s="16" t="s">
        <v>358</v>
      </c>
      <c r="D77" s="16" t="s">
        <v>359</v>
      </c>
      <c r="E77" s="16" t="s">
        <v>101</v>
      </c>
      <c r="F77" s="16" t="s">
        <v>31</v>
      </c>
      <c r="G77" s="16" t="s">
        <v>50</v>
      </c>
      <c r="H77" s="16" t="s">
        <v>103</v>
      </c>
      <c r="I77" s="19" t="s">
        <v>360</v>
      </c>
      <c r="J77" s="36" t="s">
        <v>361</v>
      </c>
      <c r="K77" s="16" t="s">
        <v>362</v>
      </c>
      <c r="L77" s="16" t="s">
        <v>363</v>
      </c>
      <c r="M77" s="16" t="s">
        <v>364</v>
      </c>
      <c r="N77" s="94"/>
      <c r="O77" s="16" t="s">
        <v>365</v>
      </c>
      <c r="P77" s="92">
        <v>45862.0</v>
      </c>
      <c r="Q77" s="95"/>
      <c r="R77" s="95"/>
      <c r="S77" s="95"/>
      <c r="T77" s="95"/>
      <c r="U77" s="95"/>
      <c r="V77" s="95"/>
      <c r="W77" s="96"/>
      <c r="X77" s="95"/>
      <c r="Y77" s="95"/>
      <c r="Z77" s="95"/>
      <c r="AA77" s="97"/>
      <c r="AB77" s="97"/>
    </row>
    <row r="78" ht="22.5" customHeight="1">
      <c r="A78" s="91">
        <v>1639.0</v>
      </c>
      <c r="B78" s="92">
        <v>45790.0</v>
      </c>
      <c r="C78" s="16" t="s">
        <v>366</v>
      </c>
      <c r="D78" s="16" t="s">
        <v>29</v>
      </c>
      <c r="E78" s="16" t="s">
        <v>367</v>
      </c>
      <c r="F78" s="16" t="s">
        <v>49</v>
      </c>
      <c r="G78" s="16" t="s">
        <v>50</v>
      </c>
      <c r="H78" s="16" t="s">
        <v>120</v>
      </c>
      <c r="I78" s="19" t="s">
        <v>368</v>
      </c>
      <c r="J78" s="42" t="s">
        <v>369</v>
      </c>
      <c r="K78" s="16" t="s">
        <v>370</v>
      </c>
      <c r="L78" s="16" t="s">
        <v>371</v>
      </c>
      <c r="M78" s="33" t="s">
        <v>372</v>
      </c>
      <c r="N78" s="94"/>
      <c r="O78" s="95"/>
      <c r="P78" s="95"/>
      <c r="Q78" s="95"/>
      <c r="R78" s="95"/>
      <c r="S78" s="95"/>
      <c r="T78" s="95"/>
      <c r="U78" s="95"/>
      <c r="V78" s="95"/>
      <c r="W78" s="96"/>
      <c r="X78" s="95"/>
      <c r="Y78" s="95"/>
      <c r="Z78" s="95"/>
      <c r="AA78" s="97"/>
      <c r="AB78" s="97"/>
    </row>
    <row r="79" ht="22.5" customHeight="1">
      <c r="A79" s="91">
        <v>1654.0</v>
      </c>
      <c r="B79" s="92">
        <v>45798.0</v>
      </c>
      <c r="C79" s="122" t="s">
        <v>373</v>
      </c>
      <c r="D79" s="122" t="s">
        <v>66</v>
      </c>
      <c r="E79" s="122" t="s">
        <v>374</v>
      </c>
      <c r="F79" s="16" t="s">
        <v>49</v>
      </c>
      <c r="G79" s="16" t="s">
        <v>50</v>
      </c>
      <c r="H79" s="16" t="s">
        <v>103</v>
      </c>
      <c r="I79" s="19" t="s">
        <v>375</v>
      </c>
      <c r="J79" s="36" t="s">
        <v>376</v>
      </c>
      <c r="K79" s="16" t="s">
        <v>377</v>
      </c>
      <c r="L79" s="16" t="s">
        <v>378</v>
      </c>
      <c r="M79" s="94"/>
      <c r="N79" s="94"/>
      <c r="O79" s="95"/>
      <c r="P79" s="95"/>
      <c r="Q79" s="95"/>
      <c r="R79" s="95"/>
      <c r="S79" s="95"/>
      <c r="T79" s="95"/>
      <c r="U79" s="95"/>
      <c r="V79" s="95"/>
      <c r="W79" s="96"/>
      <c r="X79" s="95"/>
      <c r="Y79" s="95"/>
      <c r="Z79" s="95"/>
      <c r="AA79" s="123">
        <v>2.0250708E7</v>
      </c>
      <c r="AB79" s="97"/>
    </row>
    <row r="80" ht="22.5" customHeight="1">
      <c r="A80" s="91">
        <v>1657.0</v>
      </c>
      <c r="B80" s="92">
        <v>45798.0</v>
      </c>
      <c r="C80" s="122" t="s">
        <v>373</v>
      </c>
      <c r="D80" s="122" t="s">
        <v>66</v>
      </c>
      <c r="E80" s="122" t="s">
        <v>374</v>
      </c>
      <c r="F80" s="16" t="s">
        <v>49</v>
      </c>
      <c r="G80" s="16" t="s">
        <v>50</v>
      </c>
      <c r="H80" s="16" t="s">
        <v>103</v>
      </c>
      <c r="I80" s="19" t="s">
        <v>379</v>
      </c>
      <c r="J80" s="36" t="s">
        <v>380</v>
      </c>
      <c r="K80" s="16" t="s">
        <v>377</v>
      </c>
      <c r="L80" s="16" t="s">
        <v>378</v>
      </c>
      <c r="M80" s="94"/>
      <c r="N80" s="94"/>
      <c r="O80" s="95"/>
      <c r="P80" s="95"/>
      <c r="Q80" s="95"/>
      <c r="R80" s="95"/>
      <c r="S80" s="95"/>
      <c r="T80" s="95"/>
      <c r="U80" s="95"/>
      <c r="V80" s="95"/>
      <c r="W80" s="96"/>
      <c r="X80" s="95"/>
      <c r="Y80" s="95"/>
      <c r="Z80" s="95"/>
      <c r="AA80" s="123">
        <v>2.0250708E7</v>
      </c>
      <c r="AB80" s="97"/>
    </row>
    <row r="81" ht="22.5" customHeight="1">
      <c r="A81" s="91">
        <v>1666.0</v>
      </c>
      <c r="B81" s="92">
        <v>45804.0</v>
      </c>
      <c r="C81" s="16" t="s">
        <v>381</v>
      </c>
      <c r="D81" s="16" t="s">
        <v>66</v>
      </c>
      <c r="E81" s="16" t="s">
        <v>382</v>
      </c>
      <c r="F81" s="16" t="s">
        <v>383</v>
      </c>
      <c r="G81" s="16">
        <v>1.9560015E7</v>
      </c>
      <c r="H81" s="16" t="s">
        <v>348</v>
      </c>
      <c r="I81" s="19" t="s">
        <v>384</v>
      </c>
      <c r="J81" s="36" t="s">
        <v>385</v>
      </c>
      <c r="K81" s="16" t="s">
        <v>386</v>
      </c>
      <c r="L81" s="61" t="s">
        <v>387</v>
      </c>
      <c r="M81" s="16" t="s">
        <v>388</v>
      </c>
      <c r="N81" s="94"/>
      <c r="O81" s="16" t="s">
        <v>62</v>
      </c>
      <c r="P81" s="92">
        <v>45975.0</v>
      </c>
      <c r="Q81" s="95"/>
      <c r="R81" s="95"/>
      <c r="S81" s="95"/>
      <c r="T81" s="95"/>
      <c r="U81" s="95"/>
      <c r="V81" s="95"/>
      <c r="W81" s="96"/>
      <c r="X81" s="95"/>
      <c r="Y81" s="95"/>
      <c r="Z81" s="95"/>
      <c r="AA81" s="97"/>
      <c r="AB81" s="97"/>
    </row>
    <row r="82" ht="22.5" customHeight="1">
      <c r="A82" s="91">
        <v>1672.0</v>
      </c>
      <c r="B82" s="92">
        <v>45807.0</v>
      </c>
      <c r="C82" s="16" t="s">
        <v>325</v>
      </c>
      <c r="D82" s="16" t="s">
        <v>66</v>
      </c>
      <c r="E82" s="16" t="s">
        <v>326</v>
      </c>
      <c r="F82" s="16" t="s">
        <v>49</v>
      </c>
      <c r="G82" s="16" t="s">
        <v>50</v>
      </c>
      <c r="H82" s="16" t="s">
        <v>42</v>
      </c>
      <c r="I82" s="19" t="s">
        <v>389</v>
      </c>
      <c r="J82" s="36" t="s">
        <v>390</v>
      </c>
      <c r="K82" s="16" t="s">
        <v>129</v>
      </c>
      <c r="L82" s="98"/>
      <c r="M82" s="94"/>
      <c r="N82" s="94"/>
      <c r="O82" s="95"/>
      <c r="P82" s="95"/>
      <c r="Q82" s="95"/>
      <c r="R82" s="95"/>
      <c r="S82" s="95"/>
      <c r="T82" s="95"/>
      <c r="U82" s="95"/>
      <c r="V82" s="95"/>
      <c r="W82" s="96"/>
      <c r="X82" s="95"/>
      <c r="Y82" s="95"/>
      <c r="Z82" s="95"/>
      <c r="AA82" s="97"/>
      <c r="AB82" s="105" t="s">
        <v>391</v>
      </c>
    </row>
    <row r="83" ht="22.5" customHeight="1">
      <c r="A83" s="91">
        <v>1673.0</v>
      </c>
      <c r="B83" s="124">
        <v>45811.0</v>
      </c>
      <c r="C83" s="125" t="s">
        <v>392</v>
      </c>
      <c r="D83" s="125" t="s">
        <v>66</v>
      </c>
      <c r="E83" s="125" t="s">
        <v>393</v>
      </c>
      <c r="F83" s="125" t="s">
        <v>394</v>
      </c>
      <c r="G83" s="125">
        <v>1.8811031E7</v>
      </c>
      <c r="H83" s="125" t="s">
        <v>395</v>
      </c>
      <c r="I83" s="126" t="s">
        <v>396</v>
      </c>
      <c r="J83" s="36" t="s">
        <v>397</v>
      </c>
      <c r="K83" s="16" t="s">
        <v>398</v>
      </c>
      <c r="L83" s="61" t="s">
        <v>399</v>
      </c>
      <c r="M83" s="16" t="s">
        <v>400</v>
      </c>
      <c r="N83" s="94"/>
      <c r="O83" s="95"/>
      <c r="P83" s="95"/>
      <c r="Q83" s="16" t="s">
        <v>62</v>
      </c>
      <c r="R83" s="92">
        <v>46171.0</v>
      </c>
      <c r="S83" s="95"/>
      <c r="T83" s="95"/>
      <c r="U83" s="95"/>
      <c r="V83" s="95"/>
      <c r="W83" s="96"/>
      <c r="X83" s="95"/>
      <c r="Y83" s="95"/>
      <c r="Z83" s="95"/>
      <c r="AA83" s="97"/>
      <c r="AB83" s="97"/>
    </row>
    <row r="84" ht="22.5" customHeight="1">
      <c r="A84" s="91">
        <v>1683.0</v>
      </c>
      <c r="B84" s="92">
        <v>45820.0</v>
      </c>
      <c r="C84" s="16" t="s">
        <v>401</v>
      </c>
      <c r="D84" s="16" t="s">
        <v>29</v>
      </c>
      <c r="E84" s="16" t="s">
        <v>220</v>
      </c>
      <c r="F84" s="16" t="s">
        <v>160</v>
      </c>
      <c r="G84" s="16">
        <v>1.9180479E7</v>
      </c>
      <c r="H84" s="18" t="s">
        <v>120</v>
      </c>
      <c r="I84" s="19" t="s">
        <v>402</v>
      </c>
      <c r="J84" s="28" t="s">
        <v>169</v>
      </c>
      <c r="K84" s="16" t="s">
        <v>223</v>
      </c>
      <c r="L84" s="98"/>
      <c r="M84" s="94"/>
      <c r="N84" s="94"/>
      <c r="O84" s="95"/>
      <c r="P84" s="95"/>
      <c r="Q84" s="95"/>
      <c r="R84" s="95"/>
      <c r="S84" s="95"/>
      <c r="T84" s="95"/>
      <c r="U84" s="95"/>
      <c r="V84" s="95"/>
      <c r="W84" s="96"/>
      <c r="X84" s="95"/>
      <c r="Y84" s="95"/>
      <c r="Z84" s="95"/>
      <c r="AA84" s="97"/>
      <c r="AB84" s="97"/>
    </row>
    <row r="85" ht="22.5" customHeight="1">
      <c r="A85" s="91">
        <v>1690.0</v>
      </c>
      <c r="B85" s="92">
        <v>45832.0</v>
      </c>
      <c r="C85" s="16" t="s">
        <v>403</v>
      </c>
      <c r="D85" s="16" t="s">
        <v>66</v>
      </c>
      <c r="E85" s="16" t="s">
        <v>404</v>
      </c>
      <c r="F85" s="16" t="s">
        <v>31</v>
      </c>
      <c r="G85" s="16" t="s">
        <v>296</v>
      </c>
      <c r="H85" s="16" t="s">
        <v>200</v>
      </c>
      <c r="I85" s="19" t="s">
        <v>405</v>
      </c>
      <c r="J85" s="36" t="s">
        <v>406</v>
      </c>
      <c r="K85" s="16" t="s">
        <v>407</v>
      </c>
      <c r="L85" s="61" t="s">
        <v>408</v>
      </c>
      <c r="M85" s="16" t="s">
        <v>409</v>
      </c>
      <c r="N85" s="94"/>
      <c r="O85" s="95"/>
      <c r="P85" s="95"/>
      <c r="Q85" s="95"/>
      <c r="R85" s="95"/>
      <c r="S85" s="95"/>
      <c r="T85" s="95"/>
      <c r="U85" s="95"/>
      <c r="V85" s="95"/>
      <c r="W85" s="96"/>
      <c r="X85" s="95"/>
      <c r="Y85" s="95"/>
      <c r="Z85" s="95"/>
      <c r="AA85" s="97"/>
      <c r="AB85" s="97"/>
    </row>
    <row r="86" ht="22.5" customHeight="1">
      <c r="A86" s="91">
        <v>1698.0</v>
      </c>
      <c r="B86" s="92">
        <v>45845.0</v>
      </c>
      <c r="C86" s="16" t="s">
        <v>410</v>
      </c>
      <c r="D86" s="16" t="s">
        <v>359</v>
      </c>
      <c r="E86" s="16" t="s">
        <v>411</v>
      </c>
      <c r="F86" s="16" t="s">
        <v>412</v>
      </c>
      <c r="G86" s="16" t="s">
        <v>50</v>
      </c>
      <c r="H86" s="16" t="s">
        <v>103</v>
      </c>
      <c r="I86" s="19" t="s">
        <v>413</v>
      </c>
      <c r="J86" s="28" t="s">
        <v>414</v>
      </c>
      <c r="K86" s="16" t="s">
        <v>415</v>
      </c>
      <c r="L86" s="98"/>
      <c r="M86" s="94"/>
      <c r="N86" s="94"/>
      <c r="O86" s="95"/>
      <c r="P86" s="95"/>
      <c r="Q86" s="95"/>
      <c r="R86" s="95"/>
      <c r="S86" s="95"/>
      <c r="T86" s="95"/>
      <c r="U86" s="95"/>
      <c r="V86" s="95"/>
      <c r="W86" s="96"/>
      <c r="X86" s="95"/>
      <c r="Y86" s="95"/>
      <c r="Z86" s="95"/>
      <c r="AA86" s="97"/>
      <c r="AB86" s="97"/>
    </row>
    <row r="87" ht="22.5" customHeight="1">
      <c r="A87" s="91">
        <v>1703.0</v>
      </c>
      <c r="B87" s="92">
        <v>45854.0</v>
      </c>
      <c r="C87" s="16" t="s">
        <v>416</v>
      </c>
      <c r="D87" s="16" t="s">
        <v>66</v>
      </c>
      <c r="E87" s="16" t="s">
        <v>417</v>
      </c>
      <c r="F87" s="16" t="s">
        <v>300</v>
      </c>
      <c r="G87" s="16">
        <v>1.6340604E7</v>
      </c>
      <c r="H87" s="16" t="s">
        <v>200</v>
      </c>
      <c r="I87" s="19" t="s">
        <v>418</v>
      </c>
      <c r="J87" s="42" t="s">
        <v>419</v>
      </c>
      <c r="K87" s="16" t="s">
        <v>420</v>
      </c>
      <c r="L87" s="98"/>
      <c r="M87" s="94"/>
      <c r="N87" s="94"/>
      <c r="O87" s="95"/>
      <c r="P87" s="95"/>
      <c r="Q87" s="95"/>
      <c r="R87" s="95"/>
      <c r="S87" s="95"/>
      <c r="T87" s="95"/>
      <c r="U87" s="95"/>
      <c r="V87" s="95"/>
      <c r="W87" s="96"/>
      <c r="X87" s="95"/>
      <c r="Y87" s="95"/>
      <c r="Z87" s="95"/>
      <c r="AA87" s="97"/>
      <c r="AB87" s="97"/>
    </row>
    <row r="88" ht="22.5" customHeight="1">
      <c r="A88" s="91">
        <v>1706.0</v>
      </c>
      <c r="B88" s="92">
        <v>45856.0</v>
      </c>
      <c r="C88" s="16" t="s">
        <v>421</v>
      </c>
      <c r="D88" s="16" t="s">
        <v>66</v>
      </c>
      <c r="E88" s="16" t="s">
        <v>422</v>
      </c>
      <c r="F88" s="16" t="s">
        <v>423</v>
      </c>
      <c r="G88" s="94"/>
      <c r="H88" s="127" t="s">
        <v>424</v>
      </c>
      <c r="I88" s="19" t="s">
        <v>425</v>
      </c>
      <c r="J88" s="128" t="s">
        <v>426</v>
      </c>
      <c r="K88" s="16" t="s">
        <v>427</v>
      </c>
      <c r="L88" s="16" t="s">
        <v>428</v>
      </c>
      <c r="M88" s="70" t="s">
        <v>429</v>
      </c>
      <c r="N88" s="94"/>
      <c r="O88" s="95"/>
      <c r="P88" s="95"/>
      <c r="Q88" s="95"/>
      <c r="R88" s="95"/>
      <c r="S88" s="95"/>
      <c r="T88" s="95"/>
      <c r="U88" s="95"/>
      <c r="V88" s="95"/>
      <c r="W88" s="96"/>
      <c r="X88" s="95"/>
      <c r="Y88" s="95"/>
      <c r="Z88" s="95"/>
      <c r="AA88" s="123" t="s">
        <v>46</v>
      </c>
      <c r="AB88" s="97"/>
    </row>
    <row r="89" ht="22.5" customHeight="1">
      <c r="A89" s="91">
        <v>1709.0</v>
      </c>
      <c r="B89" s="92">
        <v>45863.0</v>
      </c>
      <c r="C89" s="16" t="s">
        <v>430</v>
      </c>
      <c r="D89" s="16" t="s">
        <v>29</v>
      </c>
      <c r="E89" s="16" t="s">
        <v>326</v>
      </c>
      <c r="F89" s="16" t="s">
        <v>431</v>
      </c>
      <c r="G89" s="16">
        <v>1.9050099E7</v>
      </c>
      <c r="H89" s="16" t="s">
        <v>42</v>
      </c>
      <c r="I89" s="19" t="s">
        <v>432</v>
      </c>
      <c r="J89" s="42" t="s">
        <v>433</v>
      </c>
      <c r="K89" s="16" t="s">
        <v>434</v>
      </c>
      <c r="L89" s="98"/>
      <c r="M89" s="94"/>
      <c r="N89" s="94"/>
      <c r="O89" s="95"/>
      <c r="P89" s="95"/>
      <c r="Q89" s="95"/>
      <c r="R89" s="95"/>
      <c r="S89" s="95"/>
      <c r="T89" s="95"/>
      <c r="U89" s="95"/>
      <c r="V89" s="95"/>
      <c r="W89" s="96"/>
      <c r="X89" s="95"/>
      <c r="Y89" s="95"/>
      <c r="Z89" s="95"/>
      <c r="AA89" s="97"/>
      <c r="AB89" s="97"/>
    </row>
    <row r="90" ht="22.5" customHeight="1">
      <c r="A90" s="91">
        <v>1710.0</v>
      </c>
      <c r="B90" s="92">
        <v>45866.0</v>
      </c>
      <c r="C90" s="16" t="s">
        <v>435</v>
      </c>
      <c r="D90" s="16" t="s">
        <v>66</v>
      </c>
      <c r="E90" s="16" t="s">
        <v>337</v>
      </c>
      <c r="F90" s="16" t="s">
        <v>436</v>
      </c>
      <c r="G90" s="16" t="s">
        <v>50</v>
      </c>
      <c r="H90" s="16" t="s">
        <v>339</v>
      </c>
      <c r="I90" s="19" t="s">
        <v>437</v>
      </c>
      <c r="J90" s="36" t="s">
        <v>438</v>
      </c>
      <c r="K90" s="16" t="s">
        <v>439</v>
      </c>
      <c r="L90" s="98"/>
      <c r="M90" s="94"/>
      <c r="N90" s="94"/>
      <c r="O90" s="95"/>
      <c r="P90" s="95"/>
      <c r="Q90" s="95"/>
      <c r="R90" s="95"/>
      <c r="S90" s="95"/>
      <c r="T90" s="95"/>
      <c r="U90" s="95"/>
      <c r="V90" s="95"/>
      <c r="W90" s="96"/>
      <c r="X90" s="95"/>
      <c r="Y90" s="95"/>
      <c r="Z90" s="95"/>
      <c r="AA90" s="97"/>
      <c r="AB90" s="97"/>
    </row>
    <row r="91" ht="22.5" customHeight="1">
      <c r="A91" s="91">
        <v>1711.0</v>
      </c>
      <c r="B91" s="92">
        <v>45866.0</v>
      </c>
      <c r="C91" s="16" t="s">
        <v>435</v>
      </c>
      <c r="D91" s="16" t="s">
        <v>66</v>
      </c>
      <c r="E91" s="16" t="s">
        <v>337</v>
      </c>
      <c r="F91" s="16" t="s">
        <v>436</v>
      </c>
      <c r="G91" s="16" t="s">
        <v>50</v>
      </c>
      <c r="H91" s="16" t="s">
        <v>339</v>
      </c>
      <c r="I91" s="19" t="s">
        <v>437</v>
      </c>
      <c r="J91" s="36" t="s">
        <v>438</v>
      </c>
      <c r="K91" s="16" t="s">
        <v>439</v>
      </c>
      <c r="L91" s="98"/>
      <c r="M91" s="94"/>
      <c r="N91" s="94"/>
      <c r="O91" s="95"/>
      <c r="P91" s="95"/>
      <c r="Q91" s="95"/>
      <c r="R91" s="95"/>
      <c r="S91" s="95"/>
      <c r="T91" s="95"/>
      <c r="U91" s="95"/>
      <c r="V91" s="95"/>
      <c r="W91" s="96"/>
      <c r="X91" s="95"/>
      <c r="Y91" s="95"/>
      <c r="Z91" s="95"/>
      <c r="AA91" s="97"/>
      <c r="AB91" s="97"/>
    </row>
    <row r="92" ht="22.5" customHeight="1">
      <c r="A92" s="91">
        <v>1712.0</v>
      </c>
      <c r="B92" s="92">
        <v>45866.0</v>
      </c>
      <c r="C92" s="16" t="s">
        <v>435</v>
      </c>
      <c r="D92" s="16" t="s">
        <v>66</v>
      </c>
      <c r="E92" s="16" t="s">
        <v>337</v>
      </c>
      <c r="F92" s="16" t="s">
        <v>436</v>
      </c>
      <c r="G92" s="16" t="s">
        <v>50</v>
      </c>
      <c r="H92" s="16" t="s">
        <v>339</v>
      </c>
      <c r="I92" s="19" t="s">
        <v>437</v>
      </c>
      <c r="J92" s="36" t="s">
        <v>438</v>
      </c>
      <c r="K92" s="16" t="s">
        <v>439</v>
      </c>
      <c r="L92" s="98"/>
      <c r="M92" s="94"/>
      <c r="N92" s="94"/>
      <c r="O92" s="95"/>
      <c r="P92" s="95"/>
      <c r="Q92" s="95"/>
      <c r="R92" s="95"/>
      <c r="S92" s="95"/>
      <c r="T92" s="95"/>
      <c r="U92" s="95"/>
      <c r="V92" s="95"/>
      <c r="W92" s="96"/>
      <c r="X92" s="95"/>
      <c r="Y92" s="95"/>
      <c r="Z92" s="95"/>
      <c r="AA92" s="97"/>
      <c r="AB92" s="97"/>
    </row>
    <row r="93" ht="22.5" customHeight="1">
      <c r="A93" s="91">
        <v>1713.0</v>
      </c>
      <c r="B93" s="92">
        <v>45866.0</v>
      </c>
      <c r="C93" s="16" t="s">
        <v>435</v>
      </c>
      <c r="D93" s="16" t="s">
        <v>66</v>
      </c>
      <c r="E93" s="16" t="s">
        <v>337</v>
      </c>
      <c r="F93" s="16" t="s">
        <v>436</v>
      </c>
      <c r="G93" s="16" t="s">
        <v>50</v>
      </c>
      <c r="H93" s="16" t="s">
        <v>339</v>
      </c>
      <c r="I93" s="19" t="s">
        <v>437</v>
      </c>
      <c r="J93" s="36" t="s">
        <v>438</v>
      </c>
      <c r="K93" s="16" t="s">
        <v>439</v>
      </c>
      <c r="L93" s="98"/>
      <c r="M93" s="94"/>
      <c r="N93" s="94"/>
      <c r="O93" s="95"/>
      <c r="P93" s="95"/>
      <c r="Q93" s="95"/>
      <c r="R93" s="95"/>
      <c r="S93" s="95"/>
      <c r="T93" s="95"/>
      <c r="U93" s="95"/>
      <c r="V93" s="95"/>
      <c r="W93" s="96"/>
      <c r="X93" s="95"/>
      <c r="Y93" s="95"/>
      <c r="Z93" s="95"/>
      <c r="AA93" s="97"/>
      <c r="AB93" s="97"/>
    </row>
    <row r="94" ht="22.5" customHeight="1">
      <c r="A94" s="91">
        <v>1719.0</v>
      </c>
      <c r="B94" s="92">
        <v>45868.0</v>
      </c>
      <c r="C94" s="16" t="s">
        <v>440</v>
      </c>
      <c r="D94" s="106" t="s">
        <v>66</v>
      </c>
      <c r="E94" s="16" t="s">
        <v>441</v>
      </c>
      <c r="F94" s="16" t="s">
        <v>442</v>
      </c>
      <c r="G94" s="16" t="s">
        <v>50</v>
      </c>
      <c r="H94" s="16" t="s">
        <v>443</v>
      </c>
      <c r="I94" s="19" t="s">
        <v>444</v>
      </c>
      <c r="J94" s="36" t="s">
        <v>445</v>
      </c>
      <c r="K94" s="16" t="s">
        <v>446</v>
      </c>
      <c r="L94" s="16" t="s">
        <v>447</v>
      </c>
      <c r="M94" s="16" t="s">
        <v>448</v>
      </c>
      <c r="N94" s="94"/>
      <c r="O94" s="95"/>
      <c r="P94" s="95"/>
      <c r="Q94" s="16" t="s">
        <v>62</v>
      </c>
      <c r="R94" s="92">
        <v>45875.0</v>
      </c>
      <c r="S94" s="95"/>
      <c r="T94" s="95"/>
      <c r="U94" s="95"/>
      <c r="V94" s="95"/>
      <c r="W94" s="96"/>
      <c r="X94" s="95"/>
      <c r="Y94" s="95"/>
      <c r="Z94" s="95"/>
      <c r="AA94" s="97"/>
      <c r="AB94" s="97"/>
    </row>
    <row r="95" ht="22.5" customHeight="1">
      <c r="A95" s="91">
        <v>1730.0</v>
      </c>
      <c r="B95" s="92">
        <v>45888.0</v>
      </c>
      <c r="C95" s="16" t="s">
        <v>325</v>
      </c>
      <c r="D95" s="16" t="s">
        <v>66</v>
      </c>
      <c r="E95" s="16" t="s">
        <v>326</v>
      </c>
      <c r="F95" s="16" t="s">
        <v>423</v>
      </c>
      <c r="G95" s="16">
        <v>1.8860126E7</v>
      </c>
      <c r="H95" s="16" t="s">
        <v>42</v>
      </c>
      <c r="I95" s="19" t="s">
        <v>449</v>
      </c>
      <c r="J95" s="42" t="s">
        <v>450</v>
      </c>
      <c r="K95" s="16" t="s">
        <v>427</v>
      </c>
      <c r="L95" s="98"/>
      <c r="M95" s="94"/>
      <c r="N95" s="94"/>
      <c r="O95" s="95"/>
      <c r="P95" s="95"/>
      <c r="Q95" s="95"/>
      <c r="R95" s="95"/>
      <c r="S95" s="95"/>
      <c r="T95" s="95"/>
      <c r="U95" s="95"/>
      <c r="V95" s="95"/>
      <c r="W95" s="96"/>
      <c r="X95" s="95"/>
      <c r="Y95" s="95"/>
      <c r="Z95" s="95"/>
      <c r="AA95" s="97"/>
      <c r="AB95" s="97"/>
    </row>
    <row r="96" ht="22.5" customHeight="1">
      <c r="A96" s="91">
        <v>1732.0</v>
      </c>
      <c r="B96" s="92">
        <v>45889.0</v>
      </c>
      <c r="C96" s="16" t="s">
        <v>451</v>
      </c>
      <c r="D96" s="94"/>
      <c r="E96" s="16" t="s">
        <v>452</v>
      </c>
      <c r="F96" s="16" t="s">
        <v>453</v>
      </c>
      <c r="G96" s="16">
        <v>1.925021E7</v>
      </c>
      <c r="H96" s="16" t="s">
        <v>348</v>
      </c>
      <c r="I96" s="19" t="s">
        <v>454</v>
      </c>
      <c r="J96" s="36" t="s">
        <v>455</v>
      </c>
      <c r="K96" s="16" t="s">
        <v>456</v>
      </c>
      <c r="L96" s="16" t="s">
        <v>457</v>
      </c>
      <c r="M96" s="94"/>
      <c r="N96" s="94"/>
      <c r="O96" s="16" t="s">
        <v>62</v>
      </c>
      <c r="P96" s="92">
        <v>45918.0</v>
      </c>
      <c r="Q96" s="95"/>
      <c r="R96" s="95"/>
      <c r="S96" s="95"/>
      <c r="T96" s="95"/>
      <c r="U96" s="95"/>
      <c r="V96" s="95"/>
      <c r="W96" s="96"/>
      <c r="X96" s="95"/>
      <c r="Y96" s="95"/>
      <c r="Z96" s="95"/>
      <c r="AA96" s="97"/>
      <c r="AB96" s="97"/>
    </row>
    <row r="97" ht="22.5" customHeight="1">
      <c r="A97" s="91">
        <v>1733.0</v>
      </c>
      <c r="B97" s="92">
        <v>45889.0</v>
      </c>
      <c r="C97" s="16" t="s">
        <v>451</v>
      </c>
      <c r="D97" s="94"/>
      <c r="E97" s="16" t="s">
        <v>452</v>
      </c>
      <c r="F97" s="16" t="s">
        <v>458</v>
      </c>
      <c r="G97" s="16">
        <v>1.9250209E7</v>
      </c>
      <c r="H97" s="16" t="s">
        <v>348</v>
      </c>
      <c r="I97" s="19" t="s">
        <v>459</v>
      </c>
      <c r="J97" s="36" t="s">
        <v>460</v>
      </c>
      <c r="K97" s="16" t="s">
        <v>461</v>
      </c>
      <c r="L97" s="16" t="s">
        <v>462</v>
      </c>
      <c r="M97" s="16" t="s">
        <v>463</v>
      </c>
      <c r="N97" s="94"/>
      <c r="O97" s="16" t="s">
        <v>62</v>
      </c>
      <c r="P97" s="92">
        <v>45891.0</v>
      </c>
      <c r="Q97" s="95"/>
      <c r="R97" s="95"/>
      <c r="S97" s="95"/>
      <c r="T97" s="95"/>
      <c r="U97" s="95"/>
      <c r="V97" s="95"/>
      <c r="W97" s="96"/>
      <c r="X97" s="95"/>
      <c r="Y97" s="95"/>
      <c r="Z97" s="95"/>
      <c r="AA97" s="97"/>
      <c r="AB97" s="97"/>
    </row>
    <row r="98" ht="22.5" customHeight="1">
      <c r="A98" s="91">
        <v>1738.0</v>
      </c>
      <c r="B98" s="92">
        <v>45891.0</v>
      </c>
      <c r="C98" s="16" t="s">
        <v>464</v>
      </c>
      <c r="D98" s="94"/>
      <c r="E98" s="16" t="s">
        <v>465</v>
      </c>
      <c r="F98" s="16" t="s">
        <v>466</v>
      </c>
      <c r="G98" s="16">
        <v>1.5840527E7</v>
      </c>
      <c r="H98" s="16" t="s">
        <v>51</v>
      </c>
      <c r="I98" s="19" t="s">
        <v>467</v>
      </c>
      <c r="J98" s="36" t="s">
        <v>468</v>
      </c>
      <c r="K98" s="16" t="s">
        <v>469</v>
      </c>
      <c r="L98" s="129" t="s">
        <v>470</v>
      </c>
      <c r="M98" s="129" t="s">
        <v>471</v>
      </c>
      <c r="N98" s="94"/>
      <c r="O98" s="95"/>
      <c r="P98" s="95"/>
      <c r="Q98" s="16" t="s">
        <v>62</v>
      </c>
      <c r="R98" s="92">
        <v>45936.0</v>
      </c>
      <c r="S98" s="95"/>
      <c r="T98" s="95"/>
      <c r="U98" s="95"/>
      <c r="V98" s="95"/>
      <c r="W98" s="96"/>
      <c r="X98" s="95"/>
      <c r="Y98" s="95"/>
      <c r="Z98" s="95"/>
      <c r="AA98" s="97"/>
      <c r="AB98" s="97"/>
    </row>
    <row r="99" ht="22.5" customHeight="1">
      <c r="A99" s="91">
        <v>1739.0</v>
      </c>
      <c r="B99" s="92">
        <v>45891.0</v>
      </c>
      <c r="C99" s="16" t="s">
        <v>322</v>
      </c>
      <c r="D99" s="106" t="s">
        <v>29</v>
      </c>
      <c r="E99" s="16" t="s">
        <v>48</v>
      </c>
      <c r="F99" s="16" t="s">
        <v>49</v>
      </c>
      <c r="G99" s="16">
        <v>1.469219E7</v>
      </c>
      <c r="H99" s="16" t="s">
        <v>51</v>
      </c>
      <c r="I99" s="19" t="s">
        <v>472</v>
      </c>
      <c r="J99" s="42" t="s">
        <v>473</v>
      </c>
      <c r="K99" s="16" t="s">
        <v>143</v>
      </c>
      <c r="L99" s="98"/>
      <c r="M99" s="94"/>
      <c r="N99" s="94"/>
      <c r="O99" s="95"/>
      <c r="P99" s="95"/>
      <c r="Q99" s="95"/>
      <c r="R99" s="95"/>
      <c r="S99" s="95"/>
      <c r="T99" s="95"/>
      <c r="U99" s="95"/>
      <c r="V99" s="95"/>
      <c r="W99" s="96"/>
      <c r="X99" s="95"/>
      <c r="Y99" s="95"/>
      <c r="Z99" s="95"/>
      <c r="AA99" s="97"/>
      <c r="AB99" s="97"/>
    </row>
    <row r="100" ht="22.5" customHeight="1">
      <c r="A100" s="91">
        <v>1741.0</v>
      </c>
      <c r="B100" s="92">
        <v>45894.0</v>
      </c>
      <c r="C100" s="16" t="s">
        <v>474</v>
      </c>
      <c r="D100" s="94"/>
      <c r="E100" s="16" t="s">
        <v>475</v>
      </c>
      <c r="F100" s="16" t="s">
        <v>476</v>
      </c>
      <c r="G100" s="16" t="s">
        <v>50</v>
      </c>
      <c r="H100" s="16" t="s">
        <v>348</v>
      </c>
      <c r="I100" s="19" t="s">
        <v>477</v>
      </c>
      <c r="J100" s="36" t="s">
        <v>478</v>
      </c>
      <c r="K100" s="16" t="s">
        <v>479</v>
      </c>
      <c r="L100" s="16" t="s">
        <v>480</v>
      </c>
      <c r="M100" s="94"/>
      <c r="N100" s="94"/>
      <c r="O100" s="95"/>
      <c r="P100" s="95"/>
      <c r="Q100" s="16" t="s">
        <v>62</v>
      </c>
      <c r="R100" s="92">
        <v>45919.0</v>
      </c>
      <c r="S100" s="95"/>
      <c r="T100" s="95"/>
      <c r="U100" s="95"/>
      <c r="V100" s="95"/>
      <c r="W100" s="96"/>
      <c r="X100" s="95"/>
      <c r="Y100" s="95"/>
      <c r="Z100" s="95"/>
      <c r="AA100" s="97"/>
      <c r="AB100" s="97"/>
    </row>
    <row r="101" ht="22.5" customHeight="1">
      <c r="A101" s="91">
        <v>1743.0</v>
      </c>
      <c r="B101" s="92">
        <v>45894.0</v>
      </c>
      <c r="C101" s="16" t="s">
        <v>481</v>
      </c>
      <c r="D101" s="94"/>
      <c r="E101" s="16" t="s">
        <v>482</v>
      </c>
      <c r="F101" s="16" t="s">
        <v>483</v>
      </c>
      <c r="G101" s="16">
        <v>1.6010174E7</v>
      </c>
      <c r="H101" s="16" t="s">
        <v>51</v>
      </c>
      <c r="I101" s="19" t="s">
        <v>484</v>
      </c>
      <c r="J101" s="36" t="s">
        <v>485</v>
      </c>
      <c r="K101" s="16" t="s">
        <v>486</v>
      </c>
      <c r="L101" s="16" t="s">
        <v>487</v>
      </c>
      <c r="M101" s="16" t="s">
        <v>488</v>
      </c>
      <c r="N101" s="94"/>
      <c r="O101" s="95"/>
      <c r="P101" s="95"/>
      <c r="Q101" s="95"/>
      <c r="R101" s="95"/>
      <c r="S101" s="16" t="s">
        <v>62</v>
      </c>
      <c r="T101" s="92">
        <v>45912.0</v>
      </c>
      <c r="U101" s="95"/>
      <c r="V101" s="95"/>
      <c r="W101" s="96"/>
      <c r="X101" s="95"/>
      <c r="Y101" s="95"/>
      <c r="Z101" s="95"/>
      <c r="AA101" s="97"/>
      <c r="AB101" s="97"/>
    </row>
    <row r="102" ht="22.5" customHeight="1">
      <c r="A102" s="91">
        <v>1751.0</v>
      </c>
      <c r="B102" s="92">
        <v>45903.0</v>
      </c>
      <c r="C102" s="16" t="s">
        <v>481</v>
      </c>
      <c r="D102" s="94"/>
      <c r="E102" s="16" t="s">
        <v>482</v>
      </c>
      <c r="F102" s="16" t="s">
        <v>483</v>
      </c>
      <c r="G102" s="16">
        <v>1.6010172E7</v>
      </c>
      <c r="H102" s="16" t="s">
        <v>51</v>
      </c>
      <c r="I102" s="19" t="s">
        <v>489</v>
      </c>
      <c r="J102" s="36" t="s">
        <v>490</v>
      </c>
      <c r="K102" s="16" t="s">
        <v>486</v>
      </c>
      <c r="L102" s="16" t="s">
        <v>491</v>
      </c>
      <c r="M102" s="33" t="s">
        <v>492</v>
      </c>
      <c r="N102" s="94"/>
      <c r="O102" s="95"/>
      <c r="P102" s="95"/>
      <c r="Q102" s="16" t="s">
        <v>62</v>
      </c>
      <c r="R102" s="92">
        <v>45936.0</v>
      </c>
      <c r="S102" s="95"/>
      <c r="T102" s="95"/>
      <c r="U102" s="95"/>
      <c r="V102" s="95"/>
      <c r="W102" s="96"/>
      <c r="X102" s="95"/>
      <c r="Y102" s="95"/>
      <c r="Z102" s="95"/>
      <c r="AA102" s="97"/>
      <c r="AB102" s="97"/>
    </row>
    <row r="103" ht="22.5" customHeight="1">
      <c r="A103" s="91">
        <v>1752.0</v>
      </c>
      <c r="B103" s="92">
        <v>45903.0</v>
      </c>
      <c r="C103" s="16" t="s">
        <v>481</v>
      </c>
      <c r="D103" s="94"/>
      <c r="E103" s="16" t="s">
        <v>482</v>
      </c>
      <c r="F103" s="16" t="s">
        <v>483</v>
      </c>
      <c r="G103" s="16">
        <v>1.6010173E7</v>
      </c>
      <c r="H103" s="16" t="s">
        <v>51</v>
      </c>
      <c r="I103" s="19" t="s">
        <v>493</v>
      </c>
      <c r="J103" s="36" t="s">
        <v>494</v>
      </c>
      <c r="K103" s="16" t="s">
        <v>486</v>
      </c>
      <c r="L103" s="16" t="s">
        <v>495</v>
      </c>
      <c r="M103" s="33" t="s">
        <v>492</v>
      </c>
      <c r="N103" s="94"/>
      <c r="O103" s="95"/>
      <c r="P103" s="95"/>
      <c r="Q103" s="16" t="s">
        <v>62</v>
      </c>
      <c r="R103" s="92">
        <v>45936.0</v>
      </c>
      <c r="S103" s="95"/>
      <c r="T103" s="95"/>
      <c r="U103" s="95"/>
      <c r="V103" s="95"/>
      <c r="W103" s="96"/>
      <c r="X103" s="95"/>
      <c r="Y103" s="95"/>
      <c r="Z103" s="95"/>
      <c r="AA103" s="97"/>
      <c r="AB103" s="97"/>
    </row>
    <row r="104" ht="22.5" customHeight="1">
      <c r="A104" s="91">
        <v>1757.0</v>
      </c>
      <c r="B104" s="16" t="s">
        <v>496</v>
      </c>
      <c r="C104" s="16" t="s">
        <v>401</v>
      </c>
      <c r="D104" s="16" t="s">
        <v>29</v>
      </c>
      <c r="E104" s="16" t="s">
        <v>220</v>
      </c>
      <c r="F104" s="16" t="s">
        <v>160</v>
      </c>
      <c r="G104" s="16">
        <v>1.918048E7</v>
      </c>
      <c r="H104" s="18" t="s">
        <v>120</v>
      </c>
      <c r="I104" s="19" t="s">
        <v>497</v>
      </c>
      <c r="J104" s="28" t="s">
        <v>169</v>
      </c>
      <c r="K104" s="16" t="s">
        <v>223</v>
      </c>
      <c r="L104" s="98"/>
      <c r="M104" s="94"/>
      <c r="N104" s="94"/>
      <c r="O104" s="95"/>
      <c r="P104" s="95"/>
      <c r="Q104" s="95"/>
      <c r="R104" s="95"/>
      <c r="S104" s="95"/>
      <c r="T104" s="95"/>
      <c r="U104" s="95"/>
      <c r="V104" s="95"/>
      <c r="W104" s="96"/>
      <c r="X104" s="95"/>
      <c r="Y104" s="95"/>
      <c r="Z104" s="95"/>
      <c r="AA104" s="97"/>
      <c r="AB104" s="97"/>
    </row>
    <row r="105" ht="22.5" customHeight="1">
      <c r="A105" s="91">
        <v>1763.0</v>
      </c>
      <c r="B105" s="92">
        <v>45909.0</v>
      </c>
      <c r="C105" s="16" t="s">
        <v>498</v>
      </c>
      <c r="D105" s="94"/>
      <c r="E105" s="16" t="s">
        <v>499</v>
      </c>
      <c r="F105" s="16" t="s">
        <v>500</v>
      </c>
      <c r="G105" s="94"/>
      <c r="H105" s="16" t="s">
        <v>348</v>
      </c>
      <c r="I105" s="19" t="s">
        <v>501</v>
      </c>
      <c r="J105" s="36" t="s">
        <v>502</v>
      </c>
      <c r="K105" s="16" t="s">
        <v>503</v>
      </c>
      <c r="L105" s="98"/>
      <c r="M105" s="16" t="s">
        <v>504</v>
      </c>
      <c r="N105" s="94"/>
      <c r="O105" s="16" t="s">
        <v>62</v>
      </c>
      <c r="P105" s="92">
        <v>45909.0</v>
      </c>
      <c r="Q105" s="95"/>
      <c r="R105" s="95"/>
      <c r="S105" s="95"/>
      <c r="T105" s="95"/>
      <c r="U105" s="95"/>
      <c r="V105" s="95"/>
      <c r="W105" s="96"/>
      <c r="X105" s="95"/>
      <c r="Y105" s="95"/>
      <c r="Z105" s="95"/>
      <c r="AA105" s="97"/>
      <c r="AB105" s="97"/>
    </row>
    <row r="106" ht="22.5" customHeight="1">
      <c r="A106" s="91">
        <v>1766.0</v>
      </c>
      <c r="B106" s="92">
        <v>45910.0</v>
      </c>
      <c r="C106" s="16" t="s">
        <v>505</v>
      </c>
      <c r="D106" s="16" t="s">
        <v>29</v>
      </c>
      <c r="E106" s="16" t="s">
        <v>506</v>
      </c>
      <c r="F106" s="16" t="s">
        <v>49</v>
      </c>
      <c r="G106" s="16" t="s">
        <v>507</v>
      </c>
      <c r="H106" s="16" t="s">
        <v>200</v>
      </c>
      <c r="I106" s="19" t="s">
        <v>508</v>
      </c>
      <c r="J106" s="28" t="s">
        <v>509</v>
      </c>
      <c r="K106" s="21" t="s">
        <v>510</v>
      </c>
      <c r="L106" s="57" t="s">
        <v>511</v>
      </c>
      <c r="M106" s="21" t="s">
        <v>512</v>
      </c>
      <c r="N106" s="94"/>
      <c r="O106" s="95"/>
      <c r="P106" s="95"/>
      <c r="Q106" s="95"/>
      <c r="R106" s="95"/>
      <c r="S106" s="95"/>
      <c r="T106" s="95"/>
      <c r="U106" s="95"/>
      <c r="V106" s="95"/>
      <c r="W106" s="96"/>
      <c r="X106" s="95"/>
      <c r="Y106" s="95"/>
      <c r="Z106" s="95"/>
      <c r="AA106" s="97"/>
      <c r="AB106" s="97"/>
    </row>
    <row r="107" ht="22.5" customHeight="1">
      <c r="A107" s="91">
        <v>1772.0</v>
      </c>
      <c r="B107" s="92">
        <v>45912.0</v>
      </c>
      <c r="C107" s="16" t="s">
        <v>513</v>
      </c>
      <c r="D107" s="94"/>
      <c r="E107" s="16" t="s">
        <v>514</v>
      </c>
      <c r="F107" s="16" t="s">
        <v>515</v>
      </c>
      <c r="G107" s="16" t="s">
        <v>50</v>
      </c>
      <c r="H107" s="16" t="s">
        <v>516</v>
      </c>
      <c r="I107" s="19" t="s">
        <v>517</v>
      </c>
      <c r="J107" s="36" t="s">
        <v>518</v>
      </c>
      <c r="K107" s="16" t="s">
        <v>519</v>
      </c>
      <c r="L107" s="16" t="s">
        <v>520</v>
      </c>
      <c r="M107" s="130" t="s">
        <v>521</v>
      </c>
      <c r="N107" s="94"/>
      <c r="O107" s="95"/>
      <c r="P107" s="95"/>
      <c r="Q107" s="95"/>
      <c r="R107" s="95"/>
      <c r="S107" s="95"/>
      <c r="T107" s="95"/>
      <c r="U107" s="95"/>
      <c r="V107" s="95"/>
      <c r="W107" s="96"/>
      <c r="X107" s="95"/>
      <c r="Y107" s="95"/>
      <c r="Z107" s="95"/>
      <c r="AA107" s="97"/>
      <c r="AB107" s="97"/>
    </row>
    <row r="108" ht="22.5" customHeight="1">
      <c r="A108" s="91">
        <v>1773.0</v>
      </c>
      <c r="B108" s="92">
        <v>45912.0</v>
      </c>
      <c r="C108" s="16" t="s">
        <v>481</v>
      </c>
      <c r="D108" s="94"/>
      <c r="E108" s="16" t="s">
        <v>482</v>
      </c>
      <c r="F108" s="16" t="s">
        <v>483</v>
      </c>
      <c r="G108" s="16">
        <v>1.6010175E7</v>
      </c>
      <c r="H108" s="16" t="s">
        <v>51</v>
      </c>
      <c r="I108" s="19" t="s">
        <v>522</v>
      </c>
      <c r="J108" s="36" t="s">
        <v>523</v>
      </c>
      <c r="K108" s="16" t="s">
        <v>486</v>
      </c>
      <c r="L108" s="16" t="s">
        <v>524</v>
      </c>
      <c r="M108" s="130" t="s">
        <v>492</v>
      </c>
      <c r="N108" s="94"/>
      <c r="O108" s="95"/>
      <c r="P108" s="95"/>
      <c r="Q108" s="16" t="s">
        <v>62</v>
      </c>
      <c r="R108" s="92">
        <v>45936.0</v>
      </c>
      <c r="S108" s="95"/>
      <c r="T108" s="95"/>
      <c r="U108" s="95"/>
      <c r="V108" s="95"/>
      <c r="W108" s="96"/>
      <c r="X108" s="95"/>
      <c r="Y108" s="95"/>
      <c r="Z108" s="95"/>
      <c r="AA108" s="97"/>
      <c r="AB108" s="97"/>
    </row>
    <row r="109" ht="22.5" customHeight="1">
      <c r="A109" s="91">
        <v>1775.0</v>
      </c>
      <c r="B109" s="92">
        <v>45916.0</v>
      </c>
      <c r="C109" s="16" t="s">
        <v>513</v>
      </c>
      <c r="D109" s="94"/>
      <c r="E109" s="16" t="s">
        <v>514</v>
      </c>
      <c r="F109" s="16" t="s">
        <v>515</v>
      </c>
      <c r="G109" s="94"/>
      <c r="H109" s="16" t="s">
        <v>516</v>
      </c>
      <c r="I109" s="19" t="s">
        <v>525</v>
      </c>
      <c r="J109" s="36" t="s">
        <v>526</v>
      </c>
      <c r="K109" s="16" t="s">
        <v>519</v>
      </c>
      <c r="L109" s="16" t="s">
        <v>527</v>
      </c>
      <c r="M109" s="16" t="s">
        <v>528</v>
      </c>
      <c r="N109" s="94"/>
      <c r="O109" s="95"/>
      <c r="P109" s="95"/>
      <c r="Q109" s="95"/>
      <c r="R109" s="95"/>
      <c r="S109" s="95"/>
      <c r="T109" s="95"/>
      <c r="U109" s="95"/>
      <c r="V109" s="95"/>
      <c r="W109" s="96"/>
      <c r="X109" s="95"/>
      <c r="Y109" s="95"/>
      <c r="Z109" s="95"/>
      <c r="AA109" s="97"/>
      <c r="AB109" s="97"/>
    </row>
    <row r="110" ht="22.5" customHeight="1">
      <c r="A110" s="91">
        <v>1782.0</v>
      </c>
      <c r="B110" s="92">
        <v>45922.0</v>
      </c>
      <c r="C110" s="16" t="s">
        <v>529</v>
      </c>
      <c r="D110" s="94"/>
      <c r="E110" s="16" t="s">
        <v>530</v>
      </c>
      <c r="F110" s="16" t="s">
        <v>531</v>
      </c>
      <c r="G110" s="16">
        <v>1.373072E7</v>
      </c>
      <c r="H110" s="16" t="s">
        <v>51</v>
      </c>
      <c r="I110" s="19" t="s">
        <v>532</v>
      </c>
      <c r="J110" s="69"/>
      <c r="K110" s="16" t="s">
        <v>533</v>
      </c>
      <c r="L110" s="98"/>
      <c r="M110" s="94"/>
      <c r="N110" s="94"/>
      <c r="O110" s="95"/>
      <c r="P110" s="95"/>
      <c r="Q110" s="95"/>
      <c r="R110" s="95"/>
      <c r="S110" s="95"/>
      <c r="T110" s="95"/>
      <c r="U110" s="95"/>
      <c r="V110" s="95"/>
      <c r="W110" s="96"/>
      <c r="X110" s="95"/>
      <c r="Y110" s="95"/>
      <c r="Z110" s="95"/>
      <c r="AA110" s="97"/>
      <c r="AB110" s="97"/>
    </row>
    <row r="111" ht="22.5" customHeight="1">
      <c r="A111" s="91">
        <v>1790.0</v>
      </c>
      <c r="B111" s="92">
        <v>45929.0</v>
      </c>
      <c r="C111" s="16" t="s">
        <v>498</v>
      </c>
      <c r="D111" s="94"/>
      <c r="E111" s="16" t="s">
        <v>499</v>
      </c>
      <c r="F111" s="16" t="s">
        <v>500</v>
      </c>
      <c r="G111" s="94"/>
      <c r="H111" s="16" t="s">
        <v>348</v>
      </c>
      <c r="I111" s="19" t="s">
        <v>501</v>
      </c>
      <c r="J111" s="36" t="s">
        <v>534</v>
      </c>
      <c r="K111" s="16" t="s">
        <v>503</v>
      </c>
      <c r="L111" s="98"/>
      <c r="M111" s="16" t="s">
        <v>504</v>
      </c>
      <c r="N111" s="94"/>
      <c r="O111" s="95"/>
      <c r="P111" s="95"/>
      <c r="Q111" s="95"/>
      <c r="R111" s="95"/>
      <c r="S111" s="95"/>
      <c r="T111" s="95"/>
      <c r="U111" s="95"/>
      <c r="V111" s="95"/>
      <c r="W111" s="96"/>
      <c r="X111" s="95"/>
      <c r="Y111" s="95"/>
      <c r="Z111" s="95"/>
      <c r="AA111" s="97"/>
      <c r="AB111" s="97"/>
    </row>
    <row r="112" ht="22.5" customHeight="1">
      <c r="A112" s="91">
        <v>1791.0</v>
      </c>
      <c r="B112" s="92">
        <v>45929.0</v>
      </c>
      <c r="C112" s="16" t="s">
        <v>345</v>
      </c>
      <c r="D112" s="94"/>
      <c r="E112" s="16" t="s">
        <v>535</v>
      </c>
      <c r="F112" s="16" t="s">
        <v>347</v>
      </c>
      <c r="G112" s="16" t="s">
        <v>536</v>
      </c>
      <c r="H112" s="16" t="s">
        <v>348</v>
      </c>
      <c r="I112" s="19" t="s">
        <v>537</v>
      </c>
      <c r="J112" s="42" t="s">
        <v>538</v>
      </c>
      <c r="K112" s="16"/>
      <c r="L112" s="98"/>
      <c r="M112" s="94"/>
      <c r="N112" s="94"/>
      <c r="O112" s="95"/>
      <c r="P112" s="95"/>
      <c r="Q112" s="95"/>
      <c r="R112" s="95"/>
      <c r="S112" s="95"/>
      <c r="T112" s="95"/>
      <c r="U112" s="95"/>
      <c r="V112" s="95"/>
      <c r="W112" s="96"/>
      <c r="X112" s="95"/>
      <c r="Y112" s="95"/>
      <c r="Z112" s="95"/>
      <c r="AA112" s="97"/>
      <c r="AB112" s="97"/>
    </row>
    <row r="113" ht="22.5" customHeight="1">
      <c r="A113" s="91">
        <v>1795.0</v>
      </c>
      <c r="B113" s="92">
        <v>45931.0</v>
      </c>
      <c r="C113" s="16" t="s">
        <v>539</v>
      </c>
      <c r="D113" s="94"/>
      <c r="E113" s="16" t="s">
        <v>540</v>
      </c>
      <c r="F113" s="16" t="s">
        <v>541</v>
      </c>
      <c r="G113" s="16">
        <v>1.5271039E7</v>
      </c>
      <c r="H113" s="16" t="s">
        <v>348</v>
      </c>
      <c r="I113" s="19" t="s">
        <v>542</v>
      </c>
      <c r="J113" s="36" t="s">
        <v>543</v>
      </c>
      <c r="K113" s="16" t="s">
        <v>544</v>
      </c>
      <c r="L113" s="16" t="s">
        <v>545</v>
      </c>
      <c r="M113" s="94"/>
      <c r="N113" s="94"/>
      <c r="O113" s="16" t="s">
        <v>62</v>
      </c>
      <c r="P113" s="92">
        <v>45960.0</v>
      </c>
      <c r="Q113" s="95"/>
      <c r="R113" s="95"/>
      <c r="S113" s="95"/>
      <c r="T113" s="95"/>
      <c r="U113" s="95"/>
      <c r="V113" s="95"/>
      <c r="W113" s="96"/>
      <c r="X113" s="95"/>
      <c r="Y113" s="95"/>
      <c r="Z113" s="95"/>
      <c r="AA113" s="97"/>
      <c r="AB113" s="97"/>
    </row>
    <row r="114" ht="22.5" customHeight="1">
      <c r="A114" s="91">
        <v>1797.0</v>
      </c>
      <c r="B114" s="92">
        <v>45931.0</v>
      </c>
      <c r="C114" s="16" t="s">
        <v>539</v>
      </c>
      <c r="D114" s="94"/>
      <c r="E114" s="16" t="s">
        <v>540</v>
      </c>
      <c r="F114" s="16" t="s">
        <v>541</v>
      </c>
      <c r="G114" s="16">
        <v>1.5271041E7</v>
      </c>
      <c r="H114" s="16" t="s">
        <v>348</v>
      </c>
      <c r="I114" s="19" t="s">
        <v>546</v>
      </c>
      <c r="J114" s="36" t="s">
        <v>547</v>
      </c>
      <c r="K114" s="16" t="s">
        <v>544</v>
      </c>
      <c r="L114" s="16" t="s">
        <v>545</v>
      </c>
      <c r="M114" s="94"/>
      <c r="N114" s="94"/>
      <c r="O114" s="16" t="s">
        <v>62</v>
      </c>
      <c r="P114" s="92">
        <v>45960.0</v>
      </c>
      <c r="Q114" s="95"/>
      <c r="R114" s="95"/>
      <c r="S114" s="95"/>
      <c r="T114" s="95"/>
      <c r="U114" s="95"/>
      <c r="V114" s="95"/>
      <c r="W114" s="96"/>
      <c r="X114" s="95"/>
      <c r="Y114" s="95"/>
      <c r="Z114" s="95"/>
      <c r="AA114" s="97"/>
      <c r="AB114" s="97"/>
    </row>
    <row r="115" ht="22.5" customHeight="1">
      <c r="A115" s="91">
        <v>1798.0</v>
      </c>
      <c r="B115" s="92">
        <v>45932.0</v>
      </c>
      <c r="C115" s="16" t="s">
        <v>548</v>
      </c>
      <c r="D115" s="94"/>
      <c r="E115" s="16" t="s">
        <v>549</v>
      </c>
      <c r="F115" s="16" t="s">
        <v>550</v>
      </c>
      <c r="G115" s="16">
        <v>1.8280066E7</v>
      </c>
      <c r="H115" s="16" t="s">
        <v>32</v>
      </c>
      <c r="I115" s="19" t="s">
        <v>551</v>
      </c>
      <c r="J115" s="42" t="s">
        <v>552</v>
      </c>
      <c r="K115" s="16" t="s">
        <v>553</v>
      </c>
      <c r="L115" s="61" t="s">
        <v>554</v>
      </c>
      <c r="M115" s="16" t="s">
        <v>555</v>
      </c>
      <c r="N115" s="94"/>
      <c r="O115" s="95"/>
      <c r="P115" s="95"/>
      <c r="Q115" s="95"/>
      <c r="R115" s="95"/>
      <c r="S115" s="16" t="s">
        <v>174</v>
      </c>
      <c r="T115" s="95"/>
      <c r="U115" s="95"/>
      <c r="V115" s="95"/>
      <c r="W115" s="96"/>
      <c r="X115" s="95"/>
      <c r="Y115" s="95"/>
      <c r="Z115" s="95"/>
      <c r="AA115" s="97"/>
      <c r="AB115" s="97"/>
    </row>
    <row r="116" ht="22.5" customHeight="1">
      <c r="A116" s="91">
        <v>1799.0</v>
      </c>
      <c r="B116" s="92">
        <v>45932.0</v>
      </c>
      <c r="C116" s="16" t="s">
        <v>539</v>
      </c>
      <c r="D116" s="94"/>
      <c r="E116" s="16" t="s">
        <v>540</v>
      </c>
      <c r="F116" s="16" t="s">
        <v>541</v>
      </c>
      <c r="G116" s="91" t="s">
        <v>556</v>
      </c>
      <c r="H116" s="16" t="s">
        <v>348</v>
      </c>
      <c r="I116" s="19" t="s">
        <v>557</v>
      </c>
      <c r="J116" s="36" t="s">
        <v>558</v>
      </c>
      <c r="K116" s="16" t="s">
        <v>544</v>
      </c>
      <c r="L116" s="16" t="s">
        <v>545</v>
      </c>
      <c r="M116" s="94"/>
      <c r="N116" s="94"/>
      <c r="O116" s="16" t="s">
        <v>62</v>
      </c>
      <c r="P116" s="92">
        <v>45960.0</v>
      </c>
      <c r="Q116" s="95"/>
      <c r="R116" s="95"/>
      <c r="S116" s="95"/>
      <c r="T116" s="95"/>
      <c r="U116" s="95"/>
      <c r="V116" s="95"/>
      <c r="W116" s="96"/>
      <c r="X116" s="95"/>
      <c r="Y116" s="95"/>
      <c r="Z116" s="95"/>
      <c r="AA116" s="97"/>
      <c r="AB116" s="97"/>
    </row>
    <row r="117" ht="22.5" customHeight="1">
      <c r="A117" s="91">
        <v>1800.0</v>
      </c>
      <c r="B117" s="92">
        <v>45932.0</v>
      </c>
      <c r="C117" s="16" t="s">
        <v>238</v>
      </c>
      <c r="D117" s="94"/>
      <c r="E117" s="16" t="s">
        <v>239</v>
      </c>
      <c r="F117" s="16" t="s">
        <v>559</v>
      </c>
      <c r="G117" s="16">
        <v>1.7190954E7</v>
      </c>
      <c r="H117" s="16" t="s">
        <v>103</v>
      </c>
      <c r="I117" s="19" t="s">
        <v>560</v>
      </c>
      <c r="J117" s="36" t="s">
        <v>561</v>
      </c>
      <c r="K117" s="18" t="s">
        <v>243</v>
      </c>
      <c r="L117" s="61" t="s">
        <v>562</v>
      </c>
      <c r="M117" s="131" t="s">
        <v>563</v>
      </c>
      <c r="N117" s="94"/>
      <c r="O117" s="95"/>
      <c r="P117" s="95"/>
      <c r="Q117" s="95"/>
      <c r="R117" s="95"/>
      <c r="S117" s="95"/>
      <c r="T117" s="95"/>
      <c r="U117" s="95"/>
      <c r="V117" s="95"/>
      <c r="W117" s="96"/>
      <c r="X117" s="95"/>
      <c r="Y117" s="95"/>
      <c r="Z117" s="95"/>
      <c r="AA117" s="97"/>
      <c r="AB117" s="97"/>
    </row>
    <row r="118" ht="22.5" customHeight="1">
      <c r="A118" s="91">
        <v>1802.0</v>
      </c>
      <c r="B118" s="92">
        <v>45933.0</v>
      </c>
      <c r="C118" s="16" t="s">
        <v>564</v>
      </c>
      <c r="D118" s="94"/>
      <c r="E118" s="16" t="s">
        <v>565</v>
      </c>
      <c r="F118" s="127" t="s">
        <v>566</v>
      </c>
      <c r="G118" s="16">
        <v>1.7210123E7</v>
      </c>
      <c r="H118" s="16" t="s">
        <v>135</v>
      </c>
      <c r="I118" s="19" t="s">
        <v>567</v>
      </c>
      <c r="J118" s="42" t="s">
        <v>568</v>
      </c>
      <c r="K118" s="16" t="s">
        <v>569</v>
      </c>
      <c r="L118" s="98"/>
      <c r="M118" s="94"/>
      <c r="N118" s="94"/>
      <c r="O118" s="95"/>
      <c r="P118" s="95"/>
      <c r="Q118" s="95"/>
      <c r="R118" s="95"/>
      <c r="S118" s="95"/>
      <c r="T118" s="95"/>
      <c r="U118" s="95"/>
      <c r="V118" s="95"/>
      <c r="W118" s="96"/>
      <c r="X118" s="95"/>
      <c r="Y118" s="95"/>
      <c r="Z118" s="95"/>
      <c r="AA118" s="97"/>
      <c r="AB118" s="97"/>
    </row>
    <row r="119" ht="22.5" customHeight="1">
      <c r="A119" s="91">
        <v>1808.0</v>
      </c>
      <c r="B119" s="92">
        <v>45940.0</v>
      </c>
      <c r="C119" s="16" t="s">
        <v>325</v>
      </c>
      <c r="D119" s="16" t="s">
        <v>66</v>
      </c>
      <c r="E119" s="16" t="s">
        <v>326</v>
      </c>
      <c r="F119" s="16" t="s">
        <v>423</v>
      </c>
      <c r="G119" s="16" t="s">
        <v>50</v>
      </c>
      <c r="H119" s="16" t="s">
        <v>570</v>
      </c>
      <c r="I119" s="19" t="s">
        <v>571</v>
      </c>
      <c r="J119" s="36" t="s">
        <v>572</v>
      </c>
      <c r="K119" s="16" t="s">
        <v>573</v>
      </c>
      <c r="L119" s="98"/>
      <c r="M119" s="94"/>
      <c r="N119" s="94"/>
      <c r="O119" s="16" t="s">
        <v>62</v>
      </c>
      <c r="P119" s="92">
        <v>46000.0</v>
      </c>
      <c r="Q119" s="95"/>
      <c r="R119" s="95"/>
      <c r="S119" s="95"/>
      <c r="T119" s="95"/>
      <c r="U119" s="95"/>
      <c r="V119" s="95"/>
      <c r="W119" s="96"/>
      <c r="X119" s="95"/>
      <c r="Y119" s="95"/>
      <c r="Z119" s="95"/>
      <c r="AA119" s="97"/>
      <c r="AB119" s="97"/>
    </row>
    <row r="120" ht="22.5" customHeight="1">
      <c r="A120" s="91">
        <v>1809.0</v>
      </c>
      <c r="B120" s="92">
        <v>45940.0</v>
      </c>
      <c r="C120" s="16" t="s">
        <v>574</v>
      </c>
      <c r="D120" s="94"/>
      <c r="E120" s="16" t="s">
        <v>575</v>
      </c>
      <c r="F120" s="16" t="s">
        <v>576</v>
      </c>
      <c r="G120" s="16" t="s">
        <v>577</v>
      </c>
      <c r="H120" s="16" t="s">
        <v>348</v>
      </c>
      <c r="I120" s="19" t="s">
        <v>578</v>
      </c>
      <c r="J120" s="36" t="s">
        <v>579</v>
      </c>
      <c r="K120" s="21" t="s">
        <v>313</v>
      </c>
      <c r="L120" s="98"/>
      <c r="M120" s="94"/>
      <c r="N120" s="94"/>
      <c r="O120" s="95"/>
      <c r="P120" s="95"/>
      <c r="Q120" s="95"/>
      <c r="R120" s="95"/>
      <c r="S120" s="95"/>
      <c r="T120" s="95"/>
      <c r="U120" s="95"/>
      <c r="V120" s="95"/>
      <c r="W120" s="96"/>
      <c r="X120" s="95"/>
      <c r="Y120" s="95"/>
      <c r="Z120" s="95"/>
      <c r="AA120" s="97"/>
      <c r="AB120" s="97"/>
    </row>
    <row r="121" ht="22.5" customHeight="1">
      <c r="A121" s="91">
        <v>1810.0</v>
      </c>
      <c r="B121" s="92">
        <v>45940.0</v>
      </c>
      <c r="C121" s="16" t="s">
        <v>498</v>
      </c>
      <c r="D121" s="94"/>
      <c r="E121" s="16" t="s">
        <v>499</v>
      </c>
      <c r="F121" s="16" t="s">
        <v>500</v>
      </c>
      <c r="G121" s="94"/>
      <c r="H121" s="16" t="s">
        <v>348</v>
      </c>
      <c r="I121" s="19" t="s">
        <v>580</v>
      </c>
      <c r="J121" s="36" t="s">
        <v>581</v>
      </c>
      <c r="K121" s="16" t="s">
        <v>503</v>
      </c>
      <c r="L121" s="98"/>
      <c r="M121" s="16" t="s">
        <v>504</v>
      </c>
      <c r="N121" s="94"/>
      <c r="O121" s="95"/>
      <c r="P121" s="95"/>
      <c r="Q121" s="95"/>
      <c r="R121" s="95"/>
      <c r="S121" s="95"/>
      <c r="T121" s="95"/>
      <c r="U121" s="95"/>
      <c r="V121" s="95"/>
      <c r="W121" s="96"/>
      <c r="X121" s="95"/>
      <c r="Y121" s="95"/>
      <c r="Z121" s="95"/>
      <c r="AA121" s="97"/>
      <c r="AB121" s="97"/>
    </row>
    <row r="122" ht="22.5" customHeight="1">
      <c r="A122" s="91">
        <v>1823.0</v>
      </c>
      <c r="B122" s="92">
        <v>45952.0</v>
      </c>
      <c r="C122" s="16" t="s">
        <v>582</v>
      </c>
      <c r="D122" s="94"/>
      <c r="E122" s="16" t="s">
        <v>67</v>
      </c>
      <c r="F122" s="16" t="s">
        <v>49</v>
      </c>
      <c r="G122" s="16">
        <v>1.9050285E7</v>
      </c>
      <c r="H122" s="16" t="s">
        <v>42</v>
      </c>
      <c r="I122" s="19" t="s">
        <v>583</v>
      </c>
      <c r="J122" s="36" t="s">
        <v>584</v>
      </c>
      <c r="K122" s="16" t="s">
        <v>129</v>
      </c>
      <c r="L122" s="16" t="s">
        <v>585</v>
      </c>
      <c r="M122" s="50" t="s">
        <v>586</v>
      </c>
      <c r="N122" s="94"/>
      <c r="O122" s="16" t="s">
        <v>62</v>
      </c>
      <c r="P122" s="92">
        <v>45958.0</v>
      </c>
      <c r="Q122" s="95"/>
      <c r="R122" s="95"/>
      <c r="S122" s="95"/>
      <c r="T122" s="95"/>
      <c r="U122" s="16" t="s">
        <v>150</v>
      </c>
      <c r="V122" s="92"/>
      <c r="W122" s="96"/>
      <c r="X122" s="95"/>
      <c r="Y122" s="95"/>
      <c r="Z122" s="95"/>
      <c r="AA122" s="97"/>
      <c r="AB122" s="97"/>
    </row>
    <row r="123" ht="22.5" customHeight="1">
      <c r="A123" s="91">
        <v>1825.0</v>
      </c>
      <c r="B123" s="92">
        <v>45953.0</v>
      </c>
      <c r="C123" s="16" t="s">
        <v>587</v>
      </c>
      <c r="D123" s="16" t="s">
        <v>29</v>
      </c>
      <c r="E123" s="16" t="s">
        <v>588</v>
      </c>
      <c r="F123" s="16" t="s">
        <v>589</v>
      </c>
      <c r="G123" s="16">
        <v>1.9500114E7</v>
      </c>
      <c r="H123" s="16" t="s">
        <v>51</v>
      </c>
      <c r="I123" s="19" t="s">
        <v>590</v>
      </c>
      <c r="J123" s="42" t="s">
        <v>591</v>
      </c>
      <c r="K123" s="18" t="s">
        <v>592</v>
      </c>
      <c r="L123" s="61" t="s">
        <v>593</v>
      </c>
      <c r="M123" s="16" t="s">
        <v>594</v>
      </c>
      <c r="N123" s="94"/>
      <c r="O123" s="95"/>
      <c r="P123" s="95"/>
      <c r="Q123" s="95"/>
      <c r="R123" s="95"/>
      <c r="S123" s="95"/>
      <c r="T123" s="95"/>
      <c r="U123" s="95"/>
      <c r="V123" s="95"/>
      <c r="W123" s="96"/>
      <c r="X123" s="95"/>
      <c r="Y123" s="95"/>
      <c r="Z123" s="95"/>
      <c r="AA123" s="97"/>
      <c r="AB123" s="97"/>
    </row>
    <row r="124" ht="22.5" customHeight="1">
      <c r="A124" s="91">
        <v>1826.0</v>
      </c>
      <c r="B124" s="92">
        <v>45954.0</v>
      </c>
      <c r="C124" s="16" t="s">
        <v>595</v>
      </c>
      <c r="D124" s="94"/>
      <c r="E124" s="16" t="s">
        <v>596</v>
      </c>
      <c r="F124" s="16" t="s">
        <v>49</v>
      </c>
      <c r="G124" s="16">
        <v>1.4072736E7</v>
      </c>
      <c r="H124" s="16" t="s">
        <v>51</v>
      </c>
      <c r="I124" s="19" t="s">
        <v>597</v>
      </c>
      <c r="J124" s="42" t="s">
        <v>598</v>
      </c>
      <c r="K124" s="16" t="s">
        <v>599</v>
      </c>
      <c r="L124" s="98"/>
      <c r="M124" s="94"/>
      <c r="N124" s="94"/>
      <c r="O124" s="95"/>
      <c r="P124" s="95"/>
      <c r="Q124" s="95"/>
      <c r="R124" s="95"/>
      <c r="S124" s="95"/>
      <c r="T124" s="95"/>
      <c r="U124" s="95"/>
      <c r="V124" s="95"/>
      <c r="W124" s="96"/>
      <c r="X124" s="95"/>
      <c r="Y124" s="95"/>
      <c r="Z124" s="95"/>
      <c r="AA124" s="97"/>
      <c r="AB124" s="97"/>
    </row>
    <row r="125" ht="22.5" customHeight="1">
      <c r="A125" s="91">
        <v>1827.0</v>
      </c>
      <c r="B125" s="92">
        <v>45954.0</v>
      </c>
      <c r="C125" s="16" t="s">
        <v>595</v>
      </c>
      <c r="D125" s="94"/>
      <c r="E125" s="16" t="s">
        <v>596</v>
      </c>
      <c r="F125" s="16" t="s">
        <v>49</v>
      </c>
      <c r="G125" s="16">
        <v>1.4072737E7</v>
      </c>
      <c r="H125" s="16" t="s">
        <v>51</v>
      </c>
      <c r="I125" s="19" t="s">
        <v>597</v>
      </c>
      <c r="J125" s="42" t="s">
        <v>598</v>
      </c>
      <c r="K125" s="16" t="s">
        <v>600</v>
      </c>
      <c r="L125" s="98"/>
      <c r="M125" s="94"/>
      <c r="N125" s="94"/>
      <c r="O125" s="95"/>
      <c r="P125" s="95"/>
      <c r="Q125" s="95"/>
      <c r="R125" s="95"/>
      <c r="S125" s="95"/>
      <c r="T125" s="95"/>
      <c r="U125" s="95"/>
      <c r="V125" s="95"/>
      <c r="W125" s="96"/>
      <c r="X125" s="95"/>
      <c r="Y125" s="95"/>
      <c r="Z125" s="95"/>
      <c r="AA125" s="97"/>
      <c r="AB125" s="97"/>
    </row>
    <row r="126" ht="22.5" customHeight="1">
      <c r="A126" s="91">
        <v>1835.0</v>
      </c>
      <c r="B126" s="92">
        <v>45960.0</v>
      </c>
      <c r="C126" s="16" t="s">
        <v>151</v>
      </c>
      <c r="D126" s="94"/>
      <c r="E126" s="16" t="s">
        <v>152</v>
      </c>
      <c r="F126" s="16" t="s">
        <v>153</v>
      </c>
      <c r="G126" s="16">
        <v>1.6720294E7</v>
      </c>
      <c r="H126" s="16" t="s">
        <v>51</v>
      </c>
      <c r="I126" s="19" t="s">
        <v>601</v>
      </c>
      <c r="J126" s="36" t="s">
        <v>602</v>
      </c>
      <c r="K126" s="16" t="s">
        <v>156</v>
      </c>
      <c r="L126" s="61" t="s">
        <v>157</v>
      </c>
      <c r="M126" s="94"/>
      <c r="N126" s="94"/>
      <c r="O126" s="16" t="s">
        <v>62</v>
      </c>
      <c r="P126" s="92">
        <v>46105.0</v>
      </c>
      <c r="Q126" s="95"/>
      <c r="R126" s="95"/>
      <c r="S126" s="95"/>
      <c r="T126" s="95"/>
      <c r="U126" s="95"/>
      <c r="V126" s="95"/>
      <c r="W126" s="96"/>
      <c r="X126" s="95"/>
      <c r="Y126" s="95"/>
      <c r="Z126" s="95"/>
      <c r="AA126" s="97"/>
      <c r="AB126" s="97"/>
    </row>
    <row r="127" ht="22.5" customHeight="1">
      <c r="A127" s="91">
        <v>1836.0</v>
      </c>
      <c r="B127" s="92">
        <v>45960.0</v>
      </c>
      <c r="C127" s="16" t="s">
        <v>151</v>
      </c>
      <c r="D127" s="94"/>
      <c r="E127" s="16" t="s">
        <v>152</v>
      </c>
      <c r="F127" s="16" t="s">
        <v>153</v>
      </c>
      <c r="G127" s="16">
        <v>1.6720295E7</v>
      </c>
      <c r="H127" s="16" t="s">
        <v>51</v>
      </c>
      <c r="I127" s="19" t="s">
        <v>603</v>
      </c>
      <c r="J127" s="36" t="s">
        <v>604</v>
      </c>
      <c r="K127" s="16" t="s">
        <v>156</v>
      </c>
      <c r="L127" s="61" t="s">
        <v>157</v>
      </c>
      <c r="M127" s="94"/>
      <c r="N127" s="94"/>
      <c r="O127" s="16" t="s">
        <v>62</v>
      </c>
      <c r="P127" s="92">
        <v>46105.0</v>
      </c>
      <c r="Q127" s="95"/>
      <c r="R127" s="95"/>
      <c r="S127" s="95"/>
      <c r="T127" s="95"/>
      <c r="U127" s="95"/>
      <c r="V127" s="95"/>
      <c r="W127" s="96"/>
      <c r="X127" s="95"/>
      <c r="Y127" s="95"/>
      <c r="Z127" s="95"/>
      <c r="AA127" s="97"/>
      <c r="AB127" s="97"/>
    </row>
    <row r="128" ht="22.5" customHeight="1">
      <c r="A128" s="91">
        <v>1839.0</v>
      </c>
      <c r="B128" s="92">
        <v>45966.0</v>
      </c>
      <c r="C128" s="16" t="s">
        <v>605</v>
      </c>
      <c r="D128" s="94"/>
      <c r="E128" s="16" t="s">
        <v>89</v>
      </c>
      <c r="F128" s="16" t="s">
        <v>41</v>
      </c>
      <c r="G128" s="16">
        <v>1.5831371E7</v>
      </c>
      <c r="H128" s="16" t="s">
        <v>51</v>
      </c>
      <c r="I128" s="19" t="s">
        <v>606</v>
      </c>
      <c r="J128" s="42" t="s">
        <v>607</v>
      </c>
      <c r="K128" s="16" t="s">
        <v>608</v>
      </c>
      <c r="L128" s="16" t="s">
        <v>609</v>
      </c>
      <c r="M128" s="94" t="s">
        <v>610</v>
      </c>
      <c r="N128" s="16"/>
      <c r="O128" s="95"/>
      <c r="P128" s="95"/>
      <c r="Q128" s="95"/>
      <c r="R128" s="95"/>
      <c r="S128" s="95"/>
      <c r="T128" s="95"/>
      <c r="U128" s="95"/>
      <c r="V128" s="95"/>
      <c r="W128" s="96"/>
      <c r="X128" s="95"/>
      <c r="Y128" s="95"/>
      <c r="Z128" s="95"/>
      <c r="AA128" s="97"/>
      <c r="AB128" s="97"/>
    </row>
    <row r="129" ht="22.5" customHeight="1">
      <c r="A129" s="91">
        <v>1840.0</v>
      </c>
      <c r="B129" s="92">
        <v>45966.0</v>
      </c>
      <c r="C129" s="16" t="s">
        <v>605</v>
      </c>
      <c r="D129" s="94"/>
      <c r="E129" s="16" t="s">
        <v>89</v>
      </c>
      <c r="F129" s="16" t="s">
        <v>41</v>
      </c>
      <c r="G129" s="16">
        <v>1.5831372E7</v>
      </c>
      <c r="H129" s="16" t="s">
        <v>51</v>
      </c>
      <c r="I129" s="19" t="s">
        <v>611</v>
      </c>
      <c r="J129" s="42" t="s">
        <v>612</v>
      </c>
      <c r="K129" s="16" t="s">
        <v>608</v>
      </c>
      <c r="L129" s="16" t="s">
        <v>613</v>
      </c>
      <c r="M129" s="94" t="s">
        <v>610</v>
      </c>
      <c r="N129" s="16"/>
      <c r="O129" s="95"/>
      <c r="P129" s="95"/>
      <c r="Q129" s="95"/>
      <c r="R129" s="95"/>
      <c r="S129" s="95"/>
      <c r="T129" s="95"/>
      <c r="U129" s="95"/>
      <c r="V129" s="95"/>
      <c r="W129" s="96"/>
      <c r="X129" s="95"/>
      <c r="Y129" s="95"/>
      <c r="Z129" s="95"/>
      <c r="AA129" s="97"/>
      <c r="AB129" s="97"/>
    </row>
    <row r="130" ht="22.5" customHeight="1">
      <c r="A130" s="91">
        <v>1841.0</v>
      </c>
      <c r="B130" s="92">
        <v>45966.0</v>
      </c>
      <c r="C130" s="16" t="s">
        <v>605</v>
      </c>
      <c r="D130" s="94"/>
      <c r="E130" s="16" t="s">
        <v>89</v>
      </c>
      <c r="F130" s="16" t="s">
        <v>41</v>
      </c>
      <c r="G130" s="16">
        <v>1.5831373E7</v>
      </c>
      <c r="H130" s="16" t="s">
        <v>51</v>
      </c>
      <c r="I130" s="19" t="s">
        <v>614</v>
      </c>
      <c r="J130" s="42" t="s">
        <v>615</v>
      </c>
      <c r="K130" s="16" t="s">
        <v>608</v>
      </c>
      <c r="L130" s="16" t="s">
        <v>616</v>
      </c>
      <c r="M130" s="94" t="s">
        <v>610</v>
      </c>
      <c r="N130" s="16"/>
      <c r="O130" s="95"/>
      <c r="P130" s="95"/>
      <c r="Q130" s="95"/>
      <c r="R130" s="95"/>
      <c r="S130" s="95"/>
      <c r="T130" s="95"/>
      <c r="U130" s="95"/>
      <c r="V130" s="95"/>
      <c r="W130" s="96"/>
      <c r="X130" s="95"/>
      <c r="Y130" s="95"/>
      <c r="Z130" s="95"/>
      <c r="AA130" s="97"/>
      <c r="AB130" s="97"/>
    </row>
    <row r="131" ht="22.5" customHeight="1">
      <c r="A131" s="91">
        <v>1842.0</v>
      </c>
      <c r="B131" s="92">
        <v>45966.0</v>
      </c>
      <c r="C131" s="16" t="s">
        <v>605</v>
      </c>
      <c r="D131" s="94"/>
      <c r="E131" s="16" t="s">
        <v>89</v>
      </c>
      <c r="F131" s="16" t="s">
        <v>41</v>
      </c>
      <c r="G131" s="16">
        <v>1.5831374E7</v>
      </c>
      <c r="H131" s="16" t="s">
        <v>51</v>
      </c>
      <c r="I131" s="19" t="s">
        <v>617</v>
      </c>
      <c r="J131" s="42" t="s">
        <v>618</v>
      </c>
      <c r="K131" s="16" t="s">
        <v>608</v>
      </c>
      <c r="L131" s="16" t="s">
        <v>619</v>
      </c>
      <c r="M131" s="94" t="s">
        <v>610</v>
      </c>
      <c r="N131" s="16"/>
      <c r="O131" s="95"/>
      <c r="P131" s="95"/>
      <c r="Q131" s="95"/>
      <c r="R131" s="95"/>
      <c r="S131" s="95"/>
      <c r="T131" s="95"/>
      <c r="U131" s="95"/>
      <c r="V131" s="95"/>
      <c r="W131" s="96"/>
      <c r="X131" s="95"/>
      <c r="Y131" s="95"/>
      <c r="Z131" s="95"/>
      <c r="AA131" s="97"/>
      <c r="AB131" s="97"/>
    </row>
    <row r="132" ht="22.5" customHeight="1">
      <c r="A132" s="91">
        <v>1843.0</v>
      </c>
      <c r="B132" s="92">
        <v>45966.0</v>
      </c>
      <c r="C132" s="16" t="s">
        <v>605</v>
      </c>
      <c r="D132" s="94"/>
      <c r="E132" s="16" t="s">
        <v>89</v>
      </c>
      <c r="F132" s="16" t="s">
        <v>41</v>
      </c>
      <c r="G132" s="16">
        <v>1.5831378E7</v>
      </c>
      <c r="H132" s="16" t="s">
        <v>51</v>
      </c>
      <c r="I132" s="19" t="s">
        <v>620</v>
      </c>
      <c r="J132" s="42" t="s">
        <v>621</v>
      </c>
      <c r="K132" s="16" t="s">
        <v>608</v>
      </c>
      <c r="L132" s="19" t="s">
        <v>622</v>
      </c>
      <c r="M132" s="94" t="s">
        <v>610</v>
      </c>
      <c r="N132" s="16"/>
      <c r="O132" s="95"/>
      <c r="P132" s="95"/>
      <c r="Q132" s="95"/>
      <c r="R132" s="95"/>
      <c r="S132" s="95"/>
      <c r="T132" s="95"/>
      <c r="U132" s="95"/>
      <c r="V132" s="95"/>
      <c r="W132" s="96"/>
      <c r="X132" s="95"/>
      <c r="Y132" s="95"/>
      <c r="Z132" s="95"/>
      <c r="AA132" s="97"/>
      <c r="AB132" s="97"/>
    </row>
    <row r="133" ht="22.5" customHeight="1">
      <c r="A133" s="91">
        <v>1844.0</v>
      </c>
      <c r="B133" s="92">
        <v>45966.0</v>
      </c>
      <c r="C133" s="16" t="s">
        <v>605</v>
      </c>
      <c r="D133" s="94"/>
      <c r="E133" s="16" t="s">
        <v>89</v>
      </c>
      <c r="F133" s="16" t="s">
        <v>41</v>
      </c>
      <c r="G133" s="16">
        <v>1.5831379E7</v>
      </c>
      <c r="H133" s="16" t="s">
        <v>51</v>
      </c>
      <c r="I133" s="19" t="s">
        <v>623</v>
      </c>
      <c r="J133" s="42" t="s">
        <v>624</v>
      </c>
      <c r="K133" s="16" t="s">
        <v>608</v>
      </c>
      <c r="L133" s="19" t="s">
        <v>625</v>
      </c>
      <c r="M133" s="94" t="s">
        <v>610</v>
      </c>
      <c r="N133" s="16"/>
      <c r="O133" s="95"/>
      <c r="P133" s="95"/>
      <c r="Q133" s="95"/>
      <c r="R133" s="95"/>
      <c r="S133" s="95"/>
      <c r="T133" s="95"/>
      <c r="U133" s="95"/>
      <c r="V133" s="95"/>
      <c r="W133" s="96"/>
      <c r="X133" s="95"/>
      <c r="Y133" s="95"/>
      <c r="Z133" s="95"/>
      <c r="AA133" s="97"/>
      <c r="AB133" s="97"/>
    </row>
    <row r="134" ht="22.5" customHeight="1">
      <c r="A134" s="91">
        <v>1855.0</v>
      </c>
      <c r="B134" s="92">
        <v>45966.0</v>
      </c>
      <c r="C134" s="16" t="s">
        <v>605</v>
      </c>
      <c r="D134" s="94"/>
      <c r="E134" s="16" t="s">
        <v>89</v>
      </c>
      <c r="F134" s="16" t="s">
        <v>41</v>
      </c>
      <c r="G134" s="16">
        <v>1.583139E7</v>
      </c>
      <c r="H134" s="16" t="s">
        <v>51</v>
      </c>
      <c r="I134" s="19" t="s">
        <v>626</v>
      </c>
      <c r="J134" s="42" t="s">
        <v>627</v>
      </c>
      <c r="K134" s="16" t="s">
        <v>608</v>
      </c>
      <c r="L134" s="19" t="s">
        <v>628</v>
      </c>
      <c r="M134" s="94" t="s">
        <v>610</v>
      </c>
      <c r="N134" s="16"/>
      <c r="O134" s="95"/>
      <c r="P134" s="95"/>
      <c r="Q134" s="95"/>
      <c r="R134" s="95"/>
      <c r="S134" s="95"/>
      <c r="T134" s="95"/>
      <c r="U134" s="95"/>
      <c r="V134" s="95"/>
      <c r="W134" s="96"/>
      <c r="X134" s="95"/>
      <c r="Y134" s="95"/>
      <c r="Z134" s="95"/>
      <c r="AA134" s="97"/>
      <c r="AB134" s="97"/>
    </row>
    <row r="135" ht="22.5" customHeight="1">
      <c r="A135" s="91">
        <v>1856.0</v>
      </c>
      <c r="B135" s="92">
        <v>45966.0</v>
      </c>
      <c r="C135" s="16" t="s">
        <v>605</v>
      </c>
      <c r="D135" s="94"/>
      <c r="E135" s="16" t="s">
        <v>89</v>
      </c>
      <c r="F135" s="16" t="s">
        <v>41</v>
      </c>
      <c r="G135" s="16">
        <v>1.5831391E7</v>
      </c>
      <c r="H135" s="16" t="s">
        <v>51</v>
      </c>
      <c r="I135" s="19" t="s">
        <v>629</v>
      </c>
      <c r="J135" s="42" t="s">
        <v>630</v>
      </c>
      <c r="K135" s="16" t="s">
        <v>608</v>
      </c>
      <c r="L135" s="19" t="s">
        <v>631</v>
      </c>
      <c r="M135" s="94" t="s">
        <v>610</v>
      </c>
      <c r="N135" s="16"/>
      <c r="O135" s="95"/>
      <c r="P135" s="95"/>
      <c r="Q135" s="95"/>
      <c r="R135" s="95"/>
      <c r="S135" s="95"/>
      <c r="T135" s="95"/>
      <c r="U135" s="95"/>
      <c r="V135" s="95"/>
      <c r="W135" s="96"/>
      <c r="X135" s="95"/>
      <c r="Y135" s="95"/>
      <c r="Z135" s="95"/>
      <c r="AA135" s="97"/>
      <c r="AB135" s="97"/>
    </row>
    <row r="136" ht="22.5" customHeight="1">
      <c r="A136" s="91">
        <v>1857.0</v>
      </c>
      <c r="B136" s="92">
        <v>45966.0</v>
      </c>
      <c r="C136" s="16" t="s">
        <v>605</v>
      </c>
      <c r="D136" s="94"/>
      <c r="E136" s="16" t="s">
        <v>89</v>
      </c>
      <c r="F136" s="16" t="s">
        <v>41</v>
      </c>
      <c r="G136" s="16">
        <v>1.5831392E7</v>
      </c>
      <c r="H136" s="16" t="s">
        <v>51</v>
      </c>
      <c r="I136" s="19" t="s">
        <v>632</v>
      </c>
      <c r="J136" s="42" t="s">
        <v>633</v>
      </c>
      <c r="K136" s="16" t="s">
        <v>608</v>
      </c>
      <c r="L136" s="19" t="s">
        <v>634</v>
      </c>
      <c r="M136" s="94" t="s">
        <v>610</v>
      </c>
      <c r="N136" s="94"/>
      <c r="O136" s="95"/>
      <c r="P136" s="95"/>
      <c r="Q136" s="95"/>
      <c r="R136" s="95"/>
      <c r="S136" s="95"/>
      <c r="T136" s="95"/>
      <c r="U136" s="95"/>
      <c r="V136" s="95"/>
      <c r="W136" s="96"/>
      <c r="X136" s="95"/>
      <c r="Y136" s="95"/>
      <c r="Z136" s="95"/>
      <c r="AA136" s="97"/>
      <c r="AB136" s="97"/>
    </row>
    <row r="137" ht="22.5" customHeight="1">
      <c r="A137" s="91">
        <v>1859.0</v>
      </c>
      <c r="B137" s="92">
        <v>45966.0</v>
      </c>
      <c r="C137" s="16" t="s">
        <v>605</v>
      </c>
      <c r="D137" s="94"/>
      <c r="E137" s="16" t="s">
        <v>89</v>
      </c>
      <c r="F137" s="16" t="s">
        <v>41</v>
      </c>
      <c r="G137" s="16">
        <v>1.5831395E7</v>
      </c>
      <c r="H137" s="16" t="s">
        <v>51</v>
      </c>
      <c r="I137" s="19" t="s">
        <v>635</v>
      </c>
      <c r="J137" s="36" t="s">
        <v>636</v>
      </c>
      <c r="K137" s="16" t="s">
        <v>608</v>
      </c>
      <c r="L137" s="19" t="s">
        <v>637</v>
      </c>
      <c r="M137" s="94" t="s">
        <v>610</v>
      </c>
      <c r="N137" s="94"/>
      <c r="O137" s="16" t="s">
        <v>62</v>
      </c>
      <c r="P137" s="92">
        <v>46114.0</v>
      </c>
      <c r="Q137" s="95"/>
      <c r="R137" s="95"/>
      <c r="S137" s="95"/>
      <c r="T137" s="95"/>
      <c r="U137" s="95"/>
      <c r="V137" s="95"/>
      <c r="W137" s="96"/>
      <c r="X137" s="95"/>
      <c r="Y137" s="95"/>
      <c r="Z137" s="95"/>
      <c r="AA137" s="97"/>
      <c r="AB137" s="97"/>
    </row>
    <row r="138" ht="22.5" customHeight="1">
      <c r="A138" s="91">
        <v>1860.0</v>
      </c>
      <c r="B138" s="92">
        <v>45966.0</v>
      </c>
      <c r="C138" s="16" t="s">
        <v>605</v>
      </c>
      <c r="D138" s="94"/>
      <c r="E138" s="16" t="s">
        <v>89</v>
      </c>
      <c r="F138" s="16" t="s">
        <v>41</v>
      </c>
      <c r="G138" s="16">
        <v>1.5831396E7</v>
      </c>
      <c r="H138" s="16" t="s">
        <v>51</v>
      </c>
      <c r="I138" s="19" t="s">
        <v>638</v>
      </c>
      <c r="J138" s="36" t="s">
        <v>639</v>
      </c>
      <c r="K138" s="16" t="s">
        <v>608</v>
      </c>
      <c r="L138" s="19" t="s">
        <v>640</v>
      </c>
      <c r="M138" s="94" t="s">
        <v>610</v>
      </c>
      <c r="N138" s="94"/>
      <c r="O138" s="16" t="s">
        <v>62</v>
      </c>
      <c r="P138" s="92">
        <v>46114.0</v>
      </c>
      <c r="Q138" s="95"/>
      <c r="R138" s="95"/>
      <c r="S138" s="95"/>
      <c r="T138" s="95"/>
      <c r="U138" s="95"/>
      <c r="V138" s="95"/>
      <c r="W138" s="96"/>
      <c r="X138" s="95"/>
      <c r="Y138" s="95"/>
      <c r="Z138" s="95"/>
      <c r="AA138" s="97"/>
      <c r="AB138" s="97"/>
    </row>
    <row r="139" ht="22.5" customHeight="1">
      <c r="A139" s="91">
        <v>1861.0</v>
      </c>
      <c r="B139" s="92">
        <v>45966.0</v>
      </c>
      <c r="C139" s="16" t="s">
        <v>605</v>
      </c>
      <c r="D139" s="94"/>
      <c r="E139" s="16" t="s">
        <v>89</v>
      </c>
      <c r="F139" s="16" t="s">
        <v>41</v>
      </c>
      <c r="G139" s="16">
        <v>1.5831397E7</v>
      </c>
      <c r="H139" s="16" t="s">
        <v>51</v>
      </c>
      <c r="I139" s="19" t="s">
        <v>641</v>
      </c>
      <c r="J139" s="36" t="s">
        <v>642</v>
      </c>
      <c r="K139" s="16" t="s">
        <v>608</v>
      </c>
      <c r="L139" s="19" t="s">
        <v>643</v>
      </c>
      <c r="M139" s="94" t="s">
        <v>610</v>
      </c>
      <c r="N139" s="94"/>
      <c r="O139" s="16" t="s">
        <v>62</v>
      </c>
      <c r="P139" s="92">
        <v>46115.0</v>
      </c>
      <c r="Q139" s="95"/>
      <c r="R139" s="95"/>
      <c r="S139" s="95"/>
      <c r="T139" s="95"/>
      <c r="U139" s="95"/>
      <c r="V139" s="95"/>
      <c r="W139" s="96"/>
      <c r="X139" s="95"/>
      <c r="Y139" s="95"/>
      <c r="Z139" s="95"/>
      <c r="AA139" s="97"/>
      <c r="AB139" s="97"/>
    </row>
    <row r="140" ht="22.5" customHeight="1">
      <c r="A140" s="91">
        <v>1862.0</v>
      </c>
      <c r="B140" s="92">
        <v>45966.0</v>
      </c>
      <c r="C140" s="16" t="s">
        <v>605</v>
      </c>
      <c r="D140" s="94"/>
      <c r="E140" s="16" t="s">
        <v>89</v>
      </c>
      <c r="F140" s="16" t="s">
        <v>41</v>
      </c>
      <c r="G140" s="16">
        <v>1.5831398E7</v>
      </c>
      <c r="H140" s="16" t="s">
        <v>51</v>
      </c>
      <c r="I140" s="19" t="s">
        <v>644</v>
      </c>
      <c r="J140" s="36" t="s">
        <v>645</v>
      </c>
      <c r="K140" s="16" t="s">
        <v>608</v>
      </c>
      <c r="L140" s="19" t="s">
        <v>646</v>
      </c>
      <c r="M140" s="94" t="s">
        <v>610</v>
      </c>
      <c r="N140" s="94"/>
      <c r="O140" s="16" t="s">
        <v>62</v>
      </c>
      <c r="P140" s="92">
        <v>46115.0</v>
      </c>
      <c r="Q140" s="95"/>
      <c r="R140" s="95"/>
      <c r="S140" s="95"/>
      <c r="T140" s="95"/>
      <c r="U140" s="95"/>
      <c r="V140" s="95"/>
      <c r="W140" s="96"/>
      <c r="X140" s="95"/>
      <c r="Y140" s="95"/>
      <c r="Z140" s="95"/>
      <c r="AA140" s="97"/>
      <c r="AB140" s="97"/>
    </row>
    <row r="141" ht="22.5" customHeight="1">
      <c r="A141" s="91">
        <v>1863.0</v>
      </c>
      <c r="B141" s="92">
        <v>45967.0</v>
      </c>
      <c r="C141" s="16" t="s">
        <v>605</v>
      </c>
      <c r="D141" s="94"/>
      <c r="E141" s="16" t="s">
        <v>89</v>
      </c>
      <c r="F141" s="16" t="s">
        <v>41</v>
      </c>
      <c r="G141" s="16">
        <v>1.58314E7</v>
      </c>
      <c r="H141" s="16" t="s">
        <v>51</v>
      </c>
      <c r="I141" s="19" t="s">
        <v>647</v>
      </c>
      <c r="J141" s="36" t="s">
        <v>648</v>
      </c>
      <c r="K141" s="16" t="s">
        <v>608</v>
      </c>
      <c r="L141" s="19" t="s">
        <v>649</v>
      </c>
      <c r="M141" s="94" t="s">
        <v>610</v>
      </c>
      <c r="N141" s="94"/>
      <c r="O141" s="16" t="s">
        <v>62</v>
      </c>
      <c r="P141" s="92">
        <v>46115.0</v>
      </c>
      <c r="Q141" s="95"/>
      <c r="R141" s="95"/>
      <c r="S141" s="95"/>
      <c r="T141" s="95"/>
      <c r="U141" s="95"/>
      <c r="V141" s="95"/>
      <c r="W141" s="96"/>
      <c r="X141" s="95"/>
      <c r="Y141" s="95"/>
      <c r="Z141" s="95"/>
      <c r="AA141" s="97"/>
      <c r="AB141" s="97"/>
    </row>
    <row r="142" ht="22.5" customHeight="1">
      <c r="A142" s="91">
        <v>1864.0</v>
      </c>
      <c r="B142" s="92">
        <v>45967.0</v>
      </c>
      <c r="C142" s="16" t="s">
        <v>605</v>
      </c>
      <c r="D142" s="94"/>
      <c r="E142" s="16" t="s">
        <v>89</v>
      </c>
      <c r="F142" s="16" t="s">
        <v>41</v>
      </c>
      <c r="G142" s="16">
        <v>1.5831401E7</v>
      </c>
      <c r="H142" s="16" t="s">
        <v>51</v>
      </c>
      <c r="I142" s="19" t="s">
        <v>650</v>
      </c>
      <c r="J142" s="36" t="s">
        <v>651</v>
      </c>
      <c r="K142" s="16" t="s">
        <v>608</v>
      </c>
      <c r="L142" s="19" t="s">
        <v>652</v>
      </c>
      <c r="M142" s="94" t="s">
        <v>610</v>
      </c>
      <c r="N142" s="94"/>
      <c r="O142" s="16" t="s">
        <v>62</v>
      </c>
      <c r="P142" s="92">
        <v>46119.0</v>
      </c>
      <c r="Q142" s="95"/>
      <c r="R142" s="95"/>
      <c r="S142" s="95"/>
      <c r="T142" s="95"/>
      <c r="U142" s="95"/>
      <c r="V142" s="95"/>
      <c r="W142" s="96"/>
      <c r="X142" s="95"/>
      <c r="Y142" s="95"/>
      <c r="Z142" s="95"/>
      <c r="AA142" s="97"/>
      <c r="AB142" s="97"/>
    </row>
    <row r="143" ht="22.5" customHeight="1">
      <c r="A143" s="91">
        <v>1865.0</v>
      </c>
      <c r="B143" s="92">
        <v>45967.0</v>
      </c>
      <c r="C143" s="16" t="s">
        <v>605</v>
      </c>
      <c r="D143" s="94"/>
      <c r="E143" s="16" t="s">
        <v>89</v>
      </c>
      <c r="F143" s="16" t="s">
        <v>41</v>
      </c>
      <c r="G143" s="16">
        <v>1.5831402E7</v>
      </c>
      <c r="H143" s="16" t="s">
        <v>51</v>
      </c>
      <c r="I143" s="19" t="s">
        <v>653</v>
      </c>
      <c r="J143" s="36" t="s">
        <v>654</v>
      </c>
      <c r="K143" s="16" t="s">
        <v>608</v>
      </c>
      <c r="L143" s="19" t="s">
        <v>655</v>
      </c>
      <c r="M143" s="94" t="s">
        <v>610</v>
      </c>
      <c r="N143" s="94"/>
      <c r="O143" s="16" t="s">
        <v>62</v>
      </c>
      <c r="P143" s="92">
        <v>46119.0</v>
      </c>
      <c r="Q143" s="95"/>
      <c r="R143" s="95"/>
      <c r="S143" s="95"/>
      <c r="T143" s="95"/>
      <c r="U143" s="95"/>
      <c r="V143" s="95"/>
      <c r="W143" s="96"/>
      <c r="X143" s="95"/>
      <c r="Y143" s="95"/>
      <c r="Z143" s="95"/>
      <c r="AA143" s="97"/>
      <c r="AB143" s="97"/>
    </row>
    <row r="144" ht="22.5" customHeight="1">
      <c r="A144" s="91">
        <v>1866.0</v>
      </c>
      <c r="B144" s="92">
        <v>45967.0</v>
      </c>
      <c r="C144" s="16" t="s">
        <v>605</v>
      </c>
      <c r="D144" s="94"/>
      <c r="E144" s="16" t="s">
        <v>89</v>
      </c>
      <c r="F144" s="16" t="s">
        <v>41</v>
      </c>
      <c r="G144" s="16">
        <v>1.5831405E7</v>
      </c>
      <c r="H144" s="16" t="s">
        <v>51</v>
      </c>
      <c r="I144" s="19" t="s">
        <v>653</v>
      </c>
      <c r="J144" s="42" t="s">
        <v>656</v>
      </c>
      <c r="K144" s="16" t="s">
        <v>608</v>
      </c>
      <c r="L144" s="19"/>
      <c r="M144" s="94"/>
      <c r="N144" s="94"/>
      <c r="O144" s="95"/>
      <c r="P144" s="95"/>
      <c r="Q144" s="95"/>
      <c r="R144" s="95"/>
      <c r="S144" s="95"/>
      <c r="T144" s="95"/>
      <c r="U144" s="95"/>
      <c r="V144" s="95"/>
      <c r="W144" s="96"/>
      <c r="X144" s="95"/>
      <c r="Y144" s="95"/>
      <c r="Z144" s="95"/>
      <c r="AA144" s="97"/>
      <c r="AB144" s="97"/>
    </row>
    <row r="145" ht="22.5" customHeight="1">
      <c r="A145" s="91">
        <v>1868.0</v>
      </c>
      <c r="B145" s="92">
        <v>45967.0</v>
      </c>
      <c r="C145" s="16" t="s">
        <v>605</v>
      </c>
      <c r="D145" s="94"/>
      <c r="E145" s="16" t="s">
        <v>89</v>
      </c>
      <c r="F145" s="16" t="s">
        <v>41</v>
      </c>
      <c r="G145" s="16">
        <v>1.5831407E7</v>
      </c>
      <c r="H145" s="16" t="s">
        <v>51</v>
      </c>
      <c r="I145" s="19" t="s">
        <v>657</v>
      </c>
      <c r="J145" s="36" t="s">
        <v>658</v>
      </c>
      <c r="K145" s="16" t="s">
        <v>608</v>
      </c>
      <c r="L145" s="19" t="s">
        <v>659</v>
      </c>
      <c r="M145" s="94" t="s">
        <v>610</v>
      </c>
      <c r="N145" s="94"/>
      <c r="O145" s="95"/>
      <c r="P145" s="95"/>
      <c r="Q145" s="95"/>
      <c r="R145" s="95"/>
      <c r="S145" s="95"/>
      <c r="T145" s="95"/>
      <c r="U145" s="95"/>
      <c r="V145" s="95"/>
      <c r="W145" s="96"/>
      <c r="X145" s="95"/>
      <c r="Y145" s="95"/>
      <c r="Z145" s="95"/>
      <c r="AA145" s="97"/>
      <c r="AB145" s="97"/>
    </row>
    <row r="146" ht="22.5" customHeight="1">
      <c r="A146" s="91">
        <v>1869.0</v>
      </c>
      <c r="B146" s="92">
        <v>45967.0</v>
      </c>
      <c r="C146" s="16" t="s">
        <v>605</v>
      </c>
      <c r="D146" s="94"/>
      <c r="E146" s="16" t="s">
        <v>89</v>
      </c>
      <c r="F146" s="16" t="s">
        <v>41</v>
      </c>
      <c r="G146" s="16">
        <v>1.5831408E7</v>
      </c>
      <c r="H146" s="16" t="s">
        <v>51</v>
      </c>
      <c r="I146" s="19" t="s">
        <v>660</v>
      </c>
      <c r="J146" s="42" t="s">
        <v>661</v>
      </c>
      <c r="K146" s="16" t="s">
        <v>608</v>
      </c>
      <c r="L146" s="19" t="s">
        <v>640</v>
      </c>
      <c r="M146" s="94" t="s">
        <v>610</v>
      </c>
      <c r="N146" s="94"/>
      <c r="O146" s="95"/>
      <c r="P146" s="95"/>
      <c r="Q146" s="95"/>
      <c r="R146" s="95"/>
      <c r="S146" s="95"/>
      <c r="T146" s="95"/>
      <c r="U146" s="95"/>
      <c r="V146" s="95"/>
      <c r="W146" s="96"/>
      <c r="X146" s="95"/>
      <c r="Y146" s="95"/>
      <c r="Z146" s="95"/>
      <c r="AA146" s="97"/>
      <c r="AB146" s="97"/>
    </row>
    <row r="147" ht="22.5" customHeight="1">
      <c r="A147" s="91">
        <v>1870.0</v>
      </c>
      <c r="B147" s="92">
        <v>45967.0</v>
      </c>
      <c r="C147" s="16" t="s">
        <v>605</v>
      </c>
      <c r="D147" s="94"/>
      <c r="E147" s="16" t="s">
        <v>89</v>
      </c>
      <c r="F147" s="16" t="s">
        <v>41</v>
      </c>
      <c r="G147" s="16">
        <v>1.5831409E7</v>
      </c>
      <c r="H147" s="16" t="s">
        <v>51</v>
      </c>
      <c r="I147" s="19" t="s">
        <v>662</v>
      </c>
      <c r="J147" s="42" t="s">
        <v>663</v>
      </c>
      <c r="K147" s="16" t="s">
        <v>608</v>
      </c>
      <c r="L147" s="19" t="s">
        <v>664</v>
      </c>
      <c r="M147" s="94" t="s">
        <v>610</v>
      </c>
      <c r="N147" s="94"/>
      <c r="O147" s="95"/>
      <c r="P147" s="95"/>
      <c r="Q147" s="95"/>
      <c r="R147" s="95"/>
      <c r="S147" s="95"/>
      <c r="T147" s="95"/>
      <c r="U147" s="95"/>
      <c r="V147" s="95"/>
      <c r="W147" s="96"/>
      <c r="X147" s="95"/>
      <c r="Y147" s="95"/>
      <c r="Z147" s="95"/>
      <c r="AA147" s="97"/>
      <c r="AB147" s="97"/>
    </row>
    <row r="148" ht="22.5" customHeight="1">
      <c r="A148" s="91">
        <v>1871.0</v>
      </c>
      <c r="B148" s="92">
        <v>45967.0</v>
      </c>
      <c r="C148" s="16" t="s">
        <v>605</v>
      </c>
      <c r="D148" s="94"/>
      <c r="E148" s="16" t="s">
        <v>89</v>
      </c>
      <c r="F148" s="16" t="s">
        <v>41</v>
      </c>
      <c r="G148" s="16">
        <v>1.583141E7</v>
      </c>
      <c r="H148" s="16" t="s">
        <v>51</v>
      </c>
      <c r="I148" s="19" t="s">
        <v>665</v>
      </c>
      <c r="J148" s="42" t="s">
        <v>666</v>
      </c>
      <c r="K148" s="16" t="s">
        <v>608</v>
      </c>
      <c r="L148" s="19" t="s">
        <v>667</v>
      </c>
      <c r="M148" s="94" t="s">
        <v>610</v>
      </c>
      <c r="N148" s="94"/>
      <c r="O148" s="95"/>
      <c r="P148" s="95"/>
      <c r="Q148" s="95"/>
      <c r="R148" s="95"/>
      <c r="S148" s="95"/>
      <c r="T148" s="95"/>
      <c r="U148" s="95"/>
      <c r="V148" s="95"/>
      <c r="W148" s="96"/>
      <c r="X148" s="95"/>
      <c r="Y148" s="95"/>
      <c r="Z148" s="95"/>
      <c r="AA148" s="97"/>
      <c r="AB148" s="97"/>
    </row>
    <row r="149" ht="22.5" customHeight="1">
      <c r="A149" s="91">
        <v>1872.0</v>
      </c>
      <c r="B149" s="92">
        <v>45967.0</v>
      </c>
      <c r="C149" s="16" t="s">
        <v>605</v>
      </c>
      <c r="D149" s="94"/>
      <c r="E149" s="16" t="s">
        <v>89</v>
      </c>
      <c r="F149" s="16" t="s">
        <v>41</v>
      </c>
      <c r="G149" s="16">
        <v>1.5831411E7</v>
      </c>
      <c r="H149" s="16" t="s">
        <v>51</v>
      </c>
      <c r="I149" s="19" t="s">
        <v>668</v>
      </c>
      <c r="J149" s="42" t="s">
        <v>669</v>
      </c>
      <c r="K149" s="16" t="s">
        <v>608</v>
      </c>
      <c r="L149" s="19" t="s">
        <v>670</v>
      </c>
      <c r="M149" s="94" t="s">
        <v>610</v>
      </c>
      <c r="N149" s="94"/>
      <c r="O149" s="95"/>
      <c r="P149" s="95"/>
      <c r="Q149" s="95"/>
      <c r="R149" s="95"/>
      <c r="S149" s="95"/>
      <c r="T149" s="95"/>
      <c r="U149" s="95"/>
      <c r="V149" s="95"/>
      <c r="W149" s="96"/>
      <c r="X149" s="95"/>
      <c r="Y149" s="95"/>
      <c r="Z149" s="95"/>
      <c r="AA149" s="97"/>
      <c r="AB149" s="97"/>
    </row>
    <row r="150" ht="22.5" customHeight="1">
      <c r="A150" s="91">
        <v>1873.0</v>
      </c>
      <c r="B150" s="92">
        <v>45967.0</v>
      </c>
      <c r="C150" s="16" t="s">
        <v>605</v>
      </c>
      <c r="D150" s="94"/>
      <c r="E150" s="16" t="s">
        <v>89</v>
      </c>
      <c r="F150" s="16" t="s">
        <v>41</v>
      </c>
      <c r="G150" s="16">
        <v>1.5831412E7</v>
      </c>
      <c r="H150" s="16" t="s">
        <v>51</v>
      </c>
      <c r="I150" s="19" t="s">
        <v>671</v>
      </c>
      <c r="J150" s="42" t="s">
        <v>672</v>
      </c>
      <c r="K150" s="16" t="s">
        <v>608</v>
      </c>
      <c r="L150" s="19" t="s">
        <v>673</v>
      </c>
      <c r="M150" s="94" t="s">
        <v>610</v>
      </c>
      <c r="N150" s="94"/>
      <c r="O150" s="95"/>
      <c r="P150" s="95"/>
      <c r="Q150" s="95"/>
      <c r="R150" s="95"/>
      <c r="S150" s="95"/>
      <c r="T150" s="95"/>
      <c r="U150" s="95"/>
      <c r="V150" s="95"/>
      <c r="W150" s="96"/>
      <c r="X150" s="95"/>
      <c r="Y150" s="95"/>
      <c r="Z150" s="95"/>
      <c r="AA150" s="97"/>
      <c r="AB150" s="97"/>
    </row>
    <row r="151" ht="22.5" customHeight="1">
      <c r="A151" s="91">
        <v>1875.0</v>
      </c>
      <c r="B151" s="92">
        <v>45967.0</v>
      </c>
      <c r="C151" s="16" t="s">
        <v>605</v>
      </c>
      <c r="D151" s="94"/>
      <c r="E151" s="16" t="s">
        <v>89</v>
      </c>
      <c r="F151" s="16" t="s">
        <v>41</v>
      </c>
      <c r="G151" s="16">
        <v>1.5831413E7</v>
      </c>
      <c r="H151" s="16" t="s">
        <v>51</v>
      </c>
      <c r="I151" s="19" t="s">
        <v>674</v>
      </c>
      <c r="J151" s="42" t="s">
        <v>675</v>
      </c>
      <c r="K151" s="16" t="s">
        <v>608</v>
      </c>
      <c r="L151" s="19" t="s">
        <v>676</v>
      </c>
      <c r="M151" s="94" t="s">
        <v>610</v>
      </c>
      <c r="N151" s="94"/>
      <c r="O151" s="95"/>
      <c r="P151" s="95"/>
      <c r="Q151" s="95"/>
      <c r="R151" s="95"/>
      <c r="S151" s="95"/>
      <c r="T151" s="95"/>
      <c r="U151" s="95"/>
      <c r="V151" s="95"/>
      <c r="W151" s="96"/>
      <c r="X151" s="95"/>
      <c r="Y151" s="95"/>
      <c r="Z151" s="95"/>
      <c r="AA151" s="97"/>
      <c r="AB151" s="97"/>
    </row>
    <row r="152" ht="22.5" customHeight="1">
      <c r="A152" s="91">
        <v>1876.0</v>
      </c>
      <c r="B152" s="92">
        <v>45967.0</v>
      </c>
      <c r="C152" s="16" t="s">
        <v>605</v>
      </c>
      <c r="D152" s="94"/>
      <c r="E152" s="16" t="s">
        <v>89</v>
      </c>
      <c r="F152" s="16" t="s">
        <v>41</v>
      </c>
      <c r="G152" s="16">
        <v>1.5831414E7</v>
      </c>
      <c r="H152" s="16" t="s">
        <v>51</v>
      </c>
      <c r="I152" s="19" t="s">
        <v>677</v>
      </c>
      <c r="J152" s="42" t="s">
        <v>678</v>
      </c>
      <c r="K152" s="16" t="s">
        <v>608</v>
      </c>
      <c r="L152" s="19" t="s">
        <v>679</v>
      </c>
      <c r="M152" s="94" t="s">
        <v>610</v>
      </c>
      <c r="N152" s="94"/>
      <c r="O152" s="95"/>
      <c r="P152" s="95"/>
      <c r="Q152" s="95"/>
      <c r="R152" s="95"/>
      <c r="S152" s="95"/>
      <c r="T152" s="95"/>
      <c r="U152" s="95"/>
      <c r="V152" s="95"/>
      <c r="W152" s="96"/>
      <c r="X152" s="95"/>
      <c r="Y152" s="95"/>
      <c r="Z152" s="95"/>
      <c r="AA152" s="97"/>
      <c r="AB152" s="97"/>
    </row>
    <row r="153" ht="22.5" customHeight="1">
      <c r="A153" s="91">
        <v>1877.0</v>
      </c>
      <c r="B153" s="92">
        <v>45967.0</v>
      </c>
      <c r="C153" s="16" t="s">
        <v>605</v>
      </c>
      <c r="D153" s="94"/>
      <c r="E153" s="16" t="s">
        <v>89</v>
      </c>
      <c r="F153" s="16" t="s">
        <v>41</v>
      </c>
      <c r="G153" s="16">
        <v>1.5831416E7</v>
      </c>
      <c r="H153" s="16" t="s">
        <v>51</v>
      </c>
      <c r="I153" s="19" t="s">
        <v>680</v>
      </c>
      <c r="J153" s="42" t="s">
        <v>681</v>
      </c>
      <c r="K153" s="16" t="s">
        <v>608</v>
      </c>
      <c r="L153" s="19" t="s">
        <v>682</v>
      </c>
      <c r="M153" s="94" t="s">
        <v>610</v>
      </c>
      <c r="N153" s="94"/>
      <c r="O153" s="95"/>
      <c r="P153" s="95"/>
      <c r="Q153" s="95"/>
      <c r="R153" s="95"/>
      <c r="S153" s="95"/>
      <c r="T153" s="95"/>
      <c r="U153" s="95"/>
      <c r="V153" s="95"/>
      <c r="W153" s="96"/>
      <c r="X153" s="95"/>
      <c r="Y153" s="95"/>
      <c r="Z153" s="95"/>
      <c r="AA153" s="97"/>
      <c r="AB153" s="97"/>
    </row>
    <row r="154" ht="22.5" customHeight="1">
      <c r="A154" s="91">
        <v>1878.0</v>
      </c>
      <c r="B154" s="92">
        <v>45967.0</v>
      </c>
      <c r="C154" s="16" t="s">
        <v>605</v>
      </c>
      <c r="D154" s="94"/>
      <c r="E154" s="16" t="s">
        <v>89</v>
      </c>
      <c r="F154" s="16" t="s">
        <v>41</v>
      </c>
      <c r="G154" s="16">
        <v>1.5831417E7</v>
      </c>
      <c r="H154" s="16" t="s">
        <v>51</v>
      </c>
      <c r="I154" s="19" t="s">
        <v>683</v>
      </c>
      <c r="J154" s="42" t="s">
        <v>684</v>
      </c>
      <c r="K154" s="16" t="s">
        <v>608</v>
      </c>
      <c r="L154" s="61" t="s">
        <v>685</v>
      </c>
      <c r="M154" s="16" t="s">
        <v>686</v>
      </c>
      <c r="N154" s="94"/>
      <c r="O154" s="95"/>
      <c r="P154" s="95"/>
      <c r="Q154" s="95"/>
      <c r="R154" s="95"/>
      <c r="S154" s="95"/>
      <c r="T154" s="95"/>
      <c r="U154" s="95"/>
      <c r="V154" s="95"/>
      <c r="W154" s="96"/>
      <c r="X154" s="95"/>
      <c r="Y154" s="95"/>
      <c r="Z154" s="95"/>
      <c r="AA154" s="97"/>
      <c r="AB154" s="97"/>
    </row>
    <row r="155" ht="22.5" customHeight="1">
      <c r="A155" s="91">
        <v>1879.0</v>
      </c>
      <c r="B155" s="92">
        <v>45967.0</v>
      </c>
      <c r="C155" s="16" t="s">
        <v>605</v>
      </c>
      <c r="D155" s="94"/>
      <c r="E155" s="16" t="s">
        <v>89</v>
      </c>
      <c r="F155" s="16" t="s">
        <v>41</v>
      </c>
      <c r="G155" s="16">
        <v>1.5831418E7</v>
      </c>
      <c r="H155" s="16" t="s">
        <v>51</v>
      </c>
      <c r="I155" s="19" t="s">
        <v>687</v>
      </c>
      <c r="J155" s="42" t="s">
        <v>688</v>
      </c>
      <c r="K155" s="16" t="s">
        <v>608</v>
      </c>
      <c r="L155" s="19" t="s">
        <v>689</v>
      </c>
      <c r="M155" s="94" t="s">
        <v>610</v>
      </c>
      <c r="N155" s="94"/>
      <c r="O155" s="95"/>
      <c r="P155" s="95"/>
      <c r="Q155" s="95"/>
      <c r="R155" s="95"/>
      <c r="S155" s="95"/>
      <c r="T155" s="95"/>
      <c r="U155" s="95"/>
      <c r="V155" s="95"/>
      <c r="W155" s="96"/>
      <c r="X155" s="95"/>
      <c r="Y155" s="95"/>
      <c r="Z155" s="95"/>
      <c r="AA155" s="97"/>
      <c r="AB155" s="97"/>
    </row>
    <row r="156" ht="22.5" customHeight="1">
      <c r="A156" s="91">
        <v>1880.0</v>
      </c>
      <c r="B156" s="92">
        <v>45967.0</v>
      </c>
      <c r="C156" s="16" t="s">
        <v>605</v>
      </c>
      <c r="D156" s="94"/>
      <c r="E156" s="16" t="s">
        <v>89</v>
      </c>
      <c r="F156" s="16" t="s">
        <v>41</v>
      </c>
      <c r="G156" s="16">
        <v>1.5831419E7</v>
      </c>
      <c r="H156" s="16" t="s">
        <v>51</v>
      </c>
      <c r="I156" s="19" t="s">
        <v>690</v>
      </c>
      <c r="J156" s="42" t="s">
        <v>691</v>
      </c>
      <c r="K156" s="16" t="s">
        <v>608</v>
      </c>
      <c r="L156" s="19" t="s">
        <v>692</v>
      </c>
      <c r="M156" s="94" t="s">
        <v>610</v>
      </c>
      <c r="N156" s="94"/>
      <c r="O156" s="95"/>
      <c r="P156" s="95"/>
      <c r="Q156" s="95"/>
      <c r="R156" s="95"/>
      <c r="S156" s="95"/>
      <c r="T156" s="95"/>
      <c r="U156" s="95"/>
      <c r="V156" s="95"/>
      <c r="W156" s="96"/>
      <c r="X156" s="95"/>
      <c r="Y156" s="95"/>
      <c r="Z156" s="95"/>
      <c r="AA156" s="97"/>
      <c r="AB156" s="97"/>
    </row>
    <row r="157" ht="22.5" customHeight="1">
      <c r="A157" s="91">
        <v>1881.0</v>
      </c>
      <c r="B157" s="92">
        <v>45967.0</v>
      </c>
      <c r="C157" s="16" t="s">
        <v>605</v>
      </c>
      <c r="D157" s="94"/>
      <c r="E157" s="16" t="s">
        <v>89</v>
      </c>
      <c r="F157" s="16" t="s">
        <v>41</v>
      </c>
      <c r="G157" s="16">
        <v>1.583142E7</v>
      </c>
      <c r="H157" s="16" t="s">
        <v>51</v>
      </c>
      <c r="I157" s="19" t="s">
        <v>693</v>
      </c>
      <c r="J157" s="42" t="s">
        <v>694</v>
      </c>
      <c r="K157" s="16" t="s">
        <v>608</v>
      </c>
      <c r="L157" s="19" t="s">
        <v>695</v>
      </c>
      <c r="M157" s="94" t="s">
        <v>610</v>
      </c>
      <c r="N157" s="94"/>
      <c r="O157" s="95"/>
      <c r="P157" s="95"/>
      <c r="Q157" s="95"/>
      <c r="R157" s="95"/>
      <c r="S157" s="95"/>
      <c r="T157" s="95"/>
      <c r="U157" s="95"/>
      <c r="V157" s="95"/>
      <c r="W157" s="96"/>
      <c r="X157" s="95"/>
      <c r="Y157" s="95"/>
      <c r="Z157" s="95"/>
      <c r="AA157" s="97"/>
      <c r="AB157" s="97"/>
    </row>
    <row r="158" ht="22.5" customHeight="1">
      <c r="A158" s="91">
        <v>1882.0</v>
      </c>
      <c r="B158" s="92">
        <v>45967.0</v>
      </c>
      <c r="C158" s="16" t="s">
        <v>696</v>
      </c>
      <c r="D158" s="94"/>
      <c r="E158" s="16" t="s">
        <v>697</v>
      </c>
      <c r="F158" s="16" t="s">
        <v>698</v>
      </c>
      <c r="G158" s="16">
        <v>1.72002E7</v>
      </c>
      <c r="H158" s="16" t="s">
        <v>120</v>
      </c>
      <c r="I158" s="19" t="s">
        <v>699</v>
      </c>
      <c r="J158" s="42" t="s">
        <v>700</v>
      </c>
      <c r="K158" s="16" t="s">
        <v>701</v>
      </c>
      <c r="L158" s="98"/>
      <c r="M158" s="94"/>
      <c r="N158" s="94"/>
      <c r="O158" s="95"/>
      <c r="P158" s="95"/>
      <c r="Q158" s="95"/>
      <c r="R158" s="95"/>
      <c r="S158" s="95"/>
      <c r="T158" s="95"/>
      <c r="U158" s="95"/>
      <c r="V158" s="95"/>
      <c r="W158" s="96"/>
      <c r="X158" s="95"/>
      <c r="Y158" s="95"/>
      <c r="Z158" s="95"/>
      <c r="AA158" s="97"/>
      <c r="AB158" s="97"/>
    </row>
    <row r="159" ht="22.5" customHeight="1">
      <c r="A159" s="91">
        <v>1883.0</v>
      </c>
      <c r="B159" s="124">
        <v>45967.0</v>
      </c>
      <c r="C159" s="125" t="s">
        <v>410</v>
      </c>
      <c r="D159" s="132"/>
      <c r="E159" s="125" t="s">
        <v>411</v>
      </c>
      <c r="F159" s="125" t="s">
        <v>702</v>
      </c>
      <c r="G159" s="125" t="s">
        <v>50</v>
      </c>
      <c r="H159" s="125" t="s">
        <v>516</v>
      </c>
      <c r="I159" s="126" t="s">
        <v>703</v>
      </c>
      <c r="J159" s="36" t="s">
        <v>704</v>
      </c>
      <c r="K159" s="16" t="s">
        <v>415</v>
      </c>
      <c r="L159" s="61" t="s">
        <v>705</v>
      </c>
      <c r="M159" s="16" t="s">
        <v>706</v>
      </c>
      <c r="N159" s="94"/>
      <c r="O159" s="95"/>
      <c r="P159" s="95"/>
      <c r="Q159" s="95"/>
      <c r="R159" s="95"/>
      <c r="S159" s="95"/>
      <c r="T159" s="95"/>
      <c r="U159" s="95"/>
      <c r="V159" s="95"/>
      <c r="W159" s="96"/>
      <c r="X159" s="95"/>
      <c r="Y159" s="95"/>
      <c r="Z159" s="95"/>
      <c r="AA159" s="97"/>
      <c r="AB159" s="97"/>
    </row>
    <row r="160" ht="22.5" customHeight="1">
      <c r="A160" s="91">
        <v>1888.0</v>
      </c>
      <c r="B160" s="92">
        <v>45968.0</v>
      </c>
      <c r="C160" s="16" t="s">
        <v>707</v>
      </c>
      <c r="D160" s="94"/>
      <c r="E160" s="16" t="s">
        <v>708</v>
      </c>
      <c r="F160" s="16" t="s">
        <v>49</v>
      </c>
      <c r="G160" s="16">
        <v>1.9670016E7</v>
      </c>
      <c r="H160" s="16" t="s">
        <v>42</v>
      </c>
      <c r="I160" s="19" t="s">
        <v>709</v>
      </c>
      <c r="J160" s="36" t="s">
        <v>710</v>
      </c>
      <c r="K160" s="16" t="s">
        <v>129</v>
      </c>
      <c r="L160" s="133" t="s">
        <v>711</v>
      </c>
      <c r="M160" s="16" t="s">
        <v>712</v>
      </c>
      <c r="N160" s="94"/>
      <c r="O160" s="16" t="s">
        <v>62</v>
      </c>
      <c r="P160" s="92">
        <v>45973.0</v>
      </c>
      <c r="Q160" s="95"/>
      <c r="R160" s="95"/>
      <c r="S160" s="95"/>
      <c r="T160" s="95"/>
      <c r="U160" s="16" t="s">
        <v>150</v>
      </c>
      <c r="V160" s="95"/>
      <c r="W160" s="96"/>
      <c r="X160" s="95"/>
      <c r="Y160" s="95"/>
      <c r="Z160" s="95"/>
      <c r="AA160" s="97"/>
      <c r="AB160" s="97"/>
    </row>
    <row r="161" ht="22.5" customHeight="1">
      <c r="A161" s="91">
        <v>1890.0</v>
      </c>
      <c r="B161" s="92">
        <v>45971.0</v>
      </c>
      <c r="C161" s="16" t="s">
        <v>713</v>
      </c>
      <c r="D161" s="94"/>
      <c r="E161" s="16" t="s">
        <v>714</v>
      </c>
      <c r="F161" s="16" t="s">
        <v>715</v>
      </c>
      <c r="G161" s="16" t="s">
        <v>50</v>
      </c>
      <c r="H161" s="16" t="s">
        <v>516</v>
      </c>
      <c r="I161" s="19" t="s">
        <v>716</v>
      </c>
      <c r="J161" s="36" t="s">
        <v>717</v>
      </c>
      <c r="K161" s="16" t="s">
        <v>718</v>
      </c>
      <c r="L161" s="133" t="s">
        <v>491</v>
      </c>
      <c r="M161" s="16"/>
      <c r="N161" s="94"/>
      <c r="O161" s="95"/>
      <c r="P161" s="95"/>
      <c r="Q161" s="16" t="s">
        <v>62</v>
      </c>
      <c r="R161" s="92">
        <v>46003.0</v>
      </c>
      <c r="S161" s="95"/>
      <c r="T161" s="95"/>
      <c r="U161" s="95"/>
      <c r="V161" s="95"/>
      <c r="W161" s="96"/>
      <c r="X161" s="95"/>
      <c r="Y161" s="95"/>
      <c r="Z161" s="95"/>
      <c r="AA161" s="97"/>
      <c r="AB161" s="97"/>
    </row>
    <row r="162" ht="22.5" customHeight="1">
      <c r="A162" s="91">
        <v>1891.0</v>
      </c>
      <c r="B162" s="92">
        <v>45971.0</v>
      </c>
      <c r="C162" s="16" t="s">
        <v>719</v>
      </c>
      <c r="D162" s="94"/>
      <c r="E162" s="16" t="s">
        <v>720</v>
      </c>
      <c r="F162" s="16" t="s">
        <v>721</v>
      </c>
      <c r="G162" s="16">
        <v>1.8850209E7</v>
      </c>
      <c r="H162" s="16" t="s">
        <v>32</v>
      </c>
      <c r="I162" s="19" t="s">
        <v>722</v>
      </c>
      <c r="J162" s="42" t="s">
        <v>723</v>
      </c>
      <c r="K162" s="16" t="s">
        <v>724</v>
      </c>
      <c r="L162" s="133"/>
      <c r="M162" s="16" t="s">
        <v>725</v>
      </c>
      <c r="N162" s="94"/>
      <c r="O162" s="95"/>
      <c r="P162" s="95"/>
      <c r="Q162" s="95"/>
      <c r="R162" s="95"/>
      <c r="S162" s="95"/>
      <c r="T162" s="95"/>
      <c r="U162" s="95"/>
      <c r="V162" s="95"/>
      <c r="W162" s="96"/>
      <c r="X162" s="95"/>
      <c r="Y162" s="95"/>
      <c r="Z162" s="95"/>
      <c r="AA162" s="97"/>
      <c r="AB162" s="105" t="s">
        <v>726</v>
      </c>
    </row>
    <row r="163" ht="22.5" customHeight="1">
      <c r="A163" s="91">
        <v>1894.0</v>
      </c>
      <c r="B163" s="92">
        <v>45972.0</v>
      </c>
      <c r="C163" s="16" t="s">
        <v>727</v>
      </c>
      <c r="D163" s="94"/>
      <c r="E163" s="16" t="s">
        <v>728</v>
      </c>
      <c r="F163" s="16" t="s">
        <v>729</v>
      </c>
      <c r="G163" s="16" t="s">
        <v>50</v>
      </c>
      <c r="H163" s="16" t="s">
        <v>103</v>
      </c>
      <c r="I163" s="19" t="s">
        <v>730</v>
      </c>
      <c r="J163" s="36" t="s">
        <v>731</v>
      </c>
      <c r="K163" s="16" t="s">
        <v>319</v>
      </c>
      <c r="L163" s="16" t="s">
        <v>732</v>
      </c>
      <c r="M163" s="16" t="s">
        <v>733</v>
      </c>
      <c r="N163" s="94"/>
      <c r="O163" s="95"/>
      <c r="P163" s="95"/>
      <c r="Q163" s="95"/>
      <c r="R163" s="95"/>
      <c r="S163" s="95"/>
      <c r="T163" s="95"/>
      <c r="U163" s="95"/>
      <c r="V163" s="95"/>
      <c r="W163" s="96"/>
      <c r="X163" s="95"/>
      <c r="Y163" s="95"/>
      <c r="Z163" s="95"/>
      <c r="AA163" s="97"/>
      <c r="AB163" s="97"/>
    </row>
    <row r="164" ht="22.5" customHeight="1">
      <c r="A164" s="91">
        <v>1895.0</v>
      </c>
      <c r="B164" s="92">
        <v>45972.0</v>
      </c>
      <c r="C164" s="16" t="s">
        <v>358</v>
      </c>
      <c r="D164" s="94"/>
      <c r="E164" s="16" t="s">
        <v>101</v>
      </c>
      <c r="F164" s="16" t="s">
        <v>729</v>
      </c>
      <c r="G164" s="16" t="s">
        <v>50</v>
      </c>
      <c r="H164" s="16" t="s">
        <v>103</v>
      </c>
      <c r="I164" s="19" t="s">
        <v>734</v>
      </c>
      <c r="J164" s="49" t="s">
        <v>735</v>
      </c>
      <c r="K164" s="16" t="s">
        <v>319</v>
      </c>
      <c r="L164" s="16" t="s">
        <v>736</v>
      </c>
      <c r="M164" s="16" t="s">
        <v>737</v>
      </c>
      <c r="N164" s="94"/>
      <c r="O164" s="95"/>
      <c r="P164" s="95"/>
      <c r="Q164" s="95"/>
      <c r="R164" s="95"/>
      <c r="S164" s="95"/>
      <c r="T164" s="95"/>
      <c r="U164" s="95"/>
      <c r="V164" s="95"/>
      <c r="W164" s="96"/>
      <c r="X164" s="95"/>
      <c r="Y164" s="95"/>
      <c r="Z164" s="95"/>
      <c r="AA164" s="97"/>
      <c r="AB164" s="97"/>
    </row>
    <row r="165" ht="22.5" customHeight="1">
      <c r="A165" s="91">
        <v>1898.0</v>
      </c>
      <c r="B165" s="92">
        <v>45973.0</v>
      </c>
      <c r="C165" s="16" t="s">
        <v>358</v>
      </c>
      <c r="D165" s="94"/>
      <c r="E165" s="16" t="s">
        <v>101</v>
      </c>
      <c r="F165" s="16" t="s">
        <v>31</v>
      </c>
      <c r="G165" s="16"/>
      <c r="H165" s="16" t="s">
        <v>103</v>
      </c>
      <c r="I165" s="19" t="s">
        <v>738</v>
      </c>
      <c r="J165" s="36" t="s">
        <v>739</v>
      </c>
      <c r="K165" s="16" t="s">
        <v>740</v>
      </c>
      <c r="L165" s="16" t="s">
        <v>741</v>
      </c>
      <c r="M165" s="16" t="s">
        <v>742</v>
      </c>
      <c r="N165" s="94"/>
      <c r="O165" s="95"/>
      <c r="P165" s="95"/>
      <c r="Q165" s="95"/>
      <c r="R165" s="95"/>
      <c r="S165" s="95"/>
      <c r="T165" s="95"/>
      <c r="U165" s="95"/>
      <c r="V165" s="95"/>
      <c r="W165" s="96"/>
      <c r="X165" s="95"/>
      <c r="Y165" s="95"/>
      <c r="Z165" s="95"/>
      <c r="AA165" s="97"/>
      <c r="AB165" s="97"/>
    </row>
    <row r="166" ht="22.5" customHeight="1">
      <c r="A166" s="91">
        <v>1905.0</v>
      </c>
      <c r="B166" s="92">
        <v>45975.0</v>
      </c>
      <c r="C166" s="16" t="s">
        <v>743</v>
      </c>
      <c r="D166" s="94"/>
      <c r="E166" s="16" t="s">
        <v>744</v>
      </c>
      <c r="F166" s="16" t="s">
        <v>383</v>
      </c>
      <c r="G166" s="16" t="s">
        <v>50</v>
      </c>
      <c r="H166" s="16" t="s">
        <v>51</v>
      </c>
      <c r="I166" s="19" t="s">
        <v>745</v>
      </c>
      <c r="J166" s="36" t="s">
        <v>746</v>
      </c>
      <c r="K166" s="16" t="s">
        <v>747</v>
      </c>
      <c r="L166" s="134"/>
      <c r="M166" s="61" t="s">
        <v>748</v>
      </c>
      <c r="N166" s="94"/>
      <c r="O166" s="95"/>
      <c r="P166" s="95"/>
      <c r="Q166" s="95"/>
      <c r="R166" s="95"/>
      <c r="S166" s="95"/>
      <c r="T166" s="95"/>
      <c r="U166" s="95"/>
      <c r="V166" s="95"/>
      <c r="W166" s="96"/>
      <c r="X166" s="95"/>
      <c r="Y166" s="95"/>
      <c r="Z166" s="95"/>
      <c r="AA166" s="97"/>
      <c r="AB166" s="105" t="s">
        <v>749</v>
      </c>
    </row>
    <row r="167" ht="22.5" customHeight="1">
      <c r="A167" s="91">
        <v>1906.0</v>
      </c>
      <c r="B167" s="124">
        <v>45981.0</v>
      </c>
      <c r="C167" s="125" t="s">
        <v>750</v>
      </c>
      <c r="D167" s="132"/>
      <c r="E167" s="125" t="s">
        <v>751</v>
      </c>
      <c r="F167" s="125" t="s">
        <v>752</v>
      </c>
      <c r="G167" s="125">
        <v>1.9130054E7</v>
      </c>
      <c r="H167" s="125" t="s">
        <v>200</v>
      </c>
      <c r="I167" s="126" t="s">
        <v>753</v>
      </c>
      <c r="J167" s="36" t="s">
        <v>754</v>
      </c>
      <c r="K167" s="16" t="s">
        <v>755</v>
      </c>
      <c r="L167" s="61" t="s">
        <v>756</v>
      </c>
      <c r="M167" s="135" t="s">
        <v>757</v>
      </c>
      <c r="N167" s="94"/>
      <c r="O167" s="95"/>
      <c r="P167" s="95"/>
      <c r="Q167" s="95"/>
      <c r="R167" s="95"/>
      <c r="S167" s="95"/>
      <c r="T167" s="95"/>
      <c r="U167" s="95"/>
      <c r="V167" s="95"/>
      <c r="W167" s="96"/>
      <c r="X167" s="95"/>
      <c r="Y167" s="95"/>
      <c r="Z167" s="95"/>
      <c r="AA167" s="97"/>
      <c r="AB167" s="97"/>
    </row>
    <row r="168" ht="22.5" customHeight="1">
      <c r="A168" s="91">
        <v>1910.0</v>
      </c>
      <c r="B168" s="136">
        <v>45981.0</v>
      </c>
      <c r="C168" s="137" t="s">
        <v>758</v>
      </c>
      <c r="D168" s="138"/>
      <c r="E168" s="137" t="s">
        <v>759</v>
      </c>
      <c r="F168" s="137" t="s">
        <v>760</v>
      </c>
      <c r="G168" s="137" t="s">
        <v>761</v>
      </c>
      <c r="H168" s="137" t="s">
        <v>200</v>
      </c>
      <c r="I168" s="139" t="s">
        <v>762</v>
      </c>
      <c r="J168" s="36" t="s">
        <v>763</v>
      </c>
      <c r="K168" s="16" t="s">
        <v>764</v>
      </c>
      <c r="L168" s="140" t="s">
        <v>765</v>
      </c>
      <c r="M168" s="61" t="s">
        <v>766</v>
      </c>
      <c r="N168" s="94"/>
      <c r="O168" s="92"/>
      <c r="P168" s="92"/>
      <c r="Q168" s="95"/>
      <c r="R168" s="95"/>
      <c r="S168" s="95"/>
      <c r="T168" s="95"/>
      <c r="U168" s="95"/>
      <c r="V168" s="95"/>
      <c r="W168" s="96"/>
      <c r="X168" s="95"/>
      <c r="Y168" s="95"/>
      <c r="Z168" s="95"/>
      <c r="AA168" s="97"/>
      <c r="AB168" s="97"/>
    </row>
    <row r="169" ht="22.5" customHeight="1">
      <c r="A169" s="91">
        <v>1911.0</v>
      </c>
      <c r="B169" s="92">
        <v>45981.0</v>
      </c>
      <c r="C169" s="16" t="s">
        <v>767</v>
      </c>
      <c r="D169" s="94"/>
      <c r="E169" s="16" t="s">
        <v>768</v>
      </c>
      <c r="F169" s="16" t="s">
        <v>769</v>
      </c>
      <c r="G169" s="16">
        <v>1.90902E7</v>
      </c>
      <c r="H169" s="16" t="s">
        <v>200</v>
      </c>
      <c r="I169" s="19" t="s">
        <v>770</v>
      </c>
      <c r="J169" s="42" t="s">
        <v>771</v>
      </c>
      <c r="K169" s="16" t="s">
        <v>772</v>
      </c>
      <c r="L169" s="94"/>
      <c r="M169" s="61"/>
      <c r="N169" s="94"/>
      <c r="O169" s="92"/>
      <c r="P169" s="92"/>
      <c r="Q169" s="95"/>
      <c r="R169" s="95"/>
      <c r="S169" s="95"/>
      <c r="T169" s="95"/>
      <c r="U169" s="95"/>
      <c r="V169" s="95"/>
      <c r="W169" s="96"/>
      <c r="X169" s="95"/>
      <c r="Y169" s="95"/>
      <c r="Z169" s="95"/>
      <c r="AA169" s="97"/>
      <c r="AB169" s="97"/>
    </row>
    <row r="170" ht="22.5" customHeight="1">
      <c r="A170" s="91">
        <v>1913.0</v>
      </c>
      <c r="B170" s="92">
        <v>45989.0</v>
      </c>
      <c r="C170" s="16" t="s">
        <v>773</v>
      </c>
      <c r="D170" s="94"/>
      <c r="E170" s="16" t="s">
        <v>774</v>
      </c>
      <c r="F170" s="16" t="s">
        <v>589</v>
      </c>
      <c r="G170" s="16" t="s">
        <v>50</v>
      </c>
      <c r="H170" s="16" t="s">
        <v>112</v>
      </c>
      <c r="I170" s="19" t="s">
        <v>775</v>
      </c>
      <c r="J170" s="36" t="s">
        <v>776</v>
      </c>
      <c r="K170" s="16" t="s">
        <v>777</v>
      </c>
      <c r="L170" s="133" t="s">
        <v>778</v>
      </c>
      <c r="M170" s="61" t="s">
        <v>779</v>
      </c>
      <c r="N170" s="94"/>
      <c r="O170" s="16" t="s">
        <v>62</v>
      </c>
      <c r="P170" s="92"/>
      <c r="Q170" s="95"/>
      <c r="R170" s="95"/>
      <c r="S170" s="95"/>
      <c r="T170" s="95"/>
      <c r="U170" s="92"/>
      <c r="V170" s="92"/>
      <c r="W170" s="96"/>
      <c r="X170" s="95"/>
      <c r="Y170" s="95"/>
      <c r="Z170" s="95"/>
      <c r="AA170" s="97"/>
      <c r="AB170" s="97"/>
    </row>
    <row r="171" ht="22.5" customHeight="1">
      <c r="A171" s="91">
        <v>1916.0</v>
      </c>
      <c r="B171" s="92">
        <v>45253.0</v>
      </c>
      <c r="C171" s="16" t="s">
        <v>780</v>
      </c>
      <c r="D171" s="94"/>
      <c r="E171" s="16" t="s">
        <v>588</v>
      </c>
      <c r="F171" s="16" t="s">
        <v>589</v>
      </c>
      <c r="G171" s="16">
        <v>1.9500024E7</v>
      </c>
      <c r="H171" s="16" t="s">
        <v>51</v>
      </c>
      <c r="I171" s="19" t="s">
        <v>781</v>
      </c>
      <c r="J171" s="36" t="s">
        <v>782</v>
      </c>
      <c r="K171" s="16" t="s">
        <v>777</v>
      </c>
      <c r="L171" s="94"/>
      <c r="M171" s="61"/>
      <c r="N171" s="94"/>
      <c r="O171" s="92"/>
      <c r="P171" s="92"/>
      <c r="Q171" s="95"/>
      <c r="R171" s="95"/>
      <c r="S171" s="95"/>
      <c r="T171" s="95"/>
      <c r="U171" s="92"/>
      <c r="V171" s="92"/>
      <c r="W171" s="96"/>
      <c r="X171" s="95"/>
      <c r="Y171" s="95"/>
      <c r="Z171" s="95"/>
      <c r="AA171" s="97"/>
      <c r="AB171" s="97"/>
    </row>
    <row r="172" ht="22.5" customHeight="1">
      <c r="A172" s="91">
        <v>1918.0</v>
      </c>
      <c r="B172" s="124">
        <v>45993.0</v>
      </c>
      <c r="C172" s="125" t="s">
        <v>783</v>
      </c>
      <c r="D172" s="132"/>
      <c r="E172" s="125" t="s">
        <v>784</v>
      </c>
      <c r="F172" s="125" t="s">
        <v>785</v>
      </c>
      <c r="G172" s="125" t="s">
        <v>786</v>
      </c>
      <c r="H172" s="125" t="s">
        <v>200</v>
      </c>
      <c r="I172" s="126" t="s">
        <v>787</v>
      </c>
      <c r="J172" s="36" t="s">
        <v>788</v>
      </c>
      <c r="K172" s="16" t="s">
        <v>789</v>
      </c>
      <c r="L172" s="94"/>
      <c r="M172" s="61"/>
      <c r="N172" s="94"/>
      <c r="O172" s="92"/>
      <c r="P172" s="92"/>
      <c r="Q172" s="16" t="s">
        <v>62</v>
      </c>
      <c r="R172" s="92">
        <v>46003.0</v>
      </c>
      <c r="S172" s="95"/>
      <c r="T172" s="95"/>
      <c r="U172" s="92"/>
      <c r="V172" s="92"/>
      <c r="W172" s="96"/>
      <c r="X172" s="95"/>
      <c r="Y172" s="95"/>
      <c r="Z172" s="95"/>
      <c r="AA172" s="97"/>
      <c r="AB172" s="97"/>
    </row>
    <row r="173" ht="22.5" customHeight="1">
      <c r="A173" s="91">
        <v>1921.0</v>
      </c>
      <c r="B173" s="92">
        <v>45993.0</v>
      </c>
      <c r="C173" s="16" t="s">
        <v>790</v>
      </c>
      <c r="D173" s="94"/>
      <c r="E173" s="16" t="s">
        <v>791</v>
      </c>
      <c r="F173" s="16" t="s">
        <v>300</v>
      </c>
      <c r="G173" s="16" t="s">
        <v>792</v>
      </c>
      <c r="H173" s="16" t="s">
        <v>348</v>
      </c>
      <c r="I173" s="19" t="s">
        <v>793</v>
      </c>
      <c r="J173" s="36" t="s">
        <v>794</v>
      </c>
      <c r="K173" s="16" t="s">
        <v>284</v>
      </c>
      <c r="L173" s="133" t="s">
        <v>795</v>
      </c>
      <c r="M173" s="61" t="s">
        <v>796</v>
      </c>
      <c r="N173" s="94"/>
      <c r="O173" s="16" t="s">
        <v>62</v>
      </c>
      <c r="P173" s="92">
        <v>45996.0</v>
      </c>
      <c r="Q173" s="95"/>
      <c r="R173" s="95"/>
      <c r="S173" s="95"/>
      <c r="T173" s="95"/>
      <c r="U173" s="92"/>
      <c r="V173" s="92"/>
      <c r="W173" s="96"/>
      <c r="X173" s="95"/>
      <c r="Y173" s="95"/>
      <c r="Z173" s="95"/>
      <c r="AA173" s="97"/>
      <c r="AB173" s="97"/>
    </row>
    <row r="174" ht="22.5" customHeight="1">
      <c r="A174" s="91">
        <v>1922.0</v>
      </c>
      <c r="B174" s="92">
        <v>45993.0</v>
      </c>
      <c r="C174" s="16" t="s">
        <v>790</v>
      </c>
      <c r="D174" s="94"/>
      <c r="E174" s="16" t="s">
        <v>791</v>
      </c>
      <c r="F174" s="16" t="s">
        <v>300</v>
      </c>
      <c r="G174" s="16">
        <v>1.8460122E7</v>
      </c>
      <c r="H174" s="16" t="s">
        <v>348</v>
      </c>
      <c r="I174" s="19" t="s">
        <v>797</v>
      </c>
      <c r="J174" s="36" t="s">
        <v>798</v>
      </c>
      <c r="K174" s="16" t="s">
        <v>284</v>
      </c>
      <c r="L174" s="133" t="s">
        <v>799</v>
      </c>
      <c r="M174" s="61" t="s">
        <v>800</v>
      </c>
      <c r="N174" s="94"/>
      <c r="O174" s="92"/>
      <c r="P174" s="92"/>
      <c r="Q174" s="16" t="s">
        <v>62</v>
      </c>
      <c r="R174" s="92">
        <v>46003.0</v>
      </c>
      <c r="S174" s="95"/>
      <c r="T174" s="95"/>
      <c r="U174" s="92"/>
      <c r="V174" s="92"/>
      <c r="W174" s="96"/>
      <c r="X174" s="95"/>
      <c r="Y174" s="95"/>
      <c r="Z174" s="95"/>
      <c r="AA174" s="97"/>
      <c r="AB174" s="97"/>
    </row>
    <row r="175" ht="22.5" customHeight="1">
      <c r="A175" s="91">
        <v>1923.0</v>
      </c>
      <c r="B175" s="92">
        <v>45995.0</v>
      </c>
      <c r="C175" s="16" t="s">
        <v>801</v>
      </c>
      <c r="D175" s="94"/>
      <c r="E175" s="16" t="s">
        <v>802</v>
      </c>
      <c r="F175" s="16"/>
      <c r="G175" s="16">
        <v>1.9270073E7</v>
      </c>
      <c r="H175" s="16" t="s">
        <v>348</v>
      </c>
      <c r="I175" s="19" t="s">
        <v>803</v>
      </c>
      <c r="J175" s="42" t="s">
        <v>804</v>
      </c>
      <c r="K175" s="16"/>
      <c r="L175" s="133"/>
      <c r="M175" s="61"/>
      <c r="N175" s="94"/>
      <c r="O175" s="92"/>
      <c r="P175" s="92"/>
      <c r="Q175" s="95"/>
      <c r="R175" s="95"/>
      <c r="S175" s="95"/>
      <c r="T175" s="95"/>
      <c r="U175" s="92"/>
      <c r="V175" s="92"/>
      <c r="W175" s="96"/>
      <c r="X175" s="95"/>
      <c r="Y175" s="95"/>
      <c r="Z175" s="95"/>
      <c r="AA175" s="97"/>
      <c r="AB175" s="97"/>
    </row>
    <row r="176" ht="22.5" customHeight="1">
      <c r="A176" s="91">
        <v>1929.0</v>
      </c>
      <c r="B176" s="92">
        <v>45995.0</v>
      </c>
      <c r="C176" s="16" t="s">
        <v>773</v>
      </c>
      <c r="D176" s="94"/>
      <c r="E176" s="16" t="s">
        <v>774</v>
      </c>
      <c r="F176" s="16" t="s">
        <v>805</v>
      </c>
      <c r="G176" s="91">
        <v>1.9280404E7</v>
      </c>
      <c r="H176" s="16" t="s">
        <v>42</v>
      </c>
      <c r="I176" s="19" t="s">
        <v>806</v>
      </c>
      <c r="J176" s="42" t="s">
        <v>807</v>
      </c>
      <c r="K176" s="16"/>
      <c r="L176" s="16"/>
      <c r="M176" s="16"/>
      <c r="N176" s="94"/>
      <c r="O176" s="92"/>
      <c r="P176" s="92"/>
      <c r="Q176" s="95"/>
      <c r="R176" s="95"/>
      <c r="S176" s="95"/>
      <c r="T176" s="95"/>
      <c r="U176" s="92"/>
      <c r="V176" s="92"/>
      <c r="W176" s="96"/>
      <c r="X176" s="95"/>
      <c r="Y176" s="95"/>
      <c r="Z176" s="95"/>
      <c r="AA176" s="97"/>
      <c r="AB176" s="97"/>
    </row>
    <row r="177" ht="22.5" customHeight="1">
      <c r="A177" s="91">
        <v>1944.0</v>
      </c>
      <c r="B177" s="92">
        <v>45999.0</v>
      </c>
      <c r="C177" s="16" t="s">
        <v>808</v>
      </c>
      <c r="D177" s="94"/>
      <c r="E177" s="16" t="s">
        <v>506</v>
      </c>
      <c r="F177" s="16" t="s">
        <v>49</v>
      </c>
      <c r="G177" s="16"/>
      <c r="H177" s="16" t="s">
        <v>200</v>
      </c>
      <c r="I177" s="19" t="s">
        <v>809</v>
      </c>
      <c r="J177" s="36" t="s">
        <v>810</v>
      </c>
      <c r="K177" s="16" t="s">
        <v>811</v>
      </c>
      <c r="L177" s="16" t="s">
        <v>812</v>
      </c>
      <c r="M177" s="94" t="s">
        <v>610</v>
      </c>
      <c r="N177" s="94"/>
      <c r="O177" s="16" t="s">
        <v>62</v>
      </c>
      <c r="P177" s="92">
        <v>46090.0</v>
      </c>
      <c r="Q177" s="95"/>
      <c r="R177" s="95"/>
      <c r="S177" s="95"/>
      <c r="T177" s="95"/>
      <c r="U177" s="92"/>
      <c r="V177" s="92"/>
      <c r="W177" s="96"/>
      <c r="X177" s="95"/>
      <c r="Y177" s="95"/>
      <c r="Z177" s="95"/>
      <c r="AA177" s="97"/>
      <c r="AB177" s="97"/>
    </row>
    <row r="178" ht="22.5" customHeight="1">
      <c r="A178" s="91">
        <v>1952.0</v>
      </c>
      <c r="B178" s="92">
        <v>45169.0</v>
      </c>
      <c r="C178" s="16" t="s">
        <v>813</v>
      </c>
      <c r="D178" s="16"/>
      <c r="E178" s="16" t="s">
        <v>814</v>
      </c>
      <c r="F178" s="16" t="s">
        <v>559</v>
      </c>
      <c r="G178" s="16">
        <v>1.8020264E7</v>
      </c>
      <c r="H178" s="16" t="s">
        <v>32</v>
      </c>
      <c r="I178" s="105" t="s">
        <v>815</v>
      </c>
      <c r="J178" s="141" t="s">
        <v>816</v>
      </c>
      <c r="K178" s="16" t="s">
        <v>817</v>
      </c>
      <c r="L178" s="16"/>
      <c r="M178" s="16"/>
      <c r="N178" s="94"/>
      <c r="O178" s="92"/>
      <c r="P178" s="92"/>
      <c r="Q178" s="95"/>
      <c r="R178" s="95"/>
      <c r="S178" s="95"/>
      <c r="T178" s="95"/>
      <c r="U178" s="92"/>
      <c r="V178" s="92"/>
      <c r="W178" s="96"/>
      <c r="X178" s="95"/>
      <c r="Y178" s="95"/>
      <c r="Z178" s="95"/>
      <c r="AA178" s="97"/>
      <c r="AB178" s="97"/>
    </row>
    <row r="179" ht="22.5" customHeight="1">
      <c r="A179" s="91">
        <v>1955.0</v>
      </c>
      <c r="B179" s="92">
        <v>46008.0</v>
      </c>
      <c r="C179" s="16" t="s">
        <v>818</v>
      </c>
      <c r="D179" s="16"/>
      <c r="E179" s="16" t="s">
        <v>819</v>
      </c>
      <c r="F179" s="16" t="s">
        <v>820</v>
      </c>
      <c r="G179" s="16"/>
      <c r="H179" s="16" t="s">
        <v>443</v>
      </c>
      <c r="I179" s="105" t="s">
        <v>821</v>
      </c>
      <c r="J179" s="142" t="s">
        <v>822</v>
      </c>
      <c r="K179" s="16" t="s">
        <v>823</v>
      </c>
      <c r="L179" s="16" t="s">
        <v>352</v>
      </c>
      <c r="M179" s="16" t="s">
        <v>824</v>
      </c>
      <c r="N179" s="94"/>
      <c r="O179" s="92"/>
      <c r="P179" s="92"/>
      <c r="Q179" s="92"/>
      <c r="R179" s="92"/>
      <c r="S179" s="95"/>
      <c r="T179" s="95"/>
      <c r="U179" s="92"/>
      <c r="V179" s="92"/>
      <c r="W179" s="96"/>
      <c r="X179" s="95"/>
      <c r="Y179" s="95"/>
      <c r="Z179" s="95"/>
      <c r="AA179" s="97"/>
      <c r="AB179" s="97"/>
    </row>
    <row r="180" ht="22.5" customHeight="1">
      <c r="A180" s="91">
        <v>1956.0</v>
      </c>
      <c r="B180" s="92">
        <v>46008.0</v>
      </c>
      <c r="C180" s="16" t="s">
        <v>825</v>
      </c>
      <c r="D180" s="16"/>
      <c r="E180" s="16" t="s">
        <v>239</v>
      </c>
      <c r="F180" s="16" t="s">
        <v>559</v>
      </c>
      <c r="G180" s="16"/>
      <c r="H180" s="16" t="s">
        <v>32</v>
      </c>
      <c r="I180" s="105" t="s">
        <v>826</v>
      </c>
      <c r="J180" s="142" t="s">
        <v>827</v>
      </c>
      <c r="K180" s="16" t="s">
        <v>243</v>
      </c>
      <c r="L180" s="16"/>
      <c r="M180" s="16"/>
      <c r="N180" s="94"/>
      <c r="O180" s="92"/>
      <c r="P180" s="92"/>
      <c r="Q180" s="92"/>
      <c r="R180" s="92"/>
      <c r="S180" s="95"/>
      <c r="T180" s="95"/>
      <c r="U180" s="92"/>
      <c r="V180" s="92"/>
      <c r="W180" s="96"/>
      <c r="X180" s="95"/>
      <c r="Y180" s="95"/>
      <c r="Z180" s="95"/>
      <c r="AA180" s="97"/>
      <c r="AB180" s="105" t="s">
        <v>828</v>
      </c>
    </row>
    <row r="181" ht="22.5" customHeight="1">
      <c r="A181" s="91">
        <v>1957.0</v>
      </c>
      <c r="B181" s="92">
        <v>46008.0</v>
      </c>
      <c r="C181" s="16" t="s">
        <v>829</v>
      </c>
      <c r="D181" s="16"/>
      <c r="E181" s="16" t="s">
        <v>830</v>
      </c>
      <c r="F181" s="16" t="s">
        <v>49</v>
      </c>
      <c r="G181" s="16"/>
      <c r="H181" s="16" t="s">
        <v>831</v>
      </c>
      <c r="I181" s="105"/>
      <c r="J181" s="143" t="s">
        <v>832</v>
      </c>
      <c r="K181" s="16" t="s">
        <v>833</v>
      </c>
      <c r="L181" s="16"/>
      <c r="M181" s="16"/>
      <c r="N181" s="94"/>
      <c r="O181" s="92"/>
      <c r="P181" s="92"/>
      <c r="Q181" s="92"/>
      <c r="R181" s="92"/>
      <c r="S181" s="95"/>
      <c r="T181" s="95"/>
      <c r="U181" s="92"/>
      <c r="V181" s="92"/>
      <c r="W181" s="96"/>
      <c r="X181" s="95"/>
      <c r="Y181" s="95"/>
      <c r="Z181" s="95"/>
      <c r="AA181" s="97"/>
      <c r="AB181" s="97"/>
    </row>
    <row r="182" ht="22.5" customHeight="1">
      <c r="A182" s="91">
        <v>1958.0</v>
      </c>
      <c r="B182" s="92">
        <v>46010.0</v>
      </c>
      <c r="C182" s="16" t="s">
        <v>834</v>
      </c>
      <c r="D182" s="16"/>
      <c r="E182" s="16" t="s">
        <v>835</v>
      </c>
      <c r="F182" s="16"/>
      <c r="G182" s="16">
        <v>1.9470015E7</v>
      </c>
      <c r="H182" s="16" t="s">
        <v>200</v>
      </c>
      <c r="I182" s="105" t="s">
        <v>836</v>
      </c>
      <c r="J182" s="141" t="s">
        <v>837</v>
      </c>
      <c r="K182" s="94"/>
      <c r="L182" s="16"/>
      <c r="M182" s="16"/>
      <c r="N182" s="94"/>
      <c r="O182" s="92"/>
      <c r="P182" s="92"/>
      <c r="Q182" s="92"/>
      <c r="R182" s="92"/>
      <c r="S182" s="95"/>
      <c r="T182" s="95"/>
      <c r="U182" s="92"/>
      <c r="V182" s="92"/>
      <c r="W182" s="96"/>
      <c r="X182" s="95"/>
      <c r="Y182" s="95"/>
      <c r="Z182" s="95"/>
      <c r="AA182" s="97"/>
      <c r="AB182" s="97"/>
    </row>
    <row r="183" ht="22.5" customHeight="1">
      <c r="A183" s="91">
        <v>1959.0</v>
      </c>
      <c r="B183" s="92">
        <v>46010.0</v>
      </c>
      <c r="C183" s="16" t="s">
        <v>834</v>
      </c>
      <c r="D183" s="16"/>
      <c r="E183" s="16" t="s">
        <v>835</v>
      </c>
      <c r="F183" s="16"/>
      <c r="G183" s="16">
        <v>1.9470025E7</v>
      </c>
      <c r="H183" s="16" t="s">
        <v>200</v>
      </c>
      <c r="I183" s="105" t="s">
        <v>838</v>
      </c>
      <c r="J183" s="141" t="s">
        <v>839</v>
      </c>
      <c r="K183" s="16"/>
      <c r="L183" s="16"/>
      <c r="M183" s="16"/>
      <c r="N183" s="94"/>
      <c r="O183" s="92"/>
      <c r="P183" s="92"/>
      <c r="Q183" s="92"/>
      <c r="R183" s="92"/>
      <c r="S183" s="95"/>
      <c r="T183" s="95"/>
      <c r="U183" s="92"/>
      <c r="V183" s="92"/>
      <c r="W183" s="96"/>
      <c r="X183" s="95"/>
      <c r="Y183" s="95"/>
      <c r="Z183" s="95"/>
      <c r="AA183" s="97"/>
      <c r="AB183" s="97"/>
    </row>
    <row r="184" ht="22.5" customHeight="1">
      <c r="A184" s="91">
        <v>1961.0</v>
      </c>
      <c r="B184" s="92">
        <v>46013.0</v>
      </c>
      <c r="C184" s="16" t="s">
        <v>211</v>
      </c>
      <c r="D184" s="16"/>
      <c r="E184" s="16" t="s">
        <v>212</v>
      </c>
      <c r="F184" s="16" t="s">
        <v>31</v>
      </c>
      <c r="G184" s="16"/>
      <c r="H184" s="16" t="s">
        <v>32</v>
      </c>
      <c r="I184" s="105" t="s">
        <v>840</v>
      </c>
      <c r="J184" s="143" t="s">
        <v>841</v>
      </c>
      <c r="K184" s="16" t="s">
        <v>35</v>
      </c>
      <c r="L184" s="16" t="s">
        <v>36</v>
      </c>
      <c r="M184" s="16" t="s">
        <v>37</v>
      </c>
      <c r="N184" s="94"/>
      <c r="O184" s="92"/>
      <c r="P184" s="92"/>
      <c r="Q184" s="92"/>
      <c r="R184" s="92"/>
      <c r="S184" s="95"/>
      <c r="T184" s="95"/>
      <c r="U184" s="92"/>
      <c r="V184" s="92"/>
      <c r="W184" s="96"/>
      <c r="X184" s="95"/>
      <c r="Y184" s="95"/>
      <c r="Z184" s="95"/>
      <c r="AA184" s="97"/>
      <c r="AB184" s="97"/>
    </row>
    <row r="185" ht="22.5" customHeight="1">
      <c r="A185" s="91">
        <v>1965.0</v>
      </c>
      <c r="B185" s="92">
        <v>46015.0</v>
      </c>
      <c r="C185" s="16" t="s">
        <v>825</v>
      </c>
      <c r="D185" s="16"/>
      <c r="E185" s="16" t="s">
        <v>239</v>
      </c>
      <c r="F185" s="16" t="s">
        <v>559</v>
      </c>
      <c r="G185" s="16"/>
      <c r="H185" s="16" t="s">
        <v>32</v>
      </c>
      <c r="I185" s="105" t="s">
        <v>842</v>
      </c>
      <c r="J185" s="143" t="s">
        <v>843</v>
      </c>
      <c r="K185" s="18" t="s">
        <v>243</v>
      </c>
      <c r="L185" s="16"/>
      <c r="M185" s="50"/>
      <c r="N185" s="94"/>
      <c r="O185" s="92"/>
      <c r="P185" s="92"/>
      <c r="Q185" s="92"/>
      <c r="R185" s="92"/>
      <c r="S185" s="95"/>
      <c r="T185" s="95"/>
      <c r="U185" s="92"/>
      <c r="V185" s="92"/>
      <c r="W185" s="96"/>
      <c r="X185" s="95"/>
      <c r="Y185" s="95"/>
      <c r="Z185" s="95"/>
      <c r="AA185" s="97"/>
      <c r="AB185" s="105" t="s">
        <v>844</v>
      </c>
    </row>
    <row r="186" ht="22.5" customHeight="1">
      <c r="A186" s="91">
        <v>1967.0</v>
      </c>
      <c r="B186" s="92">
        <v>46027.0</v>
      </c>
      <c r="C186" s="16" t="s">
        <v>845</v>
      </c>
      <c r="D186" s="16"/>
      <c r="E186" s="16" t="s">
        <v>846</v>
      </c>
      <c r="F186" s="16" t="s">
        <v>847</v>
      </c>
      <c r="G186" s="144" t="s">
        <v>50</v>
      </c>
      <c r="H186" s="16" t="s">
        <v>32</v>
      </c>
      <c r="I186" s="105" t="s">
        <v>848</v>
      </c>
      <c r="J186" s="36" t="s">
        <v>849</v>
      </c>
      <c r="K186" s="94"/>
      <c r="L186" s="16"/>
      <c r="M186" s="50"/>
      <c r="N186" s="94"/>
      <c r="O186" s="92"/>
      <c r="P186" s="92"/>
      <c r="Q186" s="92"/>
      <c r="R186" s="92"/>
      <c r="S186" s="95"/>
      <c r="T186" s="95"/>
      <c r="U186" s="92"/>
      <c r="V186" s="92"/>
      <c r="W186" s="96"/>
      <c r="X186" s="95"/>
      <c r="Y186" s="95"/>
      <c r="Z186" s="95"/>
      <c r="AA186" s="97"/>
      <c r="AB186" s="97"/>
    </row>
    <row r="187" ht="22.5" customHeight="1">
      <c r="A187" s="91">
        <v>1968.0</v>
      </c>
      <c r="B187" s="92">
        <v>46030.0</v>
      </c>
      <c r="C187" s="16" t="s">
        <v>850</v>
      </c>
      <c r="D187" s="16"/>
      <c r="E187" s="16" t="s">
        <v>851</v>
      </c>
      <c r="F187" s="16" t="s">
        <v>852</v>
      </c>
      <c r="G187" s="91">
        <v>1.7580043E7</v>
      </c>
      <c r="H187" s="16" t="s">
        <v>103</v>
      </c>
      <c r="I187" s="105" t="s">
        <v>853</v>
      </c>
      <c r="J187" s="42" t="s">
        <v>854</v>
      </c>
      <c r="K187" s="16" t="s">
        <v>855</v>
      </c>
      <c r="L187" s="16"/>
      <c r="M187" s="50"/>
      <c r="N187" s="94"/>
      <c r="O187" s="92"/>
      <c r="P187" s="92"/>
      <c r="Q187" s="92"/>
      <c r="R187" s="92"/>
      <c r="S187" s="95"/>
      <c r="T187" s="95"/>
      <c r="U187" s="92"/>
      <c r="V187" s="92"/>
      <c r="W187" s="96"/>
      <c r="X187" s="95"/>
      <c r="Y187" s="95"/>
      <c r="Z187" s="95"/>
      <c r="AA187" s="97"/>
      <c r="AB187" s="97"/>
    </row>
    <row r="188" ht="22.5" customHeight="1">
      <c r="A188" s="91">
        <v>1969.0</v>
      </c>
      <c r="B188" s="92">
        <v>46031.0</v>
      </c>
      <c r="C188" s="16" t="s">
        <v>856</v>
      </c>
      <c r="D188" s="16"/>
      <c r="E188" s="16" t="s">
        <v>857</v>
      </c>
      <c r="F188" s="16" t="s">
        <v>858</v>
      </c>
      <c r="G188" s="144" t="s">
        <v>50</v>
      </c>
      <c r="H188" s="16" t="s">
        <v>859</v>
      </c>
      <c r="I188" s="105" t="s">
        <v>860</v>
      </c>
      <c r="J188" s="36" t="s">
        <v>861</v>
      </c>
      <c r="K188" s="16" t="s">
        <v>862</v>
      </c>
      <c r="L188" s="16" t="s">
        <v>863</v>
      </c>
      <c r="M188" s="50" t="s">
        <v>864</v>
      </c>
      <c r="N188" s="94"/>
      <c r="O188" s="92"/>
      <c r="P188" s="92"/>
      <c r="Q188" s="92"/>
      <c r="R188" s="92"/>
      <c r="S188" s="95"/>
      <c r="T188" s="95"/>
      <c r="U188" s="92"/>
      <c r="V188" s="92"/>
      <c r="W188" s="96"/>
      <c r="X188" s="95"/>
      <c r="Y188" s="95"/>
      <c r="Z188" s="95"/>
      <c r="AA188" s="97"/>
      <c r="AB188" s="97"/>
    </row>
    <row r="189" ht="22.5" customHeight="1">
      <c r="A189" s="91">
        <v>1970.0</v>
      </c>
      <c r="B189" s="124">
        <v>46036.0</v>
      </c>
      <c r="C189" s="125" t="s">
        <v>767</v>
      </c>
      <c r="D189" s="125"/>
      <c r="E189" s="125" t="s">
        <v>768</v>
      </c>
      <c r="F189" s="125" t="s">
        <v>327</v>
      </c>
      <c r="G189" s="145">
        <v>1.90902E7</v>
      </c>
      <c r="H189" s="125" t="s">
        <v>200</v>
      </c>
      <c r="I189" s="146" t="s">
        <v>865</v>
      </c>
      <c r="J189" s="36" t="s">
        <v>866</v>
      </c>
      <c r="K189" s="16" t="s">
        <v>867</v>
      </c>
      <c r="L189" s="16" t="s">
        <v>868</v>
      </c>
      <c r="M189" s="50" t="s">
        <v>869</v>
      </c>
      <c r="N189" s="94"/>
      <c r="O189" s="92"/>
      <c r="P189" s="92"/>
      <c r="Q189" s="92"/>
      <c r="R189" s="92"/>
      <c r="S189" s="95"/>
      <c r="T189" s="95"/>
      <c r="U189" s="92"/>
      <c r="V189" s="92"/>
      <c r="W189" s="96"/>
      <c r="X189" s="95"/>
      <c r="Y189" s="95"/>
      <c r="Z189" s="95"/>
      <c r="AA189" s="97"/>
      <c r="AB189" s="97"/>
    </row>
    <row r="190" ht="22.5" customHeight="1">
      <c r="A190" s="91">
        <v>1971.0</v>
      </c>
      <c r="B190" s="92">
        <v>46037.0</v>
      </c>
      <c r="C190" s="16" t="s">
        <v>773</v>
      </c>
      <c r="D190" s="16"/>
      <c r="E190" s="16" t="s">
        <v>774</v>
      </c>
      <c r="F190" s="16" t="s">
        <v>589</v>
      </c>
      <c r="G190" s="91">
        <v>1.9280412E7</v>
      </c>
      <c r="H190" s="16" t="s">
        <v>42</v>
      </c>
      <c r="I190" s="105" t="s">
        <v>870</v>
      </c>
      <c r="J190" s="42" t="s">
        <v>871</v>
      </c>
      <c r="K190" s="147" t="s">
        <v>777</v>
      </c>
      <c r="L190" s="148" t="s">
        <v>872</v>
      </c>
      <c r="M190" s="16" t="s">
        <v>873</v>
      </c>
      <c r="N190" s="94"/>
      <c r="O190" s="92"/>
      <c r="P190" s="92"/>
      <c r="Q190" s="92"/>
      <c r="R190" s="92"/>
      <c r="S190" s="95"/>
      <c r="T190" s="95"/>
      <c r="U190" s="92"/>
      <c r="V190" s="92"/>
      <c r="W190" s="96"/>
      <c r="X190" s="95"/>
      <c r="Y190" s="95"/>
      <c r="Z190" s="95"/>
      <c r="AA190" s="97"/>
      <c r="AB190" s="97"/>
    </row>
    <row r="191" ht="22.5" customHeight="1">
      <c r="A191" s="91">
        <v>1979.0</v>
      </c>
      <c r="B191" s="124">
        <v>46038.0</v>
      </c>
      <c r="C191" s="125" t="s">
        <v>874</v>
      </c>
      <c r="D191" s="125"/>
      <c r="E191" s="125" t="s">
        <v>759</v>
      </c>
      <c r="F191" s="125"/>
      <c r="G191" s="149">
        <v>1.9080283E7</v>
      </c>
      <c r="H191" s="125" t="s">
        <v>200</v>
      </c>
      <c r="I191" s="146" t="s">
        <v>875</v>
      </c>
      <c r="J191" s="36" t="s">
        <v>876</v>
      </c>
      <c r="K191" s="16"/>
      <c r="L191" s="16"/>
      <c r="M191" s="50"/>
      <c r="N191" s="94"/>
      <c r="O191" s="92"/>
      <c r="P191" s="92"/>
      <c r="Q191" s="92"/>
      <c r="R191" s="92"/>
      <c r="S191" s="95"/>
      <c r="T191" s="95"/>
      <c r="U191" s="92"/>
      <c r="V191" s="92"/>
      <c r="W191" s="96"/>
      <c r="X191" s="95"/>
      <c r="Y191" s="95"/>
      <c r="Z191" s="95"/>
      <c r="AA191" s="97"/>
      <c r="AB191" s="97"/>
    </row>
    <row r="192" ht="22.5" customHeight="1">
      <c r="A192" s="91">
        <v>1981.0</v>
      </c>
      <c r="B192" s="92">
        <v>46041.0</v>
      </c>
      <c r="C192" s="16" t="s">
        <v>877</v>
      </c>
      <c r="D192" s="16"/>
      <c r="E192" s="16" t="s">
        <v>878</v>
      </c>
      <c r="F192" s="16" t="s">
        <v>49</v>
      </c>
      <c r="G192" s="144">
        <v>1.5441016E7</v>
      </c>
      <c r="H192" s="16" t="s">
        <v>32</v>
      </c>
      <c r="I192" s="105" t="s">
        <v>879</v>
      </c>
      <c r="J192" s="42" t="s">
        <v>880</v>
      </c>
      <c r="K192" s="16" t="s">
        <v>881</v>
      </c>
      <c r="L192" s="16" t="s">
        <v>882</v>
      </c>
      <c r="M192" s="50" t="s">
        <v>883</v>
      </c>
      <c r="N192" s="94"/>
      <c r="O192" s="92"/>
      <c r="P192" s="92"/>
      <c r="Q192" s="92"/>
      <c r="R192" s="92"/>
      <c r="S192" s="95"/>
      <c r="T192" s="95"/>
      <c r="U192" s="92"/>
      <c r="V192" s="92"/>
      <c r="W192" s="96"/>
      <c r="X192" s="95"/>
      <c r="Y192" s="95"/>
      <c r="Z192" s="95"/>
      <c r="AA192" s="97"/>
      <c r="AB192" s="97"/>
    </row>
    <row r="193" ht="22.5" customHeight="1">
      <c r="A193" s="91">
        <v>1988.0</v>
      </c>
      <c r="B193" s="92">
        <v>46042.0</v>
      </c>
      <c r="C193" s="16" t="s">
        <v>884</v>
      </c>
      <c r="D193" s="16"/>
      <c r="E193" s="16" t="s">
        <v>885</v>
      </c>
      <c r="F193" s="16" t="s">
        <v>49</v>
      </c>
      <c r="G193" s="144" t="s">
        <v>50</v>
      </c>
      <c r="H193" s="16" t="s">
        <v>886</v>
      </c>
      <c r="I193" s="105" t="s">
        <v>887</v>
      </c>
      <c r="J193" s="36" t="s">
        <v>888</v>
      </c>
      <c r="K193" s="16" t="s">
        <v>889</v>
      </c>
      <c r="L193" s="16" t="s">
        <v>343</v>
      </c>
      <c r="M193" s="50" t="s">
        <v>890</v>
      </c>
      <c r="N193" s="94"/>
      <c r="O193" s="92"/>
      <c r="P193" s="92"/>
      <c r="Q193" s="16" t="s">
        <v>62</v>
      </c>
      <c r="R193" s="92">
        <v>46057.0</v>
      </c>
      <c r="S193" s="95"/>
      <c r="T193" s="95"/>
      <c r="U193" s="16" t="s">
        <v>891</v>
      </c>
      <c r="V193" s="92"/>
      <c r="W193" s="96"/>
      <c r="X193" s="95"/>
      <c r="Y193" s="95"/>
      <c r="Z193" s="95"/>
      <c r="AA193" s="97"/>
      <c r="AB193" s="97"/>
    </row>
    <row r="194" ht="22.5" customHeight="1">
      <c r="A194" s="91">
        <v>1989.0</v>
      </c>
      <c r="B194" s="92">
        <v>46042.0</v>
      </c>
      <c r="C194" s="16" t="s">
        <v>892</v>
      </c>
      <c r="D194" s="16"/>
      <c r="E194" s="16" t="s">
        <v>893</v>
      </c>
      <c r="F194" s="16" t="s">
        <v>295</v>
      </c>
      <c r="G194" s="144">
        <v>1.8570386E7</v>
      </c>
      <c r="H194" s="16" t="s">
        <v>894</v>
      </c>
      <c r="I194" s="105" t="s">
        <v>895</v>
      </c>
      <c r="J194" s="36" t="s">
        <v>896</v>
      </c>
      <c r="K194" s="16" t="s">
        <v>897</v>
      </c>
      <c r="L194" s="16" t="s">
        <v>898</v>
      </c>
      <c r="M194" s="33" t="s">
        <v>899</v>
      </c>
      <c r="N194" s="94"/>
      <c r="O194" s="92"/>
      <c r="P194" s="92"/>
      <c r="Q194" s="16" t="s">
        <v>62</v>
      </c>
      <c r="R194" s="92">
        <v>46057.0</v>
      </c>
      <c r="S194" s="95"/>
      <c r="T194" s="95"/>
      <c r="U194" s="92"/>
      <c r="V194" s="92"/>
      <c r="W194" s="96"/>
      <c r="X194" s="95"/>
      <c r="Y194" s="95"/>
      <c r="Z194" s="95"/>
      <c r="AA194" s="97"/>
      <c r="AB194" s="97"/>
    </row>
    <row r="195" ht="22.5" customHeight="1">
      <c r="A195" s="91">
        <v>1990.0</v>
      </c>
      <c r="B195" s="124">
        <v>46043.0</v>
      </c>
      <c r="C195" s="125" t="s">
        <v>874</v>
      </c>
      <c r="D195" s="125"/>
      <c r="E195" s="125" t="s">
        <v>759</v>
      </c>
      <c r="F195" s="125" t="s">
        <v>900</v>
      </c>
      <c r="G195" s="149" t="s">
        <v>901</v>
      </c>
      <c r="H195" s="125" t="s">
        <v>200</v>
      </c>
      <c r="I195" s="146" t="s">
        <v>902</v>
      </c>
      <c r="J195" s="36" t="s">
        <v>903</v>
      </c>
      <c r="K195" s="16" t="s">
        <v>904</v>
      </c>
      <c r="L195" s="150" t="s">
        <v>905</v>
      </c>
      <c r="M195" s="150" t="s">
        <v>906</v>
      </c>
      <c r="N195" s="94"/>
      <c r="O195" s="92"/>
      <c r="P195" s="92"/>
      <c r="Q195" s="92"/>
      <c r="R195" s="92"/>
      <c r="S195" s="16" t="s">
        <v>62</v>
      </c>
      <c r="T195" s="92">
        <v>46073.0</v>
      </c>
      <c r="U195" s="92"/>
      <c r="V195" s="92"/>
      <c r="W195" s="96"/>
      <c r="X195" s="95"/>
      <c r="Y195" s="95"/>
      <c r="Z195" s="95"/>
      <c r="AA195" s="97"/>
      <c r="AB195" s="97"/>
    </row>
    <row r="196" ht="22.5" customHeight="1">
      <c r="A196" s="91">
        <v>1992.0</v>
      </c>
      <c r="B196" s="92">
        <v>46044.0</v>
      </c>
      <c r="C196" s="16" t="s">
        <v>498</v>
      </c>
      <c r="D196" s="16"/>
      <c r="E196" s="16" t="s">
        <v>499</v>
      </c>
      <c r="F196" s="16" t="s">
        <v>500</v>
      </c>
      <c r="G196" s="144" t="s">
        <v>50</v>
      </c>
      <c r="H196" s="16" t="s">
        <v>348</v>
      </c>
      <c r="I196" s="105" t="s">
        <v>580</v>
      </c>
      <c r="J196" s="36" t="s">
        <v>907</v>
      </c>
      <c r="K196" s="151"/>
      <c r="L196" s="152"/>
      <c r="M196" s="152" t="s">
        <v>908</v>
      </c>
      <c r="N196" s="94"/>
      <c r="O196" s="92"/>
      <c r="P196" s="92"/>
      <c r="Q196" s="92"/>
      <c r="R196" s="92"/>
      <c r="S196" s="95"/>
      <c r="T196" s="95"/>
      <c r="U196" s="92"/>
      <c r="V196" s="92"/>
      <c r="W196" s="96"/>
      <c r="X196" s="95"/>
      <c r="Y196" s="95"/>
      <c r="Z196" s="95"/>
      <c r="AA196" s="97"/>
      <c r="AB196" s="97"/>
    </row>
    <row r="197" ht="22.5" customHeight="1">
      <c r="A197" s="91">
        <v>1993.0</v>
      </c>
      <c r="B197" s="92">
        <v>46045.0</v>
      </c>
      <c r="C197" s="16" t="s">
        <v>909</v>
      </c>
      <c r="D197" s="16"/>
      <c r="E197" s="16" t="s">
        <v>910</v>
      </c>
      <c r="F197" s="16" t="s">
        <v>160</v>
      </c>
      <c r="G197" s="144">
        <v>1.5971939E7</v>
      </c>
      <c r="H197" s="16" t="s">
        <v>120</v>
      </c>
      <c r="I197" s="105" t="s">
        <v>911</v>
      </c>
      <c r="J197" s="42" t="s">
        <v>912</v>
      </c>
      <c r="K197" s="16" t="s">
        <v>913</v>
      </c>
      <c r="L197" s="153" t="s">
        <v>914</v>
      </c>
      <c r="M197" s="152" t="s">
        <v>915</v>
      </c>
      <c r="N197" s="94"/>
      <c r="O197" s="92"/>
      <c r="P197" s="92"/>
      <c r="Q197" s="92"/>
      <c r="R197" s="92"/>
      <c r="S197" s="95"/>
      <c r="T197" s="95"/>
      <c r="U197" s="92"/>
      <c r="V197" s="92"/>
      <c r="W197" s="96"/>
      <c r="X197" s="95"/>
      <c r="Y197" s="95"/>
      <c r="Z197" s="95"/>
      <c r="AA197" s="97"/>
      <c r="AB197" s="97"/>
    </row>
    <row r="198" ht="22.5" customHeight="1">
      <c r="A198" s="91">
        <v>1994.0</v>
      </c>
      <c r="B198" s="92">
        <v>46045.0</v>
      </c>
      <c r="C198" s="16" t="s">
        <v>909</v>
      </c>
      <c r="D198" s="16"/>
      <c r="E198" s="16" t="s">
        <v>910</v>
      </c>
      <c r="F198" s="16" t="s">
        <v>160</v>
      </c>
      <c r="G198" s="144">
        <v>1.597194E7</v>
      </c>
      <c r="H198" s="16" t="s">
        <v>120</v>
      </c>
      <c r="I198" s="105" t="s">
        <v>911</v>
      </c>
      <c r="J198" s="42" t="s">
        <v>916</v>
      </c>
      <c r="K198" s="16" t="s">
        <v>913</v>
      </c>
      <c r="L198" s="153" t="s">
        <v>914</v>
      </c>
      <c r="M198" s="152" t="s">
        <v>915</v>
      </c>
      <c r="N198" s="94"/>
      <c r="O198" s="92"/>
      <c r="P198" s="92"/>
      <c r="Q198" s="92"/>
      <c r="R198" s="92"/>
      <c r="S198" s="95"/>
      <c r="T198" s="95"/>
      <c r="U198" s="92"/>
      <c r="V198" s="92"/>
      <c r="W198" s="96"/>
      <c r="X198" s="95"/>
      <c r="Y198" s="95"/>
      <c r="Z198" s="95"/>
      <c r="AA198" s="97"/>
      <c r="AB198" s="97"/>
    </row>
    <row r="199" ht="22.5" customHeight="1">
      <c r="A199" s="91">
        <v>1995.0</v>
      </c>
      <c r="B199" s="92">
        <v>46048.0</v>
      </c>
      <c r="C199" s="16" t="s">
        <v>917</v>
      </c>
      <c r="D199" s="133"/>
      <c r="E199" s="16" t="s">
        <v>918</v>
      </c>
      <c r="F199" s="16" t="s">
        <v>300</v>
      </c>
      <c r="G199" s="144" t="s">
        <v>50</v>
      </c>
      <c r="H199" s="16" t="s">
        <v>859</v>
      </c>
      <c r="I199" s="19" t="s">
        <v>919</v>
      </c>
      <c r="J199" s="42" t="s">
        <v>920</v>
      </c>
      <c r="K199" s="16" t="s">
        <v>284</v>
      </c>
      <c r="L199" s="152" t="s">
        <v>905</v>
      </c>
      <c r="M199" s="33" t="s">
        <v>921</v>
      </c>
      <c r="N199" s="94"/>
      <c r="O199" s="92"/>
      <c r="P199" s="92"/>
      <c r="Q199" s="16" t="s">
        <v>62</v>
      </c>
      <c r="R199" s="92">
        <v>46069.0</v>
      </c>
      <c r="S199" s="95"/>
      <c r="T199" s="95"/>
      <c r="U199" s="92"/>
      <c r="V199" s="92"/>
      <c r="W199" s="96"/>
      <c r="X199" s="95"/>
      <c r="Y199" s="95"/>
      <c r="Z199" s="95"/>
      <c r="AA199" s="97"/>
      <c r="AB199" s="97"/>
    </row>
    <row r="200" ht="22.5" customHeight="1">
      <c r="A200" s="91">
        <v>1996.0</v>
      </c>
      <c r="B200" s="92">
        <v>46048.0</v>
      </c>
      <c r="C200" s="16" t="s">
        <v>922</v>
      </c>
      <c r="D200" s="133"/>
      <c r="E200" s="16" t="s">
        <v>923</v>
      </c>
      <c r="F200" s="16" t="s">
        <v>924</v>
      </c>
      <c r="G200" s="144">
        <v>1.944088E7</v>
      </c>
      <c r="H200" s="16" t="s">
        <v>200</v>
      </c>
      <c r="I200" s="19" t="s">
        <v>925</v>
      </c>
      <c r="J200" s="42" t="s">
        <v>926</v>
      </c>
      <c r="K200" s="16" t="s">
        <v>927</v>
      </c>
      <c r="L200" s="153"/>
      <c r="M200" s="154"/>
      <c r="N200" s="94"/>
      <c r="O200" s="92"/>
      <c r="P200" s="92"/>
      <c r="Q200" s="92"/>
      <c r="R200" s="92"/>
      <c r="S200" s="95"/>
      <c r="T200" s="95"/>
      <c r="U200" s="92"/>
      <c r="V200" s="92"/>
      <c r="W200" s="96"/>
      <c r="X200" s="95"/>
      <c r="Y200" s="95"/>
      <c r="Z200" s="95"/>
      <c r="AA200" s="97"/>
      <c r="AB200" s="97"/>
    </row>
    <row r="201" ht="22.5" customHeight="1">
      <c r="A201" s="91" t="s">
        <v>928</v>
      </c>
      <c r="B201" s="92">
        <v>46048.0</v>
      </c>
      <c r="C201" s="16" t="s">
        <v>605</v>
      </c>
      <c r="D201" s="133"/>
      <c r="E201" s="16" t="s">
        <v>89</v>
      </c>
      <c r="F201" s="16" t="s">
        <v>41</v>
      </c>
      <c r="G201" s="144">
        <v>1.583139E7</v>
      </c>
      <c r="H201" s="16" t="s">
        <v>51</v>
      </c>
      <c r="I201" s="19" t="s">
        <v>929</v>
      </c>
      <c r="J201" s="36" t="s">
        <v>930</v>
      </c>
      <c r="K201" s="16" t="s">
        <v>608</v>
      </c>
      <c r="L201" s="153"/>
      <c r="M201" s="154"/>
      <c r="N201" s="94"/>
      <c r="O201" s="92"/>
      <c r="P201" s="92"/>
      <c r="Q201" s="92"/>
      <c r="R201" s="92"/>
      <c r="S201" s="95"/>
      <c r="T201" s="95"/>
      <c r="U201" s="92"/>
      <c r="V201" s="92"/>
      <c r="W201" s="96"/>
      <c r="X201" s="95"/>
      <c r="Y201" s="95"/>
      <c r="Z201" s="95"/>
      <c r="AA201" s="97"/>
      <c r="AB201" s="97"/>
    </row>
    <row r="202" ht="22.5" customHeight="1">
      <c r="A202" s="91">
        <v>2005.0</v>
      </c>
      <c r="B202" s="92">
        <v>46049.0</v>
      </c>
      <c r="C202" s="16" t="s">
        <v>917</v>
      </c>
      <c r="D202" s="133"/>
      <c r="E202" s="16" t="s">
        <v>918</v>
      </c>
      <c r="F202" s="16" t="s">
        <v>300</v>
      </c>
      <c r="G202" s="144">
        <v>1.6352069E7</v>
      </c>
      <c r="H202" s="16" t="s">
        <v>886</v>
      </c>
      <c r="I202" s="19" t="s">
        <v>919</v>
      </c>
      <c r="J202" s="36" t="s">
        <v>931</v>
      </c>
      <c r="K202" s="155" t="s">
        <v>284</v>
      </c>
      <c r="L202" s="156" t="s">
        <v>905</v>
      </c>
      <c r="M202" s="33" t="s">
        <v>921</v>
      </c>
      <c r="N202" s="94"/>
      <c r="O202" s="92"/>
      <c r="P202" s="92"/>
      <c r="Q202" s="16" t="s">
        <v>62</v>
      </c>
      <c r="R202" s="92">
        <v>46069.0</v>
      </c>
      <c r="S202" s="95"/>
      <c r="T202" s="95"/>
      <c r="U202" s="16" t="s">
        <v>891</v>
      </c>
      <c r="V202" s="92"/>
      <c r="W202" s="96"/>
      <c r="X202" s="95"/>
      <c r="Y202" s="95"/>
      <c r="Z202" s="95"/>
      <c r="AA202" s="97"/>
      <c r="AB202" s="105"/>
    </row>
    <row r="203" ht="22.5" customHeight="1">
      <c r="A203" s="91">
        <v>2006.0</v>
      </c>
      <c r="B203" s="92">
        <v>46050.0</v>
      </c>
      <c r="C203" s="16" t="s">
        <v>917</v>
      </c>
      <c r="D203" s="133"/>
      <c r="E203" s="16" t="s">
        <v>918</v>
      </c>
      <c r="F203" s="16" t="s">
        <v>300</v>
      </c>
      <c r="G203" s="144">
        <v>1.635207E7</v>
      </c>
      <c r="H203" s="16" t="s">
        <v>859</v>
      </c>
      <c r="I203" s="19" t="s">
        <v>932</v>
      </c>
      <c r="J203" s="36" t="s">
        <v>933</v>
      </c>
      <c r="K203" s="155" t="s">
        <v>284</v>
      </c>
      <c r="L203" s="157" t="s">
        <v>934</v>
      </c>
      <c r="M203" s="33" t="s">
        <v>921</v>
      </c>
      <c r="N203" s="94"/>
      <c r="O203" s="92"/>
      <c r="P203" s="92"/>
      <c r="Q203" s="16" t="s">
        <v>62</v>
      </c>
      <c r="R203" s="92">
        <v>46087.0</v>
      </c>
      <c r="S203" s="95"/>
      <c r="T203" s="95"/>
      <c r="U203" s="92"/>
      <c r="V203" s="92"/>
      <c r="W203" s="96"/>
      <c r="X203" s="95"/>
      <c r="Y203" s="95"/>
      <c r="Z203" s="95"/>
      <c r="AA203" s="97"/>
      <c r="AB203" s="97"/>
    </row>
    <row r="204" ht="22.5" customHeight="1">
      <c r="A204" s="91">
        <v>2008.0</v>
      </c>
      <c r="B204" s="92">
        <v>46050.0</v>
      </c>
      <c r="C204" s="16" t="s">
        <v>773</v>
      </c>
      <c r="D204" s="133"/>
      <c r="E204" s="16" t="s">
        <v>774</v>
      </c>
      <c r="F204" s="16" t="s">
        <v>589</v>
      </c>
      <c r="G204" s="91">
        <v>1.928042E7</v>
      </c>
      <c r="H204" s="16" t="s">
        <v>42</v>
      </c>
      <c r="I204" s="19" t="s">
        <v>935</v>
      </c>
      <c r="J204" s="42" t="s">
        <v>936</v>
      </c>
      <c r="K204" s="147" t="s">
        <v>777</v>
      </c>
      <c r="L204" s="148" t="s">
        <v>872</v>
      </c>
      <c r="M204" s="16" t="s">
        <v>873</v>
      </c>
      <c r="N204" s="94"/>
      <c r="O204" s="92"/>
      <c r="P204" s="92"/>
      <c r="Q204" s="92"/>
      <c r="R204" s="92"/>
      <c r="S204" s="95"/>
      <c r="T204" s="95"/>
      <c r="U204" s="92"/>
      <c r="V204" s="92"/>
      <c r="W204" s="96"/>
      <c r="X204" s="95"/>
      <c r="Y204" s="95"/>
      <c r="Z204" s="95"/>
      <c r="AA204" s="97"/>
      <c r="AB204" s="97"/>
    </row>
    <row r="205" ht="22.5" customHeight="1">
      <c r="A205" s="91">
        <v>2012.0</v>
      </c>
      <c r="B205" s="92">
        <v>46055.0</v>
      </c>
      <c r="C205" s="16" t="s">
        <v>937</v>
      </c>
      <c r="D205" s="133"/>
      <c r="E205" s="16" t="s">
        <v>814</v>
      </c>
      <c r="F205" s="16" t="s">
        <v>240</v>
      </c>
      <c r="G205" s="91">
        <v>1.8020409E7</v>
      </c>
      <c r="H205" s="16" t="s">
        <v>32</v>
      </c>
      <c r="I205" s="19" t="s">
        <v>938</v>
      </c>
      <c r="J205" s="42" t="s">
        <v>939</v>
      </c>
      <c r="K205" s="147" t="s">
        <v>817</v>
      </c>
      <c r="L205" s="148" t="s">
        <v>940</v>
      </c>
      <c r="M205" s="16" t="s">
        <v>941</v>
      </c>
      <c r="N205" s="94"/>
      <c r="O205" s="92"/>
      <c r="P205" s="92"/>
      <c r="Q205" s="92"/>
      <c r="R205" s="92"/>
      <c r="S205" s="16" t="s">
        <v>174</v>
      </c>
      <c r="T205" s="95"/>
      <c r="U205" s="92"/>
      <c r="V205" s="92"/>
      <c r="W205" s="96"/>
      <c r="X205" s="95"/>
      <c r="Y205" s="95"/>
      <c r="Z205" s="95"/>
      <c r="AA205" s="97"/>
      <c r="AB205" s="97"/>
    </row>
    <row r="206" ht="22.5" customHeight="1">
      <c r="A206" s="91">
        <v>2014.0</v>
      </c>
      <c r="B206" s="92">
        <v>46056.0</v>
      </c>
      <c r="C206" s="16" t="s">
        <v>582</v>
      </c>
      <c r="D206" s="133"/>
      <c r="E206" s="16" t="s">
        <v>67</v>
      </c>
      <c r="F206" s="16" t="s">
        <v>942</v>
      </c>
      <c r="G206" s="91" t="s">
        <v>50</v>
      </c>
      <c r="H206" s="16" t="s">
        <v>42</v>
      </c>
      <c r="I206" s="19" t="s">
        <v>943</v>
      </c>
      <c r="J206" s="42" t="s">
        <v>944</v>
      </c>
      <c r="K206" s="147" t="s">
        <v>945</v>
      </c>
      <c r="L206" s="148" t="s">
        <v>138</v>
      </c>
      <c r="M206" s="16" t="s">
        <v>946</v>
      </c>
      <c r="N206" s="94"/>
      <c r="O206" s="92"/>
      <c r="P206" s="92"/>
      <c r="Q206" s="92"/>
      <c r="R206" s="92"/>
      <c r="S206" s="16" t="s">
        <v>62</v>
      </c>
      <c r="T206" s="92">
        <v>46104.0</v>
      </c>
      <c r="U206" s="92"/>
      <c r="V206" s="92"/>
      <c r="W206" s="96"/>
      <c r="X206" s="95"/>
      <c r="Y206" s="95"/>
      <c r="Z206" s="95"/>
      <c r="AA206" s="97"/>
      <c r="AB206" s="97"/>
    </row>
    <row r="207" ht="22.5" customHeight="1">
      <c r="A207" s="91">
        <v>2015.0</v>
      </c>
      <c r="B207" s="92">
        <v>46056.0</v>
      </c>
      <c r="C207" s="16" t="s">
        <v>947</v>
      </c>
      <c r="D207" s="133"/>
      <c r="E207" s="16" t="s">
        <v>948</v>
      </c>
      <c r="F207" s="16" t="s">
        <v>949</v>
      </c>
      <c r="G207" s="91" t="s">
        <v>50</v>
      </c>
      <c r="H207" s="16" t="s">
        <v>103</v>
      </c>
      <c r="I207" s="19" t="s">
        <v>950</v>
      </c>
      <c r="J207" s="36" t="s">
        <v>951</v>
      </c>
      <c r="K207" s="147" t="s">
        <v>952</v>
      </c>
      <c r="L207" s="158"/>
      <c r="M207" s="16"/>
      <c r="N207" s="94"/>
      <c r="O207" s="92"/>
      <c r="P207" s="92"/>
      <c r="Q207" s="92"/>
      <c r="R207" s="92"/>
      <c r="S207" s="95"/>
      <c r="T207" s="95"/>
      <c r="U207" s="92"/>
      <c r="V207" s="92"/>
      <c r="W207" s="96"/>
      <c r="X207" s="95"/>
      <c r="Y207" s="95"/>
      <c r="Z207" s="95"/>
      <c r="AA207" s="97"/>
      <c r="AB207" s="97"/>
    </row>
    <row r="208" ht="22.5" customHeight="1">
      <c r="A208" s="91">
        <v>2024.0</v>
      </c>
      <c r="B208" s="124">
        <v>46063.0</v>
      </c>
      <c r="C208" s="125" t="s">
        <v>953</v>
      </c>
      <c r="D208" s="159"/>
      <c r="E208" s="125" t="s">
        <v>954</v>
      </c>
      <c r="F208" s="125" t="s">
        <v>949</v>
      </c>
      <c r="G208" s="145">
        <v>2.0290025E7</v>
      </c>
      <c r="H208" s="125" t="s">
        <v>103</v>
      </c>
      <c r="I208" s="126" t="s">
        <v>955</v>
      </c>
      <c r="J208" s="36" t="s">
        <v>956</v>
      </c>
      <c r="K208" s="16" t="s">
        <v>957</v>
      </c>
      <c r="L208" s="148" t="s">
        <v>958</v>
      </c>
      <c r="M208" s="16" t="s">
        <v>959</v>
      </c>
      <c r="N208" s="94"/>
      <c r="O208" s="92"/>
      <c r="P208" s="92"/>
      <c r="Q208" s="92"/>
      <c r="R208" s="92"/>
      <c r="S208" s="95"/>
      <c r="T208" s="95"/>
      <c r="U208" s="92"/>
      <c r="V208" s="92"/>
      <c r="W208" s="96"/>
      <c r="X208" s="95"/>
      <c r="Y208" s="95"/>
      <c r="Z208" s="95"/>
      <c r="AA208" s="97"/>
      <c r="AB208" s="97"/>
    </row>
    <row r="209" ht="22.5" customHeight="1">
      <c r="A209" s="91">
        <v>2026.0</v>
      </c>
      <c r="B209" s="92">
        <v>46065.0</v>
      </c>
      <c r="C209" s="16" t="s">
        <v>960</v>
      </c>
      <c r="D209" s="133"/>
      <c r="E209" s="16" t="s">
        <v>588</v>
      </c>
      <c r="F209" s="16" t="s">
        <v>961</v>
      </c>
      <c r="G209" s="91" t="s">
        <v>50</v>
      </c>
      <c r="H209" s="16" t="s">
        <v>51</v>
      </c>
      <c r="I209" s="19" t="s">
        <v>962</v>
      </c>
      <c r="J209" s="42" t="s">
        <v>963</v>
      </c>
      <c r="K209" s="16" t="s">
        <v>964</v>
      </c>
      <c r="L209" s="148" t="s">
        <v>965</v>
      </c>
      <c r="M209" s="94" t="s">
        <v>610</v>
      </c>
      <c r="N209" s="94"/>
      <c r="O209" s="92"/>
      <c r="P209" s="92"/>
      <c r="Q209" s="92"/>
      <c r="R209" s="92"/>
      <c r="S209" s="95"/>
      <c r="T209" s="95"/>
      <c r="U209" s="92"/>
      <c r="V209" s="92"/>
      <c r="W209" s="96"/>
      <c r="X209" s="95"/>
      <c r="Y209" s="95"/>
      <c r="Z209" s="95"/>
      <c r="AA209" s="97"/>
      <c r="AB209" s="97"/>
    </row>
    <row r="210" ht="22.5" customHeight="1">
      <c r="A210" s="91">
        <v>2030.0</v>
      </c>
      <c r="B210" s="92">
        <v>46070.0</v>
      </c>
      <c r="C210" s="16" t="s">
        <v>381</v>
      </c>
      <c r="D210" s="133"/>
      <c r="E210" s="16" t="s">
        <v>382</v>
      </c>
      <c r="F210" s="16" t="s">
        <v>347</v>
      </c>
      <c r="G210" s="91"/>
      <c r="H210" s="16" t="s">
        <v>348</v>
      </c>
      <c r="I210" s="19" t="s">
        <v>966</v>
      </c>
      <c r="J210" s="42" t="s">
        <v>967</v>
      </c>
      <c r="K210" s="16"/>
      <c r="L210" s="148"/>
      <c r="M210" s="16"/>
      <c r="N210" s="94"/>
      <c r="O210" s="92"/>
      <c r="P210" s="92"/>
      <c r="Q210" s="92"/>
      <c r="R210" s="92"/>
      <c r="S210" s="95"/>
      <c r="T210" s="95"/>
      <c r="U210" s="92"/>
      <c r="V210" s="92"/>
      <c r="W210" s="96"/>
      <c r="X210" s="95"/>
      <c r="Y210" s="95"/>
      <c r="Z210" s="95"/>
      <c r="AA210" s="97"/>
      <c r="AB210" s="97"/>
    </row>
    <row r="211" ht="22.5" customHeight="1">
      <c r="A211" s="91">
        <v>2035.0</v>
      </c>
      <c r="B211" s="92">
        <v>46072.0</v>
      </c>
      <c r="C211" s="16" t="s">
        <v>968</v>
      </c>
      <c r="D211" s="133"/>
      <c r="E211" s="16" t="s">
        <v>954</v>
      </c>
      <c r="F211" s="16"/>
      <c r="G211" s="91">
        <v>2.0290019E7</v>
      </c>
      <c r="H211" s="16" t="s">
        <v>103</v>
      </c>
      <c r="I211" s="19" t="s">
        <v>969</v>
      </c>
      <c r="J211" s="42" t="s">
        <v>970</v>
      </c>
      <c r="K211" s="16"/>
      <c r="L211" s="160"/>
      <c r="M211" s="94"/>
      <c r="N211" s="94"/>
      <c r="O211" s="92"/>
      <c r="P211" s="92"/>
      <c r="Q211" s="92"/>
      <c r="R211" s="92"/>
      <c r="S211" s="95"/>
      <c r="T211" s="95"/>
      <c r="U211" s="92"/>
      <c r="V211" s="92"/>
      <c r="W211" s="96"/>
      <c r="X211" s="95"/>
      <c r="Y211" s="95"/>
      <c r="Z211" s="95"/>
      <c r="AA211" s="97"/>
      <c r="AB211" s="97"/>
    </row>
    <row r="212" ht="22.5" customHeight="1">
      <c r="A212" s="91">
        <v>2037.0</v>
      </c>
      <c r="B212" s="161">
        <v>46077.0</v>
      </c>
      <c r="C212" s="162" t="s">
        <v>713</v>
      </c>
      <c r="D212" s="163"/>
      <c r="E212" s="162" t="s">
        <v>714</v>
      </c>
      <c r="F212" s="162"/>
      <c r="G212" s="164">
        <v>1.9230241E7</v>
      </c>
      <c r="H212" s="162" t="s">
        <v>348</v>
      </c>
      <c r="I212" s="165" t="s">
        <v>971</v>
      </c>
      <c r="J212" s="36" t="s">
        <v>972</v>
      </c>
      <c r="K212" s="16"/>
      <c r="L212" s="148"/>
      <c r="M212" s="16"/>
      <c r="N212" s="94"/>
      <c r="O212" s="16" t="s">
        <v>62</v>
      </c>
      <c r="P212" s="92">
        <v>46112.0</v>
      </c>
      <c r="Q212" s="92"/>
      <c r="R212" s="92"/>
      <c r="S212" s="95"/>
      <c r="T212" s="95"/>
      <c r="U212" s="92"/>
      <c r="V212" s="92"/>
      <c r="W212" s="96"/>
      <c r="X212" s="95"/>
      <c r="Y212" s="95"/>
      <c r="Z212" s="95"/>
      <c r="AA212" s="97"/>
      <c r="AB212" s="97"/>
    </row>
    <row r="213" ht="22.5" customHeight="1">
      <c r="A213" s="91">
        <v>2038.0</v>
      </c>
      <c r="B213" s="92">
        <v>46079.0</v>
      </c>
      <c r="C213" s="16" t="s">
        <v>498</v>
      </c>
      <c r="D213" s="133"/>
      <c r="E213" s="16" t="s">
        <v>499</v>
      </c>
      <c r="F213" s="16" t="s">
        <v>973</v>
      </c>
      <c r="G213" s="91" t="s">
        <v>50</v>
      </c>
      <c r="H213" s="16" t="s">
        <v>348</v>
      </c>
      <c r="I213" s="19" t="s">
        <v>974</v>
      </c>
      <c r="J213" s="146" t="s">
        <v>975</v>
      </c>
      <c r="K213" s="16" t="s">
        <v>976</v>
      </c>
      <c r="L213" s="148" t="s">
        <v>977</v>
      </c>
      <c r="M213" s="16" t="s">
        <v>978</v>
      </c>
      <c r="N213" s="94"/>
      <c r="O213" s="92"/>
      <c r="P213" s="92"/>
      <c r="Q213" s="92"/>
      <c r="R213" s="92"/>
      <c r="S213" s="95"/>
      <c r="T213" s="95"/>
      <c r="U213" s="92"/>
      <c r="V213" s="92"/>
      <c r="W213" s="96"/>
      <c r="X213" s="95"/>
      <c r="Y213" s="95"/>
      <c r="Z213" s="95"/>
      <c r="AA213" s="97"/>
      <c r="AB213" s="97"/>
    </row>
    <row r="214" ht="22.5" customHeight="1">
      <c r="A214" s="91">
        <v>2041.0</v>
      </c>
      <c r="B214" s="92">
        <v>46083.0</v>
      </c>
      <c r="C214" s="16" t="s">
        <v>917</v>
      </c>
      <c r="D214" s="133"/>
      <c r="E214" s="16" t="s">
        <v>918</v>
      </c>
      <c r="F214" s="16" t="s">
        <v>300</v>
      </c>
      <c r="G214" s="91">
        <v>1.6352063E7</v>
      </c>
      <c r="H214" s="16" t="s">
        <v>32</v>
      </c>
      <c r="I214" s="19" t="s">
        <v>979</v>
      </c>
      <c r="J214" s="149" t="s">
        <v>980</v>
      </c>
      <c r="K214" s="16" t="s">
        <v>981</v>
      </c>
      <c r="L214" s="148" t="s">
        <v>905</v>
      </c>
      <c r="M214" s="16"/>
      <c r="N214" s="94"/>
      <c r="O214" s="92"/>
      <c r="P214" s="92"/>
      <c r="Q214" s="92"/>
      <c r="R214" s="92"/>
      <c r="S214" s="95"/>
      <c r="T214" s="95"/>
      <c r="U214" s="92"/>
      <c r="V214" s="92"/>
      <c r="W214" s="96"/>
      <c r="X214" s="95"/>
      <c r="Y214" s="95"/>
      <c r="Z214" s="95"/>
      <c r="AA214" s="97"/>
      <c r="AB214" s="97"/>
    </row>
    <row r="215" ht="22.5" customHeight="1">
      <c r="A215" s="91">
        <v>2044.0</v>
      </c>
      <c r="B215" s="92">
        <v>46083.0</v>
      </c>
      <c r="C215" s="16" t="s">
        <v>917</v>
      </c>
      <c r="D215" s="133"/>
      <c r="E215" s="16" t="s">
        <v>918</v>
      </c>
      <c r="F215" s="16" t="s">
        <v>300</v>
      </c>
      <c r="G215" s="91">
        <v>1.6352069E7</v>
      </c>
      <c r="H215" s="16" t="s">
        <v>32</v>
      </c>
      <c r="I215" s="19" t="s">
        <v>982</v>
      </c>
      <c r="J215" s="166" t="s">
        <v>983</v>
      </c>
      <c r="K215" s="16" t="s">
        <v>981</v>
      </c>
      <c r="L215" s="148"/>
      <c r="M215" s="16"/>
      <c r="N215" s="94"/>
      <c r="O215" s="92"/>
      <c r="P215" s="92"/>
      <c r="Q215" s="92"/>
      <c r="R215" s="92"/>
      <c r="S215" s="95"/>
      <c r="T215" s="95"/>
      <c r="U215" s="92"/>
      <c r="V215" s="92"/>
      <c r="W215" s="96"/>
      <c r="X215" s="95"/>
      <c r="Y215" s="95"/>
      <c r="Z215" s="95"/>
      <c r="AA215" s="97"/>
      <c r="AB215" s="97"/>
    </row>
    <row r="216" ht="22.5" customHeight="1">
      <c r="A216" s="91">
        <v>2049.0</v>
      </c>
      <c r="B216" s="92">
        <v>46084.0</v>
      </c>
      <c r="C216" s="16" t="s">
        <v>984</v>
      </c>
      <c r="D216" s="133"/>
      <c r="E216" s="16" t="s">
        <v>948</v>
      </c>
      <c r="F216" s="16" t="s">
        <v>985</v>
      </c>
      <c r="G216" s="91" t="s">
        <v>986</v>
      </c>
      <c r="H216" s="16" t="s">
        <v>348</v>
      </c>
      <c r="I216" s="105" t="s">
        <v>987</v>
      </c>
      <c r="J216" s="144" t="s">
        <v>988</v>
      </c>
      <c r="K216" s="16" t="s">
        <v>952</v>
      </c>
      <c r="L216" s="148"/>
      <c r="M216" s="16"/>
      <c r="N216" s="94"/>
      <c r="O216" s="92"/>
      <c r="P216" s="92"/>
      <c r="Q216" s="92"/>
      <c r="R216" s="92"/>
      <c r="S216" s="95"/>
      <c r="T216" s="95"/>
      <c r="U216" s="92"/>
      <c r="V216" s="92"/>
      <c r="W216" s="96"/>
      <c r="X216" s="95"/>
      <c r="Y216" s="95"/>
      <c r="Z216" s="95"/>
      <c r="AA216" s="97"/>
      <c r="AB216" s="97"/>
    </row>
    <row r="217" ht="22.5" customHeight="1">
      <c r="A217" s="91">
        <v>2050.0</v>
      </c>
      <c r="B217" s="92">
        <v>46084.0</v>
      </c>
      <c r="C217" s="16" t="s">
        <v>984</v>
      </c>
      <c r="D217" s="133"/>
      <c r="E217" s="16" t="s">
        <v>948</v>
      </c>
      <c r="F217" s="16" t="s">
        <v>989</v>
      </c>
      <c r="G217" s="91" t="s">
        <v>50</v>
      </c>
      <c r="H217" s="16" t="s">
        <v>103</v>
      </c>
      <c r="I217" s="105" t="s">
        <v>990</v>
      </c>
      <c r="J217" s="149" t="s">
        <v>991</v>
      </c>
      <c r="K217" s="16" t="s">
        <v>992</v>
      </c>
      <c r="L217" s="148"/>
      <c r="M217" s="16"/>
      <c r="N217" s="94"/>
      <c r="O217" s="92"/>
      <c r="P217" s="92"/>
      <c r="Q217" s="92"/>
      <c r="R217" s="92"/>
      <c r="S217" s="95"/>
      <c r="T217" s="95"/>
      <c r="U217" s="92"/>
      <c r="V217" s="92"/>
      <c r="W217" s="96"/>
      <c r="X217" s="95"/>
      <c r="Y217" s="95"/>
      <c r="Z217" s="95"/>
      <c r="AA217" s="97"/>
      <c r="AB217" s="97"/>
    </row>
    <row r="218" ht="22.5" customHeight="1">
      <c r="A218" s="91">
        <v>2051.0</v>
      </c>
      <c r="B218" s="92">
        <v>46084.0</v>
      </c>
      <c r="C218" s="16" t="s">
        <v>984</v>
      </c>
      <c r="D218" s="133"/>
      <c r="E218" s="16" t="s">
        <v>948</v>
      </c>
      <c r="F218" s="16" t="s">
        <v>993</v>
      </c>
      <c r="G218" s="91" t="s">
        <v>50</v>
      </c>
      <c r="H218" s="16" t="s">
        <v>103</v>
      </c>
      <c r="I218" s="105" t="s">
        <v>994</v>
      </c>
      <c r="J218" s="144" t="s">
        <v>995</v>
      </c>
      <c r="K218" s="16" t="s">
        <v>996</v>
      </c>
      <c r="L218" s="148"/>
      <c r="M218" s="16"/>
      <c r="N218" s="94"/>
      <c r="O218" s="92"/>
      <c r="P218" s="92"/>
      <c r="Q218" s="92"/>
      <c r="R218" s="92"/>
      <c r="S218" s="95"/>
      <c r="T218" s="95"/>
      <c r="U218" s="92"/>
      <c r="V218" s="92"/>
      <c r="W218" s="96"/>
      <c r="X218" s="95"/>
      <c r="Y218" s="95"/>
      <c r="Z218" s="95"/>
      <c r="AA218" s="97"/>
      <c r="AB218" s="97"/>
    </row>
    <row r="219" ht="22.5" customHeight="1">
      <c r="A219" s="91">
        <v>2054.0</v>
      </c>
      <c r="B219" s="92">
        <v>46086.0</v>
      </c>
      <c r="C219" s="16" t="s">
        <v>984</v>
      </c>
      <c r="D219" s="133"/>
      <c r="E219" s="16" t="s">
        <v>948</v>
      </c>
      <c r="F219" s="16" t="s">
        <v>412</v>
      </c>
      <c r="G219" s="91" t="s">
        <v>50</v>
      </c>
      <c r="H219" s="16" t="s">
        <v>103</v>
      </c>
      <c r="I219" s="105" t="s">
        <v>997</v>
      </c>
      <c r="J219" s="144" t="s">
        <v>998</v>
      </c>
      <c r="K219" s="16" t="s">
        <v>999</v>
      </c>
      <c r="L219" s="148"/>
      <c r="M219" s="16"/>
      <c r="N219" s="94"/>
      <c r="O219" s="92"/>
      <c r="P219" s="92"/>
      <c r="Q219" s="92"/>
      <c r="R219" s="92"/>
      <c r="S219" s="95"/>
      <c r="T219" s="95"/>
      <c r="U219" s="92"/>
      <c r="V219" s="92"/>
      <c r="W219" s="96"/>
      <c r="X219" s="95"/>
      <c r="Y219" s="95"/>
      <c r="Z219" s="95"/>
      <c r="AA219" s="97"/>
      <c r="AB219" s="97"/>
    </row>
    <row r="220" ht="42.0" customHeight="1">
      <c r="A220" s="91">
        <v>2058.0</v>
      </c>
      <c r="B220" s="92">
        <v>46091.0</v>
      </c>
      <c r="C220" s="16" t="s">
        <v>960</v>
      </c>
      <c r="D220" s="94"/>
      <c r="E220" s="16" t="s">
        <v>588</v>
      </c>
      <c r="F220" s="94"/>
      <c r="G220" s="16">
        <v>1.9500142E7</v>
      </c>
      <c r="H220" s="19" t="s">
        <v>51</v>
      </c>
      <c r="I220" s="19" t="s">
        <v>1000</v>
      </c>
      <c r="J220" s="16" t="s">
        <v>1001</v>
      </c>
      <c r="K220" s="94"/>
      <c r="L220" s="98"/>
      <c r="M220" s="94"/>
      <c r="N220" s="167"/>
      <c r="O220" s="95"/>
      <c r="P220" s="95"/>
      <c r="Q220" s="95"/>
      <c r="R220" s="95"/>
      <c r="S220" s="95"/>
      <c r="T220" s="167"/>
      <c r="U220" s="95"/>
      <c r="V220" s="168"/>
      <c r="W220" s="95"/>
      <c r="X220" s="95"/>
      <c r="Y220" s="95"/>
      <c r="Z220" s="97"/>
      <c r="AA220" s="97"/>
      <c r="AB220" s="97"/>
    </row>
    <row r="221" ht="22.5" customHeight="1">
      <c r="A221" s="169">
        <v>2059.0</v>
      </c>
      <c r="B221" s="170">
        <v>46092.0</v>
      </c>
      <c r="C221" s="16" t="s">
        <v>984</v>
      </c>
      <c r="D221" s="133"/>
      <c r="E221" s="16" t="s">
        <v>948</v>
      </c>
      <c r="F221" s="16" t="s">
        <v>989</v>
      </c>
      <c r="G221" s="91" t="s">
        <v>50</v>
      </c>
      <c r="H221" s="16" t="s">
        <v>103</v>
      </c>
      <c r="I221" s="105" t="s">
        <v>1002</v>
      </c>
      <c r="J221" s="125" t="s">
        <v>1003</v>
      </c>
      <c r="K221" s="16" t="s">
        <v>992</v>
      </c>
      <c r="L221" s="171"/>
      <c r="M221" s="172"/>
      <c r="N221" s="173"/>
      <c r="O221" s="174"/>
      <c r="P221" s="174"/>
      <c r="Q221" s="174"/>
      <c r="R221" s="174"/>
      <c r="S221" s="174"/>
      <c r="T221" s="173"/>
      <c r="U221" s="174"/>
      <c r="V221" s="175"/>
      <c r="W221" s="174"/>
      <c r="X221" s="174"/>
      <c r="Y221" s="174"/>
      <c r="Z221" s="176"/>
      <c r="AA221" s="176"/>
      <c r="AB221" s="176"/>
    </row>
    <row r="222" ht="22.5" customHeight="1">
      <c r="A222" s="169">
        <v>2060.0</v>
      </c>
      <c r="B222" s="170">
        <v>46093.0</v>
      </c>
      <c r="C222" s="177" t="s">
        <v>1004</v>
      </c>
      <c r="D222" s="178"/>
      <c r="E222" s="177" t="s">
        <v>1005</v>
      </c>
      <c r="F222" s="177" t="s">
        <v>1006</v>
      </c>
      <c r="G222" s="169"/>
      <c r="H222" s="177" t="s">
        <v>348</v>
      </c>
      <c r="I222" s="105" t="s">
        <v>1007</v>
      </c>
      <c r="J222" s="125" t="s">
        <v>1008</v>
      </c>
      <c r="K222" s="177" t="s">
        <v>1009</v>
      </c>
      <c r="L222" s="171"/>
      <c r="M222" s="172"/>
      <c r="N222" s="173"/>
      <c r="O222" s="174"/>
      <c r="P222" s="174"/>
      <c r="Q222" s="174"/>
      <c r="R222" s="174"/>
      <c r="S222" s="174"/>
      <c r="T222" s="173"/>
      <c r="U222" s="174"/>
      <c r="V222" s="175"/>
      <c r="W222" s="174"/>
      <c r="X222" s="174"/>
      <c r="Y222" s="174"/>
      <c r="Z222" s="176"/>
      <c r="AA222" s="176"/>
      <c r="AB222" s="176"/>
    </row>
    <row r="223" ht="22.5" customHeight="1">
      <c r="A223" s="169">
        <v>2065.0</v>
      </c>
      <c r="B223" s="170">
        <v>46099.0</v>
      </c>
      <c r="C223" s="179" t="s">
        <v>1010</v>
      </c>
      <c r="D223" s="180"/>
      <c r="E223" s="179" t="s">
        <v>1011</v>
      </c>
      <c r="F223" s="179" t="s">
        <v>1012</v>
      </c>
      <c r="G223" s="181" t="s">
        <v>50</v>
      </c>
      <c r="H223" s="177" t="s">
        <v>32</v>
      </c>
      <c r="I223" s="182" t="s">
        <v>1013</v>
      </c>
      <c r="J223" s="125" t="s">
        <v>1014</v>
      </c>
      <c r="K223" s="177" t="s">
        <v>1015</v>
      </c>
      <c r="L223" s="183" t="s">
        <v>1016</v>
      </c>
      <c r="M223" s="177" t="s">
        <v>1017</v>
      </c>
      <c r="N223" s="173"/>
      <c r="O223" s="174"/>
      <c r="P223" s="174"/>
      <c r="Q223" s="177" t="s">
        <v>174</v>
      </c>
      <c r="R223" s="174"/>
      <c r="S223" s="177" t="s">
        <v>62</v>
      </c>
      <c r="T223" s="184">
        <v>46139.0</v>
      </c>
      <c r="U223" s="174"/>
      <c r="V223" s="185"/>
      <c r="W223" s="174"/>
      <c r="X223" s="174"/>
      <c r="Y223" s="174"/>
      <c r="Z223" s="176"/>
      <c r="AA223" s="176"/>
      <c r="AB223" s="176"/>
    </row>
    <row r="224" ht="22.5" customHeight="1">
      <c r="A224" s="169">
        <v>2066.0</v>
      </c>
      <c r="B224" s="92">
        <v>46100.0</v>
      </c>
      <c r="C224" s="16" t="s">
        <v>1018</v>
      </c>
      <c r="D224" s="133"/>
      <c r="E224" s="16" t="s">
        <v>506</v>
      </c>
      <c r="F224" s="16" t="s">
        <v>49</v>
      </c>
      <c r="G224" s="91" t="s">
        <v>1019</v>
      </c>
      <c r="H224" s="16" t="s">
        <v>112</v>
      </c>
      <c r="I224" s="105" t="s">
        <v>1020</v>
      </c>
      <c r="J224" s="125" t="s">
        <v>1021</v>
      </c>
      <c r="K224" s="16" t="s">
        <v>811</v>
      </c>
      <c r="L224" s="148" t="s">
        <v>812</v>
      </c>
      <c r="M224" s="94" t="s">
        <v>610</v>
      </c>
      <c r="N224" s="173"/>
      <c r="O224" s="174"/>
      <c r="P224" s="174"/>
      <c r="Q224" s="174"/>
      <c r="R224" s="174"/>
      <c r="S224" s="174"/>
      <c r="T224" s="173"/>
      <c r="U224" s="174"/>
      <c r="V224" s="175"/>
      <c r="W224" s="174"/>
      <c r="X224" s="174"/>
      <c r="Y224" s="174"/>
      <c r="Z224" s="176"/>
      <c r="AA224" s="176"/>
      <c r="AB224" s="176"/>
    </row>
    <row r="225" ht="22.5" customHeight="1">
      <c r="A225" s="169">
        <v>2067.0</v>
      </c>
      <c r="B225" s="170">
        <v>46100.0</v>
      </c>
      <c r="C225" s="179" t="s">
        <v>984</v>
      </c>
      <c r="D225" s="180"/>
      <c r="E225" s="179" t="s">
        <v>948</v>
      </c>
      <c r="F225" s="179" t="s">
        <v>760</v>
      </c>
      <c r="G225" s="181" t="s">
        <v>50</v>
      </c>
      <c r="H225" s="177" t="s">
        <v>103</v>
      </c>
      <c r="I225" s="182" t="s">
        <v>1022</v>
      </c>
      <c r="J225" s="186" t="s">
        <v>1023</v>
      </c>
      <c r="K225" s="177" t="s">
        <v>1024</v>
      </c>
      <c r="L225" s="183"/>
      <c r="M225" s="177" t="s">
        <v>1025</v>
      </c>
      <c r="N225" s="173"/>
      <c r="O225" s="174"/>
      <c r="P225" s="174"/>
      <c r="Q225" s="174"/>
      <c r="R225" s="174"/>
      <c r="S225" s="174"/>
      <c r="T225" s="173"/>
      <c r="U225" s="174"/>
      <c r="V225" s="175"/>
      <c r="W225" s="174"/>
      <c r="X225" s="174"/>
      <c r="Y225" s="174"/>
      <c r="Z225" s="176"/>
      <c r="AA225" s="176"/>
      <c r="AB225" s="176"/>
    </row>
    <row r="226" ht="22.5" customHeight="1">
      <c r="A226" s="169">
        <v>2068.0</v>
      </c>
      <c r="B226" s="170">
        <v>46104.0</v>
      </c>
      <c r="C226" s="179" t="s">
        <v>1026</v>
      </c>
      <c r="D226" s="180"/>
      <c r="E226" s="179" t="s">
        <v>1027</v>
      </c>
      <c r="F226" s="179" t="s">
        <v>1028</v>
      </c>
      <c r="G226" s="181">
        <v>1.7890081E7</v>
      </c>
      <c r="H226" s="177" t="s">
        <v>103</v>
      </c>
      <c r="I226" s="182" t="s">
        <v>1029</v>
      </c>
      <c r="J226" s="186" t="s">
        <v>1030</v>
      </c>
      <c r="K226" s="177" t="s">
        <v>1031</v>
      </c>
      <c r="L226" s="183" t="s">
        <v>1032</v>
      </c>
      <c r="M226" s="177" t="s">
        <v>1033</v>
      </c>
      <c r="N226" s="173"/>
      <c r="O226" s="174"/>
      <c r="P226" s="174"/>
      <c r="Q226" s="174"/>
      <c r="R226" s="174"/>
      <c r="S226" s="174"/>
      <c r="T226" s="173"/>
      <c r="U226" s="174"/>
      <c r="V226" s="175"/>
      <c r="W226" s="174"/>
      <c r="X226" s="174"/>
      <c r="Y226" s="174"/>
      <c r="Z226" s="176"/>
      <c r="AA226" s="176"/>
      <c r="AB226" s="176"/>
    </row>
    <row r="227" ht="22.5" customHeight="1">
      <c r="A227" s="169">
        <v>2069.0</v>
      </c>
      <c r="B227" s="170">
        <v>46106.0</v>
      </c>
      <c r="C227" s="179" t="s">
        <v>358</v>
      </c>
      <c r="D227" s="180"/>
      <c r="E227" s="179" t="s">
        <v>101</v>
      </c>
      <c r="F227" s="179" t="s">
        <v>1034</v>
      </c>
      <c r="G227" s="181">
        <v>1.7800029E7</v>
      </c>
      <c r="H227" s="177" t="s">
        <v>103</v>
      </c>
      <c r="I227" s="182" t="s">
        <v>1035</v>
      </c>
      <c r="J227" s="182" t="s">
        <v>1036</v>
      </c>
      <c r="K227" s="177" t="s">
        <v>1037</v>
      </c>
      <c r="L227" s="183" t="s">
        <v>1038</v>
      </c>
      <c r="M227" s="177" t="s">
        <v>1039</v>
      </c>
      <c r="N227" s="173"/>
      <c r="O227" s="174"/>
      <c r="P227" s="174"/>
      <c r="Q227" s="174"/>
      <c r="R227" s="174"/>
      <c r="S227" s="174"/>
      <c r="T227" s="173"/>
      <c r="U227" s="174"/>
      <c r="V227" s="175"/>
      <c r="W227" s="174"/>
      <c r="X227" s="174"/>
      <c r="Y227" s="174"/>
      <c r="Z227" s="176"/>
      <c r="AA227" s="176"/>
      <c r="AB227" s="176"/>
    </row>
    <row r="228" ht="22.5" customHeight="1">
      <c r="A228" s="169">
        <v>2070.0</v>
      </c>
      <c r="B228" s="170">
        <v>46107.0</v>
      </c>
      <c r="C228" s="179" t="s">
        <v>1040</v>
      </c>
      <c r="D228" s="180"/>
      <c r="E228" s="179" t="s">
        <v>1027</v>
      </c>
      <c r="F228" s="179" t="s">
        <v>1028</v>
      </c>
      <c r="G228" s="181">
        <v>1.7890087E7</v>
      </c>
      <c r="H228" s="177" t="s">
        <v>103</v>
      </c>
      <c r="I228" s="182" t="s">
        <v>1041</v>
      </c>
      <c r="J228" s="182" t="s">
        <v>1042</v>
      </c>
      <c r="K228" s="177" t="s">
        <v>1031</v>
      </c>
      <c r="L228" s="183" t="s">
        <v>1043</v>
      </c>
      <c r="M228" s="177" t="s">
        <v>1044</v>
      </c>
      <c r="N228" s="173"/>
      <c r="O228" s="174"/>
      <c r="P228" s="174"/>
      <c r="Q228" s="174"/>
      <c r="R228" s="174"/>
      <c r="S228" s="174"/>
      <c r="T228" s="173"/>
      <c r="U228" s="174"/>
      <c r="V228" s="175"/>
      <c r="W228" s="174"/>
      <c r="X228" s="174"/>
      <c r="Y228" s="174"/>
      <c r="Z228" s="176"/>
      <c r="AA228" s="176"/>
      <c r="AB228" s="176"/>
    </row>
    <row r="229" ht="22.5" customHeight="1">
      <c r="A229" s="169">
        <v>2071.0</v>
      </c>
      <c r="B229" s="170">
        <v>46107.0</v>
      </c>
      <c r="C229" s="179" t="s">
        <v>358</v>
      </c>
      <c r="D229" s="180"/>
      <c r="E229" s="179" t="s">
        <v>101</v>
      </c>
      <c r="F229" s="179" t="s">
        <v>729</v>
      </c>
      <c r="G229" s="181">
        <v>1.7860028E7</v>
      </c>
      <c r="H229" s="177" t="s">
        <v>103</v>
      </c>
      <c r="I229" s="182" t="s">
        <v>1045</v>
      </c>
      <c r="J229" s="182" t="s">
        <v>1046</v>
      </c>
      <c r="K229" s="177" t="s">
        <v>319</v>
      </c>
      <c r="L229" s="183" t="s">
        <v>732</v>
      </c>
      <c r="M229" s="16" t="s">
        <v>733</v>
      </c>
      <c r="N229" s="173"/>
      <c r="O229" s="174"/>
      <c r="P229" s="174"/>
      <c r="Q229" s="174"/>
      <c r="R229" s="174"/>
      <c r="S229" s="174"/>
      <c r="T229" s="173"/>
      <c r="U229" s="174"/>
      <c r="V229" s="175"/>
      <c r="W229" s="174"/>
      <c r="X229" s="174"/>
      <c r="Y229" s="174"/>
      <c r="Z229" s="176"/>
      <c r="AA229" s="176"/>
      <c r="AB229" s="176"/>
    </row>
    <row r="230" ht="22.5" customHeight="1">
      <c r="A230" s="169">
        <v>2072.0</v>
      </c>
      <c r="B230" s="170">
        <v>46108.0</v>
      </c>
      <c r="C230" s="179" t="s">
        <v>727</v>
      </c>
      <c r="D230" s="180"/>
      <c r="E230" s="179" t="s">
        <v>728</v>
      </c>
      <c r="F230" s="179" t="s">
        <v>1047</v>
      </c>
      <c r="G230" s="181">
        <v>1.7860036E7</v>
      </c>
      <c r="H230" s="177" t="s">
        <v>103</v>
      </c>
      <c r="I230" s="182" t="s">
        <v>1048</v>
      </c>
      <c r="J230" s="182" t="s">
        <v>1049</v>
      </c>
      <c r="K230" s="177" t="s">
        <v>1050</v>
      </c>
      <c r="L230" s="183"/>
      <c r="M230" s="172"/>
      <c r="N230" s="173"/>
      <c r="O230" s="174"/>
      <c r="P230" s="174"/>
      <c r="Q230" s="174"/>
      <c r="R230" s="174"/>
      <c r="S230" s="174"/>
      <c r="T230" s="173"/>
      <c r="U230" s="174"/>
      <c r="V230" s="175"/>
      <c r="W230" s="174"/>
      <c r="X230" s="174"/>
      <c r="Y230" s="174"/>
      <c r="Z230" s="176"/>
      <c r="AA230" s="176"/>
      <c r="AB230" s="176"/>
    </row>
    <row r="231" ht="22.5" customHeight="1">
      <c r="A231" s="169">
        <v>2073.0</v>
      </c>
      <c r="B231" s="170">
        <v>46108.0</v>
      </c>
      <c r="C231" s="179" t="s">
        <v>1040</v>
      </c>
      <c r="D231" s="180"/>
      <c r="E231" s="179" t="s">
        <v>1027</v>
      </c>
      <c r="F231" s="179" t="s">
        <v>1028</v>
      </c>
      <c r="G231" s="181">
        <v>1.7890088E7</v>
      </c>
      <c r="H231" s="177" t="s">
        <v>103</v>
      </c>
      <c r="I231" s="182" t="s">
        <v>1051</v>
      </c>
      <c r="J231" s="182" t="s">
        <v>1052</v>
      </c>
      <c r="K231" s="177" t="s">
        <v>1031</v>
      </c>
      <c r="L231" s="183" t="s">
        <v>1053</v>
      </c>
      <c r="M231" s="177" t="s">
        <v>1054</v>
      </c>
      <c r="N231" s="173"/>
      <c r="O231" s="174"/>
      <c r="P231" s="174"/>
      <c r="Q231" s="174"/>
      <c r="R231" s="174"/>
      <c r="S231" s="174"/>
      <c r="T231" s="173"/>
      <c r="U231" s="174"/>
      <c r="V231" s="175"/>
      <c r="W231" s="174"/>
      <c r="X231" s="174"/>
      <c r="Y231" s="174"/>
      <c r="Z231" s="176"/>
      <c r="AA231" s="176"/>
      <c r="AB231" s="176"/>
    </row>
    <row r="232" ht="22.5" customHeight="1">
      <c r="A232" s="169">
        <v>2074.0</v>
      </c>
      <c r="B232" s="170">
        <v>46108.0</v>
      </c>
      <c r="C232" s="179" t="s">
        <v>358</v>
      </c>
      <c r="D232" s="180"/>
      <c r="E232" s="179" t="s">
        <v>101</v>
      </c>
      <c r="F232" s="179" t="s">
        <v>412</v>
      </c>
      <c r="G232" s="181">
        <v>1.7800028E7</v>
      </c>
      <c r="H232" s="177" t="s">
        <v>103</v>
      </c>
      <c r="I232" s="182" t="s">
        <v>1055</v>
      </c>
      <c r="J232" s="182" t="s">
        <v>1056</v>
      </c>
      <c r="K232" s="177" t="s">
        <v>999</v>
      </c>
      <c r="L232" s="183"/>
      <c r="M232" s="162" t="s">
        <v>1057</v>
      </c>
      <c r="N232" s="173"/>
      <c r="O232" s="174"/>
      <c r="P232" s="174"/>
      <c r="Q232" s="174"/>
      <c r="R232" s="174"/>
      <c r="S232" s="174"/>
      <c r="T232" s="173"/>
      <c r="U232" s="174"/>
      <c r="V232" s="175"/>
      <c r="W232" s="174"/>
      <c r="X232" s="174"/>
      <c r="Y232" s="174"/>
      <c r="Z232" s="176"/>
      <c r="AA232" s="176"/>
      <c r="AB232" s="176"/>
    </row>
    <row r="233" ht="22.5" customHeight="1">
      <c r="A233" s="169">
        <v>2078.0</v>
      </c>
      <c r="B233" s="170">
        <v>46111.0</v>
      </c>
      <c r="C233" s="179" t="s">
        <v>1058</v>
      </c>
      <c r="D233" s="180"/>
      <c r="E233" s="16" t="s">
        <v>1059</v>
      </c>
      <c r="F233" s="16" t="s">
        <v>1060</v>
      </c>
      <c r="G233" s="16">
        <v>1.9070721E7</v>
      </c>
      <c r="H233" s="16" t="s">
        <v>135</v>
      </c>
      <c r="I233" s="105" t="s">
        <v>1061</v>
      </c>
      <c r="J233" s="36" t="s">
        <v>1062</v>
      </c>
      <c r="K233" s="16" t="s">
        <v>1063</v>
      </c>
      <c r="L233" s="16" t="s">
        <v>1064</v>
      </c>
      <c r="M233" s="50" t="s">
        <v>1065</v>
      </c>
      <c r="N233" s="173"/>
      <c r="O233" s="177" t="s">
        <v>62</v>
      </c>
      <c r="P233" s="170">
        <v>46112.0</v>
      </c>
      <c r="Q233" s="174"/>
      <c r="R233" s="174"/>
      <c r="S233" s="174"/>
      <c r="T233" s="173"/>
      <c r="U233" s="174"/>
      <c r="V233" s="175"/>
      <c r="W233" s="174"/>
      <c r="X233" s="174"/>
      <c r="Y233" s="174"/>
      <c r="Z233" s="176"/>
      <c r="AA233" s="176"/>
      <c r="AB233" s="176"/>
    </row>
    <row r="234" ht="22.5" customHeight="1">
      <c r="A234" s="169">
        <v>2079.0</v>
      </c>
      <c r="B234" s="170">
        <v>46112.0</v>
      </c>
      <c r="C234" s="179" t="s">
        <v>358</v>
      </c>
      <c r="D234" s="180"/>
      <c r="E234" s="177" t="s">
        <v>101</v>
      </c>
      <c r="F234" s="177" t="s">
        <v>412</v>
      </c>
      <c r="G234" s="177">
        <v>1.7860029E7</v>
      </c>
      <c r="H234" s="177" t="s">
        <v>103</v>
      </c>
      <c r="I234" s="187" t="s">
        <v>1066</v>
      </c>
      <c r="J234" s="188" t="s">
        <v>1067</v>
      </c>
      <c r="K234" s="177" t="s">
        <v>999</v>
      </c>
      <c r="L234" s="177"/>
      <c r="M234" s="189" t="s">
        <v>1068</v>
      </c>
      <c r="N234" s="173"/>
      <c r="O234" s="174"/>
      <c r="P234" s="174"/>
      <c r="Q234" s="174"/>
      <c r="R234" s="174"/>
      <c r="S234" s="174"/>
      <c r="T234" s="173"/>
      <c r="U234" s="174"/>
      <c r="V234" s="175"/>
      <c r="W234" s="174"/>
      <c r="X234" s="174"/>
      <c r="Y234" s="174"/>
      <c r="Z234" s="176"/>
      <c r="AA234" s="176"/>
      <c r="AB234" s="176"/>
    </row>
    <row r="235" ht="22.5" customHeight="1">
      <c r="A235" s="169">
        <v>2080.0</v>
      </c>
      <c r="B235" s="170">
        <v>46112.0</v>
      </c>
      <c r="C235" s="179" t="s">
        <v>1058</v>
      </c>
      <c r="D235" s="180"/>
      <c r="E235" s="16" t="s">
        <v>1059</v>
      </c>
      <c r="F235" s="16" t="s">
        <v>1060</v>
      </c>
      <c r="G235" s="16">
        <v>1.9070722E7</v>
      </c>
      <c r="H235" s="16" t="s">
        <v>135</v>
      </c>
      <c r="I235" s="105" t="s">
        <v>1061</v>
      </c>
      <c r="J235" s="36" t="s">
        <v>1069</v>
      </c>
      <c r="K235" s="16" t="s">
        <v>1063</v>
      </c>
      <c r="L235" s="16" t="s">
        <v>1064</v>
      </c>
      <c r="M235" s="50" t="s">
        <v>1065</v>
      </c>
      <c r="N235" s="173"/>
      <c r="O235" s="177" t="s">
        <v>62</v>
      </c>
      <c r="P235" s="170">
        <v>46113.0</v>
      </c>
      <c r="Q235" s="174"/>
      <c r="R235" s="174"/>
      <c r="S235" s="174"/>
      <c r="T235" s="173"/>
      <c r="U235" s="174"/>
      <c r="V235" s="175"/>
      <c r="W235" s="174"/>
      <c r="X235" s="174"/>
      <c r="Y235" s="174"/>
      <c r="Z235" s="176"/>
      <c r="AA235" s="176"/>
      <c r="AB235" s="176"/>
    </row>
    <row r="236" ht="22.5" customHeight="1">
      <c r="A236" s="169">
        <v>2081.0</v>
      </c>
      <c r="B236" s="170">
        <v>46112.0</v>
      </c>
      <c r="C236" s="179" t="s">
        <v>1058</v>
      </c>
      <c r="D236" s="180"/>
      <c r="E236" s="16" t="s">
        <v>1059</v>
      </c>
      <c r="F236" s="16" t="s">
        <v>1060</v>
      </c>
      <c r="G236" s="16">
        <v>1.9070723E7</v>
      </c>
      <c r="H236" s="16" t="s">
        <v>135</v>
      </c>
      <c r="I236" s="105" t="s">
        <v>1061</v>
      </c>
      <c r="J236" s="36" t="s">
        <v>1069</v>
      </c>
      <c r="K236" s="16" t="s">
        <v>1063</v>
      </c>
      <c r="L236" s="16" t="s">
        <v>1064</v>
      </c>
      <c r="M236" s="50" t="s">
        <v>1065</v>
      </c>
      <c r="N236" s="173"/>
      <c r="O236" s="177" t="s">
        <v>62</v>
      </c>
      <c r="P236" s="170">
        <v>46113.0</v>
      </c>
      <c r="Q236" s="174"/>
      <c r="R236" s="174"/>
      <c r="S236" s="174"/>
      <c r="T236" s="173"/>
      <c r="U236" s="174"/>
      <c r="V236" s="175"/>
      <c r="W236" s="174"/>
      <c r="X236" s="174"/>
      <c r="Y236" s="174"/>
      <c r="Z236" s="176"/>
      <c r="AA236" s="176"/>
      <c r="AB236" s="176"/>
    </row>
    <row r="237" ht="22.5" customHeight="1">
      <c r="A237" s="169">
        <v>2082.0</v>
      </c>
      <c r="B237" s="170">
        <v>46113.0</v>
      </c>
      <c r="C237" s="179" t="s">
        <v>498</v>
      </c>
      <c r="D237" s="180"/>
      <c r="E237" s="177" t="s">
        <v>499</v>
      </c>
      <c r="F237" s="177" t="s">
        <v>1070</v>
      </c>
      <c r="G237" s="177" t="s">
        <v>50</v>
      </c>
      <c r="H237" s="177" t="s">
        <v>443</v>
      </c>
      <c r="I237" s="187" t="s">
        <v>1071</v>
      </c>
      <c r="J237" s="36" t="s">
        <v>1072</v>
      </c>
      <c r="K237" s="177" t="s">
        <v>1073</v>
      </c>
      <c r="L237" s="177" t="s">
        <v>462</v>
      </c>
      <c r="M237" s="190" t="s">
        <v>1074</v>
      </c>
      <c r="N237" s="173"/>
      <c r="O237" s="174"/>
      <c r="P237" s="174"/>
      <c r="Q237" s="174"/>
      <c r="R237" s="174"/>
      <c r="S237" s="174"/>
      <c r="T237" s="173"/>
      <c r="U237" s="174"/>
      <c r="V237" s="175"/>
      <c r="W237" s="174"/>
      <c r="X237" s="174"/>
      <c r="Y237" s="174"/>
      <c r="Z237" s="176"/>
      <c r="AA237" s="176"/>
      <c r="AB237" s="176"/>
    </row>
    <row r="238" ht="22.5" customHeight="1">
      <c r="A238" s="169">
        <v>2083.0</v>
      </c>
      <c r="B238" s="170">
        <v>46113.0</v>
      </c>
      <c r="C238" s="179" t="s">
        <v>421</v>
      </c>
      <c r="D238" s="180"/>
      <c r="E238" s="177" t="s">
        <v>422</v>
      </c>
      <c r="F238" s="177" t="s">
        <v>423</v>
      </c>
      <c r="G238" s="177"/>
      <c r="H238" s="177" t="s">
        <v>894</v>
      </c>
      <c r="I238" s="187" t="s">
        <v>1075</v>
      </c>
      <c r="J238" s="191" t="s">
        <v>1076</v>
      </c>
      <c r="K238" s="177" t="s">
        <v>573</v>
      </c>
      <c r="L238" s="177" t="s">
        <v>1077</v>
      </c>
      <c r="M238" s="70" t="s">
        <v>273</v>
      </c>
      <c r="N238" s="173"/>
      <c r="O238" s="174"/>
      <c r="P238" s="174"/>
      <c r="Q238" s="174"/>
      <c r="R238" s="174"/>
      <c r="S238" s="174"/>
      <c r="T238" s="173"/>
      <c r="U238" s="174"/>
      <c r="V238" s="175"/>
      <c r="W238" s="174"/>
      <c r="X238" s="174"/>
      <c r="Y238" s="174"/>
      <c r="Z238" s="176"/>
      <c r="AA238" s="176"/>
      <c r="AB238" s="176"/>
    </row>
    <row r="239" ht="22.5" customHeight="1">
      <c r="A239" s="169">
        <v>2085.0</v>
      </c>
      <c r="B239" s="124">
        <v>46114.0</v>
      </c>
      <c r="C239" s="125" t="s">
        <v>1078</v>
      </c>
      <c r="D239" s="159"/>
      <c r="E239" s="125" t="s">
        <v>101</v>
      </c>
      <c r="F239" s="125" t="s">
        <v>31</v>
      </c>
      <c r="G239" s="125" t="s">
        <v>50</v>
      </c>
      <c r="H239" s="125" t="s">
        <v>103</v>
      </c>
      <c r="I239" s="126" t="s">
        <v>1079</v>
      </c>
      <c r="J239" s="36" t="s">
        <v>1080</v>
      </c>
      <c r="K239" s="177" t="s">
        <v>740</v>
      </c>
      <c r="L239" s="192" t="s">
        <v>1081</v>
      </c>
      <c r="M239" s="177" t="s">
        <v>1082</v>
      </c>
      <c r="N239" s="173"/>
      <c r="O239" s="174"/>
      <c r="P239" s="174"/>
      <c r="Q239" s="177" t="s">
        <v>62</v>
      </c>
      <c r="R239" s="170">
        <v>46134.0</v>
      </c>
      <c r="S239" s="177"/>
      <c r="T239" s="173"/>
      <c r="U239" s="174"/>
      <c r="V239" s="175"/>
      <c r="W239" s="174"/>
      <c r="X239" s="174"/>
      <c r="Y239" s="174"/>
      <c r="Z239" s="176"/>
      <c r="AA239" s="176"/>
      <c r="AB239" s="176"/>
    </row>
    <row r="240" ht="22.5" customHeight="1">
      <c r="A240" s="169">
        <v>2095.0</v>
      </c>
      <c r="B240" s="170">
        <v>46122.0</v>
      </c>
      <c r="C240" s="179" t="s">
        <v>358</v>
      </c>
      <c r="D240" s="193"/>
      <c r="E240" s="177" t="s">
        <v>101</v>
      </c>
      <c r="F240" s="177" t="s">
        <v>1083</v>
      </c>
      <c r="G240" s="177" t="s">
        <v>1084</v>
      </c>
      <c r="H240" s="177" t="s">
        <v>103</v>
      </c>
      <c r="I240" s="194" t="s">
        <v>1085</v>
      </c>
      <c r="J240" s="195" t="s">
        <v>1086</v>
      </c>
      <c r="K240" s="177"/>
      <c r="L240" s="192"/>
      <c r="M240" s="177"/>
      <c r="N240" s="173"/>
      <c r="O240" s="174"/>
      <c r="P240" s="174"/>
      <c r="Q240" s="174"/>
      <c r="R240" s="174"/>
      <c r="S240" s="177"/>
      <c r="T240" s="173"/>
      <c r="U240" s="174"/>
      <c r="V240" s="175"/>
      <c r="W240" s="174"/>
      <c r="X240" s="174"/>
      <c r="Y240" s="174"/>
      <c r="Z240" s="176"/>
      <c r="AA240" s="176"/>
      <c r="AB240" s="176"/>
    </row>
    <row r="241" ht="22.5" customHeight="1">
      <c r="A241" s="169">
        <v>2096.0</v>
      </c>
      <c r="B241" s="170">
        <v>46122.0</v>
      </c>
      <c r="C241" s="179" t="s">
        <v>1087</v>
      </c>
      <c r="D241" s="193"/>
      <c r="E241" s="177" t="s">
        <v>1027</v>
      </c>
      <c r="F241" s="177" t="s">
        <v>1028</v>
      </c>
      <c r="G241" s="196"/>
      <c r="H241" s="177" t="s">
        <v>103</v>
      </c>
      <c r="I241" s="194" t="s">
        <v>1088</v>
      </c>
      <c r="J241" s="195" t="s">
        <v>1086</v>
      </c>
      <c r="K241" s="177" t="s">
        <v>1031</v>
      </c>
      <c r="L241" s="192"/>
      <c r="M241" s="177"/>
      <c r="N241" s="173"/>
      <c r="O241" s="174"/>
      <c r="P241" s="174"/>
      <c r="Q241" s="174"/>
      <c r="R241" s="174"/>
      <c r="S241" s="177"/>
      <c r="T241" s="173"/>
      <c r="U241" s="174"/>
      <c r="V241" s="175"/>
      <c r="W241" s="174"/>
      <c r="X241" s="174"/>
      <c r="Y241" s="174"/>
      <c r="Z241" s="176"/>
      <c r="AA241" s="176"/>
      <c r="AB241" s="176"/>
    </row>
    <row r="242" ht="22.5" customHeight="1">
      <c r="A242" s="169">
        <v>2097.0</v>
      </c>
      <c r="B242" s="170">
        <v>46122.0</v>
      </c>
      <c r="C242" s="179" t="s">
        <v>1078</v>
      </c>
      <c r="D242" s="193"/>
      <c r="E242" s="177" t="s">
        <v>101</v>
      </c>
      <c r="F242" s="177" t="s">
        <v>1089</v>
      </c>
      <c r="G242" s="177" t="s">
        <v>1090</v>
      </c>
      <c r="H242" s="177" t="s">
        <v>103</v>
      </c>
      <c r="I242" s="194" t="s">
        <v>1088</v>
      </c>
      <c r="J242" s="195" t="s">
        <v>1086</v>
      </c>
      <c r="K242" s="177"/>
      <c r="L242" s="192"/>
      <c r="M242" s="177"/>
      <c r="N242" s="173"/>
      <c r="O242" s="174"/>
      <c r="P242" s="174"/>
      <c r="Q242" s="174"/>
      <c r="R242" s="174"/>
      <c r="S242" s="177"/>
      <c r="T242" s="173"/>
      <c r="U242" s="174"/>
      <c r="V242" s="175"/>
      <c r="W242" s="174"/>
      <c r="X242" s="174"/>
      <c r="Y242" s="174"/>
      <c r="Z242" s="176"/>
      <c r="AA242" s="176"/>
      <c r="AB242" s="176"/>
    </row>
    <row r="243" ht="22.5" customHeight="1">
      <c r="A243" s="169">
        <v>2098.0</v>
      </c>
      <c r="B243" s="170">
        <v>46122.0</v>
      </c>
      <c r="C243" s="179" t="s">
        <v>1091</v>
      </c>
      <c r="D243" s="193"/>
      <c r="E243" s="177" t="s">
        <v>315</v>
      </c>
      <c r="F243" s="177" t="s">
        <v>1092</v>
      </c>
      <c r="G243" s="177" t="s">
        <v>1093</v>
      </c>
      <c r="H243" s="177" t="s">
        <v>103</v>
      </c>
      <c r="I243" s="194" t="s">
        <v>1094</v>
      </c>
      <c r="J243" s="195" t="s">
        <v>1095</v>
      </c>
      <c r="K243" s="177"/>
      <c r="L243" s="192"/>
      <c r="M243" s="177"/>
      <c r="N243" s="173"/>
      <c r="O243" s="174"/>
      <c r="P243" s="174"/>
      <c r="Q243" s="174"/>
      <c r="R243" s="174"/>
      <c r="S243" s="177"/>
      <c r="T243" s="173"/>
      <c r="U243" s="174"/>
      <c r="V243" s="175"/>
      <c r="W243" s="174"/>
      <c r="X243" s="174"/>
      <c r="Y243" s="174"/>
      <c r="Z243" s="176"/>
      <c r="AA243" s="176"/>
      <c r="AB243" s="176"/>
    </row>
    <row r="244" ht="22.5" customHeight="1">
      <c r="A244" s="197">
        <v>2099.0</v>
      </c>
      <c r="B244" s="198">
        <v>46122.0</v>
      </c>
      <c r="C244" s="199" t="s">
        <v>1058</v>
      </c>
      <c r="D244" s="200"/>
      <c r="E244" s="201" t="s">
        <v>1059</v>
      </c>
      <c r="F244" s="201" t="s">
        <v>1060</v>
      </c>
      <c r="G244" s="201">
        <v>1.9070727E7</v>
      </c>
      <c r="H244" s="201" t="s">
        <v>135</v>
      </c>
      <c r="I244" s="202" t="s">
        <v>1096</v>
      </c>
      <c r="J244" s="203" t="s">
        <v>1097</v>
      </c>
      <c r="K244" s="204" t="s">
        <v>1063</v>
      </c>
      <c r="L244" s="205" t="s">
        <v>1098</v>
      </c>
      <c r="M244" s="204" t="s">
        <v>1099</v>
      </c>
      <c r="N244" s="206"/>
      <c r="O244" s="207" t="s">
        <v>62</v>
      </c>
      <c r="P244" s="198">
        <v>46128.0</v>
      </c>
      <c r="Q244" s="208"/>
      <c r="R244" s="208"/>
      <c r="S244" s="207"/>
      <c r="T244" s="206"/>
      <c r="U244" s="208"/>
      <c r="V244" s="209"/>
      <c r="W244" s="208"/>
      <c r="X244" s="208"/>
      <c r="Y244" s="208"/>
      <c r="Z244" s="210"/>
      <c r="AA244" s="210"/>
      <c r="AB244" s="210"/>
    </row>
    <row r="245" ht="22.5" customHeight="1">
      <c r="A245" s="197">
        <v>2100.0</v>
      </c>
      <c r="B245" s="198">
        <v>46133.0</v>
      </c>
      <c r="C245" s="199" t="s">
        <v>1100</v>
      </c>
      <c r="D245" s="200"/>
      <c r="E245" s="207" t="s">
        <v>1101</v>
      </c>
      <c r="F245" s="207" t="s">
        <v>1102</v>
      </c>
      <c r="G245" s="207"/>
      <c r="H245" s="207" t="s">
        <v>348</v>
      </c>
      <c r="I245" s="202" t="s">
        <v>580</v>
      </c>
      <c r="J245" s="211" t="s">
        <v>1103</v>
      </c>
      <c r="K245" s="177" t="s">
        <v>1104</v>
      </c>
      <c r="L245" s="192" t="s">
        <v>352</v>
      </c>
      <c r="M245" s="212" t="s">
        <v>504</v>
      </c>
      <c r="N245" s="206"/>
      <c r="O245" s="207"/>
      <c r="P245" s="198"/>
      <c r="Q245" s="208"/>
      <c r="R245" s="208"/>
      <c r="S245" s="207"/>
      <c r="T245" s="206"/>
      <c r="U245" s="208"/>
      <c r="V245" s="209"/>
      <c r="W245" s="208"/>
      <c r="X245" s="208"/>
      <c r="Y245" s="208"/>
      <c r="Z245" s="210"/>
      <c r="AA245" s="210"/>
      <c r="AB245" s="210"/>
    </row>
    <row r="246" ht="22.5" customHeight="1">
      <c r="A246" s="213">
        <v>2101.0</v>
      </c>
      <c r="B246" s="214">
        <v>46134.0</v>
      </c>
      <c r="C246" s="215" t="s">
        <v>1105</v>
      </c>
      <c r="D246" s="216"/>
      <c r="E246" s="215" t="s">
        <v>1106</v>
      </c>
      <c r="F246" s="215" t="s">
        <v>412</v>
      </c>
      <c r="G246" s="215">
        <v>1.5880632E7</v>
      </c>
      <c r="H246" s="215" t="s">
        <v>103</v>
      </c>
      <c r="I246" s="217" t="s">
        <v>1107</v>
      </c>
      <c r="J246" s="203" t="s">
        <v>1108</v>
      </c>
      <c r="K246" s="177" t="s">
        <v>1109</v>
      </c>
      <c r="L246" s="192" t="s">
        <v>1110</v>
      </c>
      <c r="M246" s="177" t="s">
        <v>1111</v>
      </c>
      <c r="N246" s="206"/>
      <c r="O246" s="207" t="s">
        <v>62</v>
      </c>
      <c r="P246" s="198">
        <v>46140.0</v>
      </c>
      <c r="Q246" s="208"/>
      <c r="R246" s="208"/>
      <c r="S246" s="207"/>
      <c r="T246" s="206"/>
      <c r="U246" s="208"/>
      <c r="V246" s="209"/>
      <c r="W246" s="208"/>
      <c r="X246" s="208"/>
      <c r="Y246" s="208"/>
      <c r="Z246" s="210"/>
      <c r="AA246" s="210"/>
      <c r="AB246" s="210"/>
    </row>
    <row r="247" ht="22.5" customHeight="1">
      <c r="A247" s="197">
        <v>2103.0</v>
      </c>
      <c r="B247" s="198">
        <v>46141.0</v>
      </c>
      <c r="C247" s="199" t="s">
        <v>1112</v>
      </c>
      <c r="D247" s="200"/>
      <c r="E247" s="207" t="s">
        <v>1113</v>
      </c>
      <c r="F247" s="207" t="s">
        <v>1114</v>
      </c>
      <c r="G247" s="207">
        <v>1.801021E7</v>
      </c>
      <c r="H247" s="207" t="s">
        <v>32</v>
      </c>
      <c r="I247" s="202" t="s">
        <v>1115</v>
      </c>
      <c r="J247" s="203" t="s">
        <v>1116</v>
      </c>
      <c r="K247" s="177" t="s">
        <v>1117</v>
      </c>
      <c r="L247" s="218" t="s">
        <v>1118</v>
      </c>
      <c r="M247" s="177" t="s">
        <v>210</v>
      </c>
      <c r="N247" s="206"/>
      <c r="O247" s="207"/>
      <c r="P247" s="198"/>
      <c r="Q247" s="208"/>
      <c r="R247" s="208"/>
      <c r="S247" s="207" t="s">
        <v>62</v>
      </c>
      <c r="T247" s="219">
        <v>46160.0</v>
      </c>
      <c r="U247" s="208"/>
      <c r="V247" s="220"/>
      <c r="W247" s="208"/>
      <c r="X247" s="208"/>
      <c r="Y247" s="208"/>
      <c r="Z247" s="210"/>
      <c r="AA247" s="210"/>
      <c r="AB247" s="210"/>
    </row>
    <row r="248" ht="22.5" customHeight="1">
      <c r="A248" s="197">
        <v>2105.0</v>
      </c>
      <c r="B248" s="198">
        <v>46141.0</v>
      </c>
      <c r="C248" s="199" t="s">
        <v>937</v>
      </c>
      <c r="D248" s="200"/>
      <c r="E248" s="207" t="s">
        <v>814</v>
      </c>
      <c r="F248" s="207" t="s">
        <v>240</v>
      </c>
      <c r="G248" s="207">
        <v>1.8020417E7</v>
      </c>
      <c r="H248" s="207" t="s">
        <v>32</v>
      </c>
      <c r="I248" s="202" t="s">
        <v>1119</v>
      </c>
      <c r="J248" s="221" t="s">
        <v>1120</v>
      </c>
      <c r="K248" s="177" t="s">
        <v>817</v>
      </c>
      <c r="L248" s="218" t="s">
        <v>1121</v>
      </c>
      <c r="M248" s="207" t="s">
        <v>1122</v>
      </c>
      <c r="N248" s="206"/>
      <c r="O248" s="207"/>
      <c r="P248" s="198"/>
      <c r="Q248" s="208"/>
      <c r="R248" s="208"/>
      <c r="S248" s="207"/>
      <c r="T248" s="206"/>
      <c r="U248" s="208"/>
      <c r="V248" s="209"/>
      <c r="W248" s="208"/>
      <c r="X248" s="208"/>
      <c r="Y248" s="208"/>
      <c r="Z248" s="210"/>
      <c r="AA248" s="210"/>
      <c r="AB248" s="210"/>
    </row>
    <row r="249" ht="22.5" customHeight="1">
      <c r="A249" s="197">
        <v>2106.0</v>
      </c>
      <c r="B249" s="198">
        <v>46142.0</v>
      </c>
      <c r="C249" s="199" t="s">
        <v>937</v>
      </c>
      <c r="D249" s="200"/>
      <c r="E249" s="207" t="s">
        <v>814</v>
      </c>
      <c r="F249" s="207" t="s">
        <v>240</v>
      </c>
      <c r="G249" s="207">
        <v>1.8020422E7</v>
      </c>
      <c r="H249" s="207" t="s">
        <v>32</v>
      </c>
      <c r="I249" s="202" t="s">
        <v>1123</v>
      </c>
      <c r="J249" s="221" t="s">
        <v>1124</v>
      </c>
      <c r="K249" s="177" t="s">
        <v>817</v>
      </c>
      <c r="L249" s="218" t="s">
        <v>1121</v>
      </c>
      <c r="M249" s="207" t="s">
        <v>1122</v>
      </c>
      <c r="N249" s="206"/>
      <c r="O249" s="207"/>
      <c r="P249" s="198"/>
      <c r="Q249" s="208"/>
      <c r="R249" s="208"/>
      <c r="S249" s="207"/>
      <c r="T249" s="206"/>
      <c r="U249" s="208"/>
      <c r="V249" s="209"/>
      <c r="W249" s="208"/>
      <c r="X249" s="208"/>
      <c r="Y249" s="208"/>
      <c r="Z249" s="210"/>
      <c r="AA249" s="210"/>
      <c r="AB249" s="210"/>
    </row>
    <row r="250" ht="22.5" customHeight="1">
      <c r="A250" s="197">
        <v>2107.0</v>
      </c>
      <c r="B250" s="198">
        <v>46150.0</v>
      </c>
      <c r="C250" s="199" t="s">
        <v>984</v>
      </c>
      <c r="D250" s="200"/>
      <c r="E250" s="207" t="s">
        <v>948</v>
      </c>
      <c r="F250" s="207" t="s">
        <v>1125</v>
      </c>
      <c r="G250" s="207" t="s">
        <v>50</v>
      </c>
      <c r="H250" s="207" t="s">
        <v>103</v>
      </c>
      <c r="I250" s="202" t="s">
        <v>1126</v>
      </c>
      <c r="J250" s="221" t="s">
        <v>1127</v>
      </c>
      <c r="K250" s="177" t="s">
        <v>1128</v>
      </c>
      <c r="L250" s="218"/>
      <c r="M250" s="207"/>
      <c r="N250" s="206"/>
      <c r="O250" s="207"/>
      <c r="P250" s="198"/>
      <c r="Q250" s="208"/>
      <c r="R250" s="208"/>
      <c r="S250" s="207"/>
      <c r="T250" s="206"/>
      <c r="U250" s="208"/>
      <c r="V250" s="209"/>
      <c r="W250" s="208"/>
      <c r="X250" s="208"/>
      <c r="Y250" s="208"/>
      <c r="Z250" s="210"/>
      <c r="AA250" s="210"/>
      <c r="AB250" s="210"/>
    </row>
    <row r="251" ht="22.5" customHeight="1">
      <c r="A251" s="197">
        <v>2108.0</v>
      </c>
      <c r="B251" s="207" t="s">
        <v>1129</v>
      </c>
      <c r="C251" s="199" t="s">
        <v>1130</v>
      </c>
      <c r="D251" s="200"/>
      <c r="E251" s="207" t="s">
        <v>1131</v>
      </c>
      <c r="F251" s="207" t="s">
        <v>1132</v>
      </c>
      <c r="G251" s="207">
        <v>1.684058E7</v>
      </c>
      <c r="H251" s="207" t="s">
        <v>120</v>
      </c>
      <c r="I251" s="202" t="s">
        <v>1133</v>
      </c>
      <c r="J251" s="221" t="s">
        <v>1134</v>
      </c>
      <c r="K251" s="177" t="s">
        <v>1135</v>
      </c>
      <c r="L251" s="222" t="s">
        <v>1136</v>
      </c>
      <c r="M251" s="222" t="s">
        <v>1137</v>
      </c>
      <c r="N251" s="206"/>
      <c r="O251" s="198"/>
      <c r="P251" s="198"/>
      <c r="Q251" s="208"/>
      <c r="R251" s="208"/>
      <c r="S251" s="198"/>
      <c r="T251" s="206"/>
      <c r="U251" s="208"/>
      <c r="V251" s="209"/>
      <c r="W251" s="208"/>
      <c r="X251" s="208"/>
      <c r="Y251" s="208"/>
      <c r="Z251" s="210"/>
      <c r="AA251" s="210"/>
      <c r="AB251" s="210"/>
    </row>
    <row r="252" ht="22.5" customHeight="1">
      <c r="A252" s="197">
        <v>2109.0</v>
      </c>
      <c r="B252" s="207" t="s">
        <v>1129</v>
      </c>
      <c r="C252" s="199" t="s">
        <v>1138</v>
      </c>
      <c r="D252" s="200"/>
      <c r="E252" s="207" t="s">
        <v>499</v>
      </c>
      <c r="F252" s="207" t="s">
        <v>1070</v>
      </c>
      <c r="G252" s="207" t="s">
        <v>50</v>
      </c>
      <c r="H252" s="207" t="s">
        <v>348</v>
      </c>
      <c r="I252" s="202" t="s">
        <v>1139</v>
      </c>
      <c r="J252" s="70" t="s">
        <v>1140</v>
      </c>
      <c r="K252" s="177" t="s">
        <v>1073</v>
      </c>
      <c r="L252" s="223" t="s">
        <v>1141</v>
      </c>
      <c r="M252" s="223" t="s">
        <v>1142</v>
      </c>
      <c r="N252" s="206"/>
      <c r="O252" s="198"/>
      <c r="P252" s="198"/>
      <c r="Q252" s="208"/>
      <c r="R252" s="208"/>
      <c r="S252" s="198"/>
      <c r="T252" s="206"/>
      <c r="U252" s="208"/>
      <c r="V252" s="209"/>
      <c r="W252" s="208"/>
      <c r="X252" s="208"/>
      <c r="Y252" s="208"/>
      <c r="Z252" s="210"/>
      <c r="AA252" s="210"/>
      <c r="AB252" s="210"/>
    </row>
    <row r="253" ht="22.5" customHeight="1">
      <c r="A253" s="197">
        <v>2110.0</v>
      </c>
      <c r="B253" s="198">
        <v>46155.0</v>
      </c>
      <c r="C253" s="199" t="s">
        <v>1143</v>
      </c>
      <c r="D253" s="200"/>
      <c r="E253" s="207" t="s">
        <v>48</v>
      </c>
      <c r="F253" s="207" t="s">
        <v>49</v>
      </c>
      <c r="G253" s="207">
        <v>1.469222E7</v>
      </c>
      <c r="H253" s="207" t="s">
        <v>51</v>
      </c>
      <c r="I253" s="202" t="s">
        <v>1144</v>
      </c>
      <c r="J253" s="224" t="s">
        <v>1145</v>
      </c>
      <c r="K253" s="177" t="s">
        <v>143</v>
      </c>
      <c r="L253" s="223"/>
      <c r="M253" s="223"/>
      <c r="N253" s="206"/>
      <c r="O253" s="198"/>
      <c r="P253" s="198"/>
      <c r="Q253" s="208"/>
      <c r="R253" s="208"/>
      <c r="S253" s="198"/>
      <c r="T253" s="206"/>
      <c r="U253" s="208"/>
      <c r="V253" s="209"/>
      <c r="W253" s="208"/>
      <c r="X253" s="208"/>
      <c r="Y253" s="208"/>
      <c r="Z253" s="210"/>
      <c r="AA253" s="210"/>
      <c r="AB253" s="210"/>
    </row>
    <row r="254" ht="22.5" customHeight="1">
      <c r="A254" s="197">
        <v>2111.0</v>
      </c>
      <c r="B254" s="198">
        <v>46155.0</v>
      </c>
      <c r="C254" s="199" t="s">
        <v>727</v>
      </c>
      <c r="D254" s="200"/>
      <c r="E254" s="207" t="s">
        <v>728</v>
      </c>
      <c r="F254" s="207" t="s">
        <v>729</v>
      </c>
      <c r="G254" s="207" t="s">
        <v>50</v>
      </c>
      <c r="H254" s="207" t="s">
        <v>103</v>
      </c>
      <c r="I254" s="202" t="s">
        <v>1146</v>
      </c>
      <c r="J254" s="221" t="s">
        <v>1147</v>
      </c>
      <c r="K254" s="177" t="s">
        <v>1148</v>
      </c>
      <c r="L254" s="223"/>
      <c r="M254" s="223"/>
      <c r="N254" s="206"/>
      <c r="O254" s="198"/>
      <c r="P254" s="198"/>
      <c r="Q254" s="208"/>
      <c r="R254" s="208"/>
      <c r="S254" s="198"/>
      <c r="T254" s="206"/>
      <c r="U254" s="208"/>
      <c r="V254" s="209"/>
      <c r="W254" s="208"/>
      <c r="X254" s="208"/>
      <c r="Y254" s="208"/>
      <c r="Z254" s="210"/>
      <c r="AA254" s="210"/>
      <c r="AB254" s="210"/>
    </row>
    <row r="255" ht="22.5" customHeight="1">
      <c r="A255" s="197">
        <v>2112.0</v>
      </c>
      <c r="B255" s="198">
        <v>46155.0</v>
      </c>
      <c r="C255" s="199" t="s">
        <v>727</v>
      </c>
      <c r="D255" s="200"/>
      <c r="E255" s="207" t="s">
        <v>728</v>
      </c>
      <c r="F255" s="207" t="s">
        <v>1149</v>
      </c>
      <c r="G255" s="207" t="s">
        <v>50</v>
      </c>
      <c r="H255" s="207" t="s">
        <v>103</v>
      </c>
      <c r="I255" s="202" t="s">
        <v>1146</v>
      </c>
      <c r="J255" s="225" t="s">
        <v>1150</v>
      </c>
      <c r="K255" s="177" t="s">
        <v>1151</v>
      </c>
      <c r="L255" s="223"/>
      <c r="M255" s="223"/>
      <c r="N255" s="206"/>
      <c r="O255" s="198"/>
      <c r="P255" s="198"/>
      <c r="Q255" s="208"/>
      <c r="R255" s="208"/>
      <c r="S255" s="198"/>
      <c r="T255" s="206"/>
      <c r="U255" s="208"/>
      <c r="V255" s="209"/>
      <c r="W255" s="208"/>
      <c r="X255" s="208"/>
      <c r="Y255" s="208"/>
      <c r="Z255" s="210"/>
      <c r="AA255" s="210"/>
      <c r="AB255" s="210"/>
    </row>
    <row r="256" ht="22.5" customHeight="1">
      <c r="A256" s="197">
        <v>2113.0</v>
      </c>
      <c r="B256" s="198">
        <v>46157.0</v>
      </c>
      <c r="C256" s="199" t="s">
        <v>984</v>
      </c>
      <c r="D256" s="200"/>
      <c r="E256" s="207" t="s">
        <v>948</v>
      </c>
      <c r="F256" s="207"/>
      <c r="G256" s="207">
        <v>2.0270038E7</v>
      </c>
      <c r="H256" s="207" t="s">
        <v>348</v>
      </c>
      <c r="I256" s="202" t="s">
        <v>1152</v>
      </c>
      <c r="J256" s="226" t="s">
        <v>1153</v>
      </c>
      <c r="K256" s="177"/>
      <c r="L256" s="223"/>
      <c r="M256" s="223"/>
      <c r="N256" s="206"/>
      <c r="O256" s="198"/>
      <c r="P256" s="198"/>
      <c r="Q256" s="208"/>
      <c r="R256" s="208"/>
      <c r="S256" s="198"/>
      <c r="T256" s="206"/>
      <c r="U256" s="208"/>
      <c r="V256" s="209"/>
      <c r="W256" s="208"/>
      <c r="X256" s="208"/>
      <c r="Y256" s="208"/>
      <c r="Z256" s="210"/>
      <c r="AA256" s="210"/>
      <c r="AB256" s="210"/>
    </row>
    <row r="257" ht="22.5" customHeight="1">
      <c r="A257" s="197">
        <v>2114.0</v>
      </c>
      <c r="B257" s="198">
        <v>46160.0</v>
      </c>
      <c r="C257" s="199" t="s">
        <v>984</v>
      </c>
      <c r="D257" s="200"/>
      <c r="E257" s="207" t="s">
        <v>948</v>
      </c>
      <c r="F257" s="207" t="s">
        <v>702</v>
      </c>
      <c r="G257" s="207" t="s">
        <v>50</v>
      </c>
      <c r="H257" s="207" t="s">
        <v>103</v>
      </c>
      <c r="I257" s="202" t="s">
        <v>1154</v>
      </c>
      <c r="J257" s="225" t="s">
        <v>1155</v>
      </c>
      <c r="K257" s="177" t="s">
        <v>1156</v>
      </c>
      <c r="L257" s="223" t="s">
        <v>285</v>
      </c>
      <c r="M257" s="223" t="s">
        <v>1122</v>
      </c>
      <c r="N257" s="206"/>
      <c r="O257" s="198"/>
      <c r="P257" s="198"/>
      <c r="Q257" s="208"/>
      <c r="R257" s="208"/>
      <c r="S257" s="198"/>
      <c r="T257" s="206"/>
      <c r="U257" s="208"/>
      <c r="V257" s="209"/>
      <c r="W257" s="208"/>
      <c r="X257" s="208"/>
      <c r="Y257" s="208"/>
      <c r="Z257" s="210"/>
      <c r="AA257" s="210"/>
      <c r="AB257" s="210"/>
    </row>
    <row r="258" ht="22.5" customHeight="1">
      <c r="A258" s="197">
        <v>2115.0</v>
      </c>
      <c r="B258" s="198">
        <v>46161.0</v>
      </c>
      <c r="C258" s="199" t="s">
        <v>1157</v>
      </c>
      <c r="D258" s="200"/>
      <c r="E258" s="207" t="s">
        <v>714</v>
      </c>
      <c r="F258" s="207" t="s">
        <v>49</v>
      </c>
      <c r="G258" s="207">
        <v>1.9230258E7</v>
      </c>
      <c r="H258" s="207" t="s">
        <v>103</v>
      </c>
      <c r="I258" s="202" t="s">
        <v>1158</v>
      </c>
      <c r="J258" s="221" t="s">
        <v>1159</v>
      </c>
      <c r="K258" s="177" t="s">
        <v>1160</v>
      </c>
      <c r="L258" s="223" t="s">
        <v>1161</v>
      </c>
      <c r="M258" s="223" t="s">
        <v>1162</v>
      </c>
      <c r="N258" s="206"/>
      <c r="O258" s="198"/>
      <c r="P258" s="198"/>
      <c r="Q258" s="208"/>
      <c r="R258" s="208"/>
      <c r="S258" s="198"/>
      <c r="T258" s="206"/>
      <c r="U258" s="208"/>
      <c r="V258" s="209"/>
      <c r="W258" s="208"/>
      <c r="X258" s="208"/>
      <c r="Y258" s="208"/>
      <c r="Z258" s="210"/>
      <c r="AA258" s="210"/>
      <c r="AB258" s="210"/>
    </row>
    <row r="259" ht="22.5" customHeight="1">
      <c r="A259" s="197">
        <v>2116.0</v>
      </c>
      <c r="B259" s="198">
        <v>46162.0</v>
      </c>
      <c r="C259" s="199" t="s">
        <v>984</v>
      </c>
      <c r="D259" s="200"/>
      <c r="E259" s="207" t="s">
        <v>948</v>
      </c>
      <c r="F259" s="207" t="s">
        <v>760</v>
      </c>
      <c r="G259" s="207">
        <v>2.0270039E7</v>
      </c>
      <c r="H259" s="207" t="s">
        <v>103</v>
      </c>
      <c r="I259" s="202" t="s">
        <v>1163</v>
      </c>
      <c r="J259" s="221" t="s">
        <v>1164</v>
      </c>
      <c r="K259" s="177"/>
      <c r="L259" s="223"/>
      <c r="M259" s="223"/>
      <c r="N259" s="206"/>
      <c r="O259" s="198"/>
      <c r="P259" s="198"/>
      <c r="Q259" s="208"/>
      <c r="R259" s="208"/>
      <c r="S259" s="198"/>
      <c r="T259" s="206"/>
      <c r="U259" s="208"/>
      <c r="V259" s="209"/>
      <c r="W259" s="208"/>
      <c r="X259" s="208"/>
      <c r="Y259" s="208"/>
      <c r="Z259" s="210"/>
      <c r="AA259" s="210"/>
      <c r="AB259" s="210"/>
    </row>
    <row r="260" ht="22.5" customHeight="1">
      <c r="A260" s="197">
        <v>2117.0</v>
      </c>
      <c r="B260" s="198">
        <v>46162.0</v>
      </c>
      <c r="C260" s="199" t="s">
        <v>1165</v>
      </c>
      <c r="D260" s="200"/>
      <c r="E260" s="207" t="s">
        <v>1166</v>
      </c>
      <c r="F260" s="207" t="s">
        <v>760</v>
      </c>
      <c r="G260" s="207">
        <v>2.0280039E7</v>
      </c>
      <c r="H260" s="207" t="s">
        <v>103</v>
      </c>
      <c r="I260" s="202" t="s">
        <v>1167</v>
      </c>
      <c r="J260" s="221" t="s">
        <v>1168</v>
      </c>
      <c r="K260" s="177"/>
      <c r="L260" s="223"/>
      <c r="M260" s="223"/>
      <c r="N260" s="206"/>
      <c r="O260" s="198"/>
      <c r="P260" s="198"/>
      <c r="Q260" s="208"/>
      <c r="R260" s="208"/>
      <c r="S260" s="198"/>
      <c r="T260" s="206"/>
      <c r="U260" s="208"/>
      <c r="V260" s="209"/>
      <c r="W260" s="208"/>
      <c r="X260" s="208"/>
      <c r="Y260" s="208"/>
      <c r="Z260" s="210"/>
      <c r="AA260" s="210"/>
      <c r="AB260" s="210"/>
    </row>
    <row r="261" ht="22.5" customHeight="1">
      <c r="A261" s="197">
        <v>2118.0</v>
      </c>
      <c r="B261" s="198">
        <v>46163.0</v>
      </c>
      <c r="C261" s="199" t="s">
        <v>1169</v>
      </c>
      <c r="D261" s="200"/>
      <c r="E261" s="207" t="s">
        <v>275</v>
      </c>
      <c r="F261" s="207" t="s">
        <v>300</v>
      </c>
      <c r="G261" s="207">
        <v>1.9520073E7</v>
      </c>
      <c r="H261" s="207" t="s">
        <v>348</v>
      </c>
      <c r="I261" s="202" t="s">
        <v>1170</v>
      </c>
      <c r="J261" s="221" t="s">
        <v>1171</v>
      </c>
      <c r="K261" s="177" t="s">
        <v>284</v>
      </c>
      <c r="L261" s="223" t="s">
        <v>491</v>
      </c>
      <c r="M261" s="223" t="s">
        <v>921</v>
      </c>
      <c r="N261" s="206"/>
      <c r="O261" s="198"/>
      <c r="P261" s="198"/>
      <c r="Q261" s="208"/>
      <c r="R261" s="208"/>
      <c r="S261" s="198"/>
      <c r="T261" s="206"/>
      <c r="U261" s="208"/>
      <c r="V261" s="209"/>
      <c r="W261" s="208"/>
      <c r="X261" s="208"/>
      <c r="Y261" s="208"/>
      <c r="Z261" s="210"/>
      <c r="AA261" s="210"/>
      <c r="AB261" s="210"/>
    </row>
    <row r="262" ht="22.5" customHeight="1">
      <c r="A262" s="197">
        <v>2119.0</v>
      </c>
      <c r="B262" s="198">
        <v>46163.0</v>
      </c>
      <c r="C262" s="199" t="s">
        <v>1172</v>
      </c>
      <c r="D262" s="200"/>
      <c r="E262" s="207" t="s">
        <v>1173</v>
      </c>
      <c r="F262" s="207" t="s">
        <v>49</v>
      </c>
      <c r="G262" s="207">
        <v>1.6791169E7</v>
      </c>
      <c r="H262" s="207" t="s">
        <v>51</v>
      </c>
      <c r="I262" s="202" t="s">
        <v>1174</v>
      </c>
      <c r="J262" s="221" t="s">
        <v>1175</v>
      </c>
      <c r="K262" s="177" t="s">
        <v>1176</v>
      </c>
      <c r="L262" s="223" t="s">
        <v>1177</v>
      </c>
      <c r="M262" s="223" t="s">
        <v>610</v>
      </c>
      <c r="N262" s="206"/>
      <c r="O262" s="198"/>
      <c r="P262" s="198"/>
      <c r="Q262" s="208"/>
      <c r="R262" s="208"/>
      <c r="S262" s="198"/>
      <c r="T262" s="206"/>
      <c r="U262" s="208"/>
      <c r="V262" s="209"/>
      <c r="W262" s="208"/>
      <c r="X262" s="208"/>
      <c r="Y262" s="208"/>
      <c r="Z262" s="210"/>
      <c r="AA262" s="210"/>
      <c r="AB262" s="210"/>
    </row>
    <row r="263" ht="22.5" customHeight="1">
      <c r="A263" s="197">
        <v>2120.0</v>
      </c>
      <c r="B263" s="198">
        <v>46167.0</v>
      </c>
      <c r="C263" s="199" t="s">
        <v>1018</v>
      </c>
      <c r="D263" s="200"/>
      <c r="E263" s="207" t="s">
        <v>506</v>
      </c>
      <c r="F263" s="207" t="s">
        <v>49</v>
      </c>
      <c r="G263" s="207">
        <v>1.7243225E7</v>
      </c>
      <c r="H263" s="207" t="s">
        <v>200</v>
      </c>
      <c r="I263" s="202" t="s">
        <v>1178</v>
      </c>
      <c r="J263" s="221" t="s">
        <v>1179</v>
      </c>
      <c r="K263" s="177" t="s">
        <v>811</v>
      </c>
      <c r="L263" s="223" t="s">
        <v>1180</v>
      </c>
      <c r="M263" s="223" t="s">
        <v>1181</v>
      </c>
      <c r="N263" s="206"/>
      <c r="O263" s="198"/>
      <c r="P263" s="198"/>
      <c r="Q263" s="208"/>
      <c r="R263" s="208"/>
      <c r="S263" s="198"/>
      <c r="T263" s="206"/>
      <c r="U263" s="208"/>
      <c r="V263" s="209"/>
      <c r="W263" s="208"/>
      <c r="X263" s="208"/>
      <c r="Y263" s="208"/>
      <c r="Z263" s="210"/>
      <c r="AA263" s="210"/>
      <c r="AB263" s="210"/>
    </row>
    <row r="264" ht="22.5" customHeight="1">
      <c r="A264" s="197">
        <v>2121.0</v>
      </c>
      <c r="B264" s="198">
        <v>46167.0</v>
      </c>
      <c r="C264" s="199" t="s">
        <v>1172</v>
      </c>
      <c r="D264" s="200"/>
      <c r="E264" s="207" t="s">
        <v>1173</v>
      </c>
      <c r="F264" s="207" t="s">
        <v>49</v>
      </c>
      <c r="G264" s="207">
        <v>1.6791171E7</v>
      </c>
      <c r="H264" s="207" t="s">
        <v>51</v>
      </c>
      <c r="I264" s="202" t="s">
        <v>1182</v>
      </c>
      <c r="J264" s="221" t="s">
        <v>1183</v>
      </c>
      <c r="K264" s="177"/>
      <c r="L264" s="223"/>
      <c r="M264" s="223"/>
      <c r="N264" s="206"/>
      <c r="O264" s="198"/>
      <c r="P264" s="198"/>
      <c r="Q264" s="208"/>
      <c r="R264" s="208"/>
      <c r="S264" s="198"/>
      <c r="T264" s="206"/>
      <c r="U264" s="208"/>
      <c r="V264" s="209"/>
      <c r="W264" s="208"/>
      <c r="X264" s="208"/>
      <c r="Y264" s="208"/>
      <c r="Z264" s="210"/>
      <c r="AA264" s="210"/>
      <c r="AB264" s="210"/>
    </row>
    <row r="265" ht="22.5" customHeight="1">
      <c r="A265" s="197">
        <v>2122.0</v>
      </c>
      <c r="B265" s="198">
        <v>46167.0</v>
      </c>
      <c r="C265" s="199" t="s">
        <v>1157</v>
      </c>
      <c r="D265" s="200"/>
      <c r="E265" s="207" t="s">
        <v>714</v>
      </c>
      <c r="F265" s="207" t="s">
        <v>49</v>
      </c>
      <c r="G265" s="207">
        <v>1.9230259E7</v>
      </c>
      <c r="H265" s="207" t="s">
        <v>348</v>
      </c>
      <c r="I265" s="202" t="s">
        <v>1184</v>
      </c>
      <c r="J265" s="221" t="s">
        <v>1185</v>
      </c>
      <c r="K265" s="177" t="s">
        <v>1160</v>
      </c>
      <c r="L265" s="223" t="s">
        <v>1186</v>
      </c>
      <c r="M265" s="223" t="s">
        <v>1162</v>
      </c>
      <c r="N265" s="206"/>
      <c r="O265" s="198"/>
      <c r="P265" s="198"/>
      <c r="Q265" s="208"/>
      <c r="R265" s="208"/>
      <c r="S265" s="198"/>
      <c r="T265" s="206"/>
      <c r="U265" s="208"/>
      <c r="V265" s="209"/>
      <c r="W265" s="208"/>
      <c r="X265" s="208"/>
      <c r="Y265" s="208"/>
      <c r="Z265" s="210"/>
      <c r="AA265" s="210"/>
      <c r="AB265" s="210"/>
    </row>
    <row r="266" ht="22.5" customHeight="1">
      <c r="A266" s="197">
        <v>2123.0</v>
      </c>
      <c r="B266" s="198">
        <v>46168.0</v>
      </c>
      <c r="C266" s="199" t="s">
        <v>1187</v>
      </c>
      <c r="D266" s="200"/>
      <c r="E266" s="207" t="s">
        <v>918</v>
      </c>
      <c r="F266" s="207" t="s">
        <v>261</v>
      </c>
      <c r="G266" s="207">
        <v>1.6352071E7</v>
      </c>
      <c r="H266" s="207" t="s">
        <v>32</v>
      </c>
      <c r="I266" s="202" t="s">
        <v>1188</v>
      </c>
      <c r="J266" s="221" t="s">
        <v>1189</v>
      </c>
      <c r="K266" s="196" t="s">
        <v>278</v>
      </c>
      <c r="L266" s="223" t="s">
        <v>335</v>
      </c>
      <c r="M266" s="227" t="s">
        <v>280</v>
      </c>
      <c r="N266" s="206"/>
      <c r="O266" s="198"/>
      <c r="P266" s="198"/>
      <c r="Q266" s="208"/>
      <c r="R266" s="208"/>
      <c r="S266" s="198"/>
      <c r="T266" s="206"/>
      <c r="U266" s="208"/>
      <c r="V266" s="209"/>
      <c r="W266" s="208"/>
      <c r="X266" s="208"/>
      <c r="Y266" s="208"/>
      <c r="Z266" s="210"/>
      <c r="AA266" s="210"/>
      <c r="AB266" s="210"/>
    </row>
    <row r="267" ht="22.5" customHeight="1">
      <c r="A267" s="197">
        <v>2124.0</v>
      </c>
      <c r="B267" s="198">
        <v>46170.0</v>
      </c>
      <c r="C267" s="199" t="s">
        <v>401</v>
      </c>
      <c r="D267" s="16" t="s">
        <v>29</v>
      </c>
      <c r="E267" s="207" t="s">
        <v>220</v>
      </c>
      <c r="F267" s="207" t="s">
        <v>1132</v>
      </c>
      <c r="G267" s="207">
        <v>1.9180478E7</v>
      </c>
      <c r="H267" s="207" t="s">
        <v>120</v>
      </c>
      <c r="I267" s="19" t="s">
        <v>225</v>
      </c>
      <c r="J267" s="28" t="s">
        <v>169</v>
      </c>
      <c r="K267" s="177" t="s">
        <v>223</v>
      </c>
      <c r="L267" s="223"/>
      <c r="M267" s="227"/>
      <c r="N267" s="206"/>
      <c r="O267" s="198"/>
      <c r="P267" s="198"/>
      <c r="Q267" s="208"/>
      <c r="R267" s="208"/>
      <c r="S267" s="198"/>
      <c r="T267" s="206"/>
      <c r="U267" s="208"/>
      <c r="V267" s="209"/>
      <c r="W267" s="208"/>
      <c r="X267" s="208"/>
      <c r="Y267" s="208"/>
      <c r="Z267" s="210"/>
      <c r="AA267" s="210"/>
      <c r="AB267" s="210"/>
    </row>
    <row r="268" ht="22.5" customHeight="1">
      <c r="A268" s="197">
        <v>2125.0</v>
      </c>
      <c r="B268" s="198">
        <v>46171.0</v>
      </c>
      <c r="C268" s="199" t="s">
        <v>1190</v>
      </c>
      <c r="D268" s="177"/>
      <c r="E268" s="228" t="s">
        <v>417</v>
      </c>
      <c r="F268" s="207" t="s">
        <v>300</v>
      </c>
      <c r="G268" s="207">
        <v>1.6340632E7</v>
      </c>
      <c r="H268" s="207" t="s">
        <v>51</v>
      </c>
      <c r="I268" s="229" t="s">
        <v>1191</v>
      </c>
      <c r="J268" s="188" t="s">
        <v>1192</v>
      </c>
      <c r="K268" s="16" t="s">
        <v>420</v>
      </c>
      <c r="L268" s="223"/>
      <c r="M268" s="227"/>
      <c r="N268" s="206"/>
      <c r="O268" s="198"/>
      <c r="P268" s="198"/>
      <c r="Q268" s="208"/>
      <c r="R268" s="208"/>
      <c r="S268" s="198"/>
      <c r="T268" s="206"/>
      <c r="U268" s="208"/>
      <c r="V268" s="209"/>
      <c r="W268" s="208"/>
      <c r="X268" s="208"/>
      <c r="Y268" s="208"/>
      <c r="Z268" s="210"/>
      <c r="AA268" s="210"/>
      <c r="AB268" s="210"/>
    </row>
    <row r="269" ht="22.5" customHeight="1">
      <c r="A269" s="197">
        <v>2126.0</v>
      </c>
      <c r="B269" s="198">
        <v>46174.0</v>
      </c>
      <c r="C269" s="199" t="s">
        <v>1187</v>
      </c>
      <c r="D269" s="177"/>
      <c r="E269" s="228" t="s">
        <v>918</v>
      </c>
      <c r="F269" s="207" t="s">
        <v>261</v>
      </c>
      <c r="G269" s="207">
        <v>1.6352076E7</v>
      </c>
      <c r="H269" s="207" t="s">
        <v>32</v>
      </c>
      <c r="I269" s="229" t="s">
        <v>1193</v>
      </c>
      <c r="J269" s="188" t="s">
        <v>1194</v>
      </c>
      <c r="K269" s="177"/>
      <c r="L269" s="223"/>
      <c r="M269" s="227"/>
      <c r="N269" s="206"/>
      <c r="O269" s="198"/>
      <c r="P269" s="198"/>
      <c r="Q269" s="208"/>
      <c r="R269" s="208"/>
      <c r="S269" s="198"/>
      <c r="T269" s="206"/>
      <c r="U269" s="208"/>
      <c r="V269" s="209"/>
      <c r="W269" s="208"/>
      <c r="X269" s="208"/>
      <c r="Y269" s="208"/>
      <c r="Z269" s="210"/>
      <c r="AA269" s="210"/>
      <c r="AB269" s="210"/>
    </row>
    <row r="270" ht="22.5" customHeight="1">
      <c r="A270" s="197">
        <v>2127.0</v>
      </c>
      <c r="B270" s="198">
        <v>46174.0</v>
      </c>
      <c r="C270" s="199" t="s">
        <v>1187</v>
      </c>
      <c r="D270" s="177"/>
      <c r="E270" s="228" t="s">
        <v>918</v>
      </c>
      <c r="F270" s="207" t="s">
        <v>261</v>
      </c>
      <c r="G270" s="207">
        <v>1.6352082E7</v>
      </c>
      <c r="H270" s="207" t="s">
        <v>32</v>
      </c>
      <c r="I270" s="229" t="s">
        <v>1195</v>
      </c>
      <c r="J270" s="188" t="s">
        <v>1196</v>
      </c>
      <c r="K270" s="177"/>
      <c r="L270" s="223"/>
      <c r="M270" s="227"/>
      <c r="N270" s="206"/>
      <c r="O270" s="198"/>
      <c r="P270" s="198"/>
      <c r="Q270" s="208"/>
      <c r="R270" s="208"/>
      <c r="S270" s="198"/>
      <c r="T270" s="206"/>
      <c r="U270" s="208"/>
      <c r="V270" s="209"/>
      <c r="W270" s="208"/>
      <c r="X270" s="208"/>
      <c r="Y270" s="208"/>
      <c r="Z270" s="210"/>
      <c r="AA270" s="210"/>
      <c r="AB270" s="210"/>
    </row>
    <row r="271" ht="22.5" customHeight="1">
      <c r="A271" s="197">
        <v>2128.0</v>
      </c>
      <c r="B271" s="198">
        <v>46174.0</v>
      </c>
      <c r="C271" s="199" t="s">
        <v>1187</v>
      </c>
      <c r="D271" s="177"/>
      <c r="E271" s="228" t="s">
        <v>918</v>
      </c>
      <c r="F271" s="207" t="s">
        <v>261</v>
      </c>
      <c r="G271" s="207">
        <v>1.6352085E7</v>
      </c>
      <c r="H271" s="207" t="s">
        <v>32</v>
      </c>
      <c r="I271" s="229" t="s">
        <v>1197</v>
      </c>
      <c r="J271" s="188" t="s">
        <v>1196</v>
      </c>
      <c r="K271" s="177"/>
      <c r="L271" s="223"/>
      <c r="M271" s="227"/>
      <c r="N271" s="206"/>
      <c r="O271" s="198"/>
      <c r="P271" s="198"/>
      <c r="Q271" s="208"/>
      <c r="R271" s="208"/>
      <c r="S271" s="198"/>
      <c r="T271" s="206"/>
      <c r="U271" s="208"/>
      <c r="V271" s="209"/>
      <c r="W271" s="208"/>
      <c r="X271" s="208"/>
      <c r="Y271" s="208"/>
      <c r="Z271" s="210"/>
      <c r="AA271" s="210"/>
      <c r="AB271" s="210"/>
    </row>
    <row r="272" ht="22.5" customHeight="1">
      <c r="A272" s="197">
        <v>2129.0</v>
      </c>
      <c r="B272" s="198">
        <v>46174.0</v>
      </c>
      <c r="C272" s="199" t="s">
        <v>1198</v>
      </c>
      <c r="D272" s="177"/>
      <c r="E272" s="228" t="s">
        <v>1199</v>
      </c>
      <c r="F272" s="207" t="s">
        <v>1200</v>
      </c>
      <c r="G272" s="207">
        <v>1.9650091E7</v>
      </c>
      <c r="H272" s="207" t="s">
        <v>32</v>
      </c>
      <c r="I272" s="229" t="s">
        <v>1201</v>
      </c>
      <c r="J272" s="188" t="s">
        <v>1202</v>
      </c>
      <c r="K272" s="177"/>
      <c r="L272" s="223"/>
      <c r="M272" s="227"/>
      <c r="N272" s="206"/>
      <c r="O272" s="198"/>
      <c r="P272" s="198"/>
      <c r="Q272" s="208"/>
      <c r="R272" s="208"/>
      <c r="S272" s="198"/>
      <c r="T272" s="206"/>
      <c r="U272" s="208"/>
      <c r="V272" s="209"/>
      <c r="W272" s="208"/>
      <c r="X272" s="208"/>
      <c r="Y272" s="208"/>
      <c r="Z272" s="210"/>
      <c r="AA272" s="210"/>
      <c r="AB272" s="210"/>
    </row>
    <row r="273" ht="22.5" customHeight="1">
      <c r="A273" s="197">
        <v>2130.0</v>
      </c>
      <c r="B273" s="198">
        <v>46174.0</v>
      </c>
      <c r="C273" s="199" t="s">
        <v>1203</v>
      </c>
      <c r="D273" s="177"/>
      <c r="E273" s="228" t="s">
        <v>1204</v>
      </c>
      <c r="F273" s="207" t="s">
        <v>1205</v>
      </c>
      <c r="G273" s="207">
        <v>1.9460101E7</v>
      </c>
      <c r="H273" s="207" t="s">
        <v>32</v>
      </c>
      <c r="I273" s="229" t="s">
        <v>1206</v>
      </c>
      <c r="J273" s="188" t="s">
        <v>1207</v>
      </c>
      <c r="K273" s="177"/>
      <c r="L273" s="223"/>
      <c r="M273" s="227"/>
      <c r="N273" s="206"/>
      <c r="O273" s="198"/>
      <c r="P273" s="198"/>
      <c r="Q273" s="208"/>
      <c r="R273" s="208"/>
      <c r="S273" s="198"/>
      <c r="T273" s="206"/>
      <c r="U273" s="208"/>
      <c r="V273" s="209"/>
      <c r="W273" s="208"/>
      <c r="X273" s="208"/>
      <c r="Y273" s="208"/>
      <c r="Z273" s="210"/>
      <c r="AA273" s="210"/>
      <c r="AB273" s="210"/>
    </row>
    <row r="274" ht="22.5" customHeight="1">
      <c r="A274" s="197">
        <v>2131.0</v>
      </c>
      <c r="B274" s="198">
        <v>46175.0</v>
      </c>
      <c r="C274" s="199" t="s">
        <v>1208</v>
      </c>
      <c r="D274" s="16" t="s">
        <v>29</v>
      </c>
      <c r="E274" s="207" t="s">
        <v>220</v>
      </c>
      <c r="F274" s="207" t="s">
        <v>1132</v>
      </c>
      <c r="G274" s="207"/>
      <c r="H274" s="207" t="s">
        <v>120</v>
      </c>
      <c r="I274" s="19" t="s">
        <v>1209</v>
      </c>
      <c r="J274" s="230" t="s">
        <v>186</v>
      </c>
      <c r="K274" s="177" t="s">
        <v>223</v>
      </c>
      <c r="L274" s="223"/>
      <c r="M274" s="227"/>
      <c r="N274" s="206"/>
      <c r="O274" s="198"/>
      <c r="P274" s="198"/>
      <c r="Q274" s="208"/>
      <c r="R274" s="208"/>
      <c r="S274" s="198"/>
      <c r="T274" s="206"/>
      <c r="U274" s="208"/>
      <c r="V274" s="209"/>
      <c r="W274" s="208"/>
      <c r="X274" s="208"/>
      <c r="Y274" s="208"/>
      <c r="Z274" s="210"/>
      <c r="AA274" s="210"/>
      <c r="AB274" s="210"/>
    </row>
    <row r="275">
      <c r="A275" s="231">
        <v>2132.0</v>
      </c>
      <c r="B275" s="232">
        <v>46175.0</v>
      </c>
      <c r="C275" s="233" t="s">
        <v>1208</v>
      </c>
      <c r="D275" s="234" t="s">
        <v>29</v>
      </c>
      <c r="E275" s="235" t="s">
        <v>220</v>
      </c>
      <c r="F275" s="235" t="s">
        <v>1132</v>
      </c>
      <c r="G275" s="236"/>
      <c r="H275" s="237" t="s">
        <v>120</v>
      </c>
      <c r="I275" s="238" t="s">
        <v>1210</v>
      </c>
      <c r="J275" s="239" t="s">
        <v>186</v>
      </c>
      <c r="K275" s="235" t="s">
        <v>223</v>
      </c>
      <c r="L275" s="240"/>
      <c r="M275" s="240"/>
      <c r="N275" s="240"/>
      <c r="O275" s="241"/>
      <c r="P275" s="241"/>
      <c r="Q275" s="241"/>
      <c r="R275" s="241"/>
      <c r="S275" s="241"/>
      <c r="T275" s="240"/>
      <c r="U275" s="241"/>
      <c r="V275" s="241"/>
      <c r="W275" s="241"/>
      <c r="X275" s="241"/>
      <c r="Y275" s="241"/>
      <c r="Z275" s="240"/>
      <c r="AA275" s="240"/>
      <c r="AB275" s="240"/>
    </row>
    <row r="276">
      <c r="A276" s="231">
        <v>2133.0</v>
      </c>
      <c r="B276" s="232">
        <v>46175.0</v>
      </c>
      <c r="C276" s="233" t="s">
        <v>1208</v>
      </c>
      <c r="D276" s="234" t="s">
        <v>29</v>
      </c>
      <c r="E276" s="235" t="s">
        <v>220</v>
      </c>
      <c r="F276" s="235" t="s">
        <v>1132</v>
      </c>
      <c r="G276" s="236"/>
      <c r="H276" s="237" t="s">
        <v>120</v>
      </c>
      <c r="I276" s="238" t="s">
        <v>1211</v>
      </c>
      <c r="J276" s="239" t="s">
        <v>1212</v>
      </c>
      <c r="K276" s="235" t="s">
        <v>223</v>
      </c>
      <c r="L276" s="240"/>
      <c r="M276" s="240"/>
      <c r="N276" s="240"/>
      <c r="O276" s="241"/>
      <c r="P276" s="240"/>
      <c r="Q276" s="241"/>
      <c r="R276" s="240"/>
      <c r="S276" s="241"/>
      <c r="T276" s="240"/>
      <c r="U276" s="241"/>
      <c r="V276" s="242"/>
      <c r="W276" s="241"/>
      <c r="X276" s="240"/>
      <c r="Y276" s="241"/>
      <c r="Z276" s="240"/>
      <c r="AA276" s="240"/>
      <c r="AB276" s="240"/>
    </row>
    <row r="277">
      <c r="A277" s="243"/>
      <c r="B277" s="244"/>
      <c r="C277" s="243"/>
      <c r="D277" s="243"/>
      <c r="E277" s="243"/>
      <c r="F277" s="243"/>
      <c r="G277" s="243"/>
      <c r="H277" s="245"/>
      <c r="I277" s="245"/>
      <c r="J277" s="243"/>
      <c r="K277" s="243"/>
      <c r="L277" s="243"/>
      <c r="M277" s="243"/>
      <c r="N277" s="243"/>
      <c r="O277" s="244"/>
      <c r="P277" s="243"/>
      <c r="Q277" s="244"/>
      <c r="R277" s="243"/>
      <c r="S277" s="244"/>
      <c r="T277" s="243"/>
      <c r="U277" s="244"/>
      <c r="V277" s="246"/>
      <c r="W277" s="244"/>
      <c r="X277" s="243"/>
      <c r="Y277" s="244"/>
      <c r="Z277" s="243"/>
      <c r="AA277" s="243"/>
      <c r="AB277" s="243"/>
    </row>
    <row r="278">
      <c r="A278" s="243"/>
      <c r="B278" s="244"/>
      <c r="C278" s="243"/>
      <c r="D278" s="243"/>
      <c r="E278" s="243"/>
      <c r="F278" s="243"/>
      <c r="G278" s="243"/>
      <c r="H278" s="245"/>
      <c r="I278" s="245"/>
      <c r="J278" s="243"/>
      <c r="K278" s="243"/>
      <c r="L278" s="243"/>
      <c r="M278" s="243"/>
      <c r="N278" s="243"/>
      <c r="O278" s="244"/>
      <c r="P278" s="243"/>
      <c r="Q278" s="244"/>
      <c r="R278" s="243"/>
      <c r="S278" s="244"/>
      <c r="T278" s="243"/>
      <c r="U278" s="244"/>
      <c r="V278" s="246"/>
      <c r="W278" s="244"/>
      <c r="X278" s="243"/>
      <c r="Y278" s="244"/>
      <c r="Z278" s="243"/>
      <c r="AA278" s="243"/>
      <c r="AB278" s="243"/>
    </row>
    <row r="279">
      <c r="A279" s="243"/>
      <c r="B279" s="244"/>
      <c r="C279" s="243"/>
      <c r="D279" s="243"/>
      <c r="E279" s="243"/>
      <c r="F279" s="243"/>
      <c r="G279" s="243"/>
      <c r="H279" s="245"/>
      <c r="I279" s="245"/>
      <c r="J279" s="243"/>
      <c r="K279" s="243"/>
      <c r="L279" s="243"/>
      <c r="M279" s="243"/>
      <c r="N279" s="243"/>
      <c r="O279" s="244"/>
      <c r="P279" s="243"/>
      <c r="Q279" s="244"/>
      <c r="R279" s="243"/>
      <c r="S279" s="244"/>
      <c r="T279" s="243"/>
      <c r="U279" s="244"/>
      <c r="V279" s="246"/>
      <c r="W279" s="244"/>
      <c r="X279" s="243"/>
      <c r="Y279" s="244"/>
      <c r="Z279" s="243"/>
      <c r="AA279" s="243"/>
      <c r="AB279" s="243"/>
    </row>
    <row r="280">
      <c r="A280" s="243"/>
      <c r="B280" s="244"/>
      <c r="C280" s="243"/>
      <c r="D280" s="243"/>
      <c r="E280" s="243"/>
      <c r="F280" s="243"/>
      <c r="G280" s="243"/>
      <c r="H280" s="245"/>
      <c r="I280" s="245"/>
      <c r="J280" s="243"/>
      <c r="K280" s="243"/>
      <c r="L280" s="243"/>
      <c r="M280" s="243"/>
      <c r="N280" s="243"/>
      <c r="O280" s="244"/>
      <c r="P280" s="243"/>
      <c r="Q280" s="244"/>
      <c r="R280" s="243"/>
      <c r="S280" s="244"/>
      <c r="T280" s="243"/>
      <c r="U280" s="244"/>
      <c r="V280" s="246"/>
      <c r="W280" s="244"/>
      <c r="X280" s="243"/>
      <c r="Y280" s="244"/>
      <c r="Z280" s="243"/>
      <c r="AA280" s="243"/>
      <c r="AB280" s="243"/>
    </row>
    <row r="281">
      <c r="A281" s="243"/>
      <c r="B281" s="244"/>
      <c r="C281" s="243"/>
      <c r="D281" s="243"/>
      <c r="E281" s="243"/>
      <c r="F281" s="243"/>
      <c r="G281" s="243"/>
      <c r="H281" s="245"/>
      <c r="I281" s="245"/>
      <c r="J281" s="243"/>
      <c r="K281" s="243"/>
      <c r="L281" s="243"/>
      <c r="M281" s="243"/>
      <c r="N281" s="243"/>
      <c r="O281" s="244"/>
      <c r="P281" s="243"/>
      <c r="Q281" s="244"/>
      <c r="R281" s="243"/>
      <c r="S281" s="244"/>
      <c r="T281" s="243"/>
      <c r="U281" s="244"/>
      <c r="V281" s="246"/>
      <c r="W281" s="244"/>
      <c r="X281" s="243"/>
      <c r="Y281" s="244"/>
      <c r="Z281" s="243"/>
      <c r="AA281" s="243"/>
      <c r="AB281" s="243"/>
    </row>
    <row r="282">
      <c r="A282" s="243"/>
      <c r="B282" s="244"/>
      <c r="C282" s="243"/>
      <c r="D282" s="243"/>
      <c r="E282" s="243"/>
      <c r="F282" s="243"/>
      <c r="G282" s="243"/>
      <c r="H282" s="245"/>
      <c r="I282" s="245"/>
      <c r="J282" s="243"/>
      <c r="K282" s="243"/>
      <c r="L282" s="243"/>
      <c r="M282" s="243"/>
      <c r="N282" s="243"/>
      <c r="O282" s="244"/>
      <c r="P282" s="243"/>
      <c r="Q282" s="244"/>
      <c r="R282" s="243"/>
      <c r="S282" s="244"/>
      <c r="T282" s="243"/>
      <c r="U282" s="244"/>
      <c r="V282" s="246"/>
      <c r="W282" s="244"/>
      <c r="X282" s="243"/>
      <c r="Y282" s="244"/>
      <c r="Z282" s="243"/>
      <c r="AA282" s="243"/>
      <c r="AB282" s="243"/>
    </row>
    <row r="283">
      <c r="A283" s="243"/>
      <c r="B283" s="244"/>
      <c r="C283" s="243"/>
      <c r="D283" s="243"/>
      <c r="E283" s="243"/>
      <c r="F283" s="243"/>
      <c r="G283" s="243"/>
      <c r="H283" s="245"/>
      <c r="I283" s="245"/>
      <c r="J283" s="243"/>
      <c r="K283" s="243"/>
      <c r="L283" s="243"/>
      <c r="M283" s="243"/>
      <c r="N283" s="243"/>
      <c r="O283" s="244"/>
      <c r="P283" s="243"/>
      <c r="Q283" s="244"/>
      <c r="R283" s="243"/>
      <c r="S283" s="244"/>
      <c r="T283" s="243"/>
      <c r="U283" s="244"/>
      <c r="V283" s="246"/>
      <c r="W283" s="244"/>
      <c r="X283" s="243"/>
      <c r="Y283" s="244"/>
      <c r="Z283" s="243"/>
      <c r="AA283" s="243"/>
      <c r="AB283" s="243"/>
    </row>
    <row r="284">
      <c r="A284" s="243"/>
      <c r="B284" s="244"/>
      <c r="C284" s="243"/>
      <c r="D284" s="243"/>
      <c r="E284" s="243"/>
      <c r="F284" s="243"/>
      <c r="G284" s="243"/>
      <c r="H284" s="245"/>
      <c r="I284" s="245"/>
      <c r="J284" s="243"/>
      <c r="K284" s="243"/>
      <c r="L284" s="243"/>
      <c r="M284" s="243"/>
      <c r="N284" s="243"/>
      <c r="O284" s="244"/>
      <c r="P284" s="243"/>
      <c r="Q284" s="244"/>
      <c r="R284" s="243"/>
      <c r="S284" s="244"/>
      <c r="T284" s="243"/>
      <c r="U284" s="244"/>
      <c r="V284" s="246"/>
      <c r="W284" s="244"/>
      <c r="X284" s="243"/>
      <c r="Y284" s="244"/>
      <c r="Z284" s="243"/>
      <c r="AA284" s="243"/>
      <c r="AB284" s="243"/>
    </row>
    <row r="285">
      <c r="A285" s="243"/>
      <c r="B285" s="244"/>
      <c r="C285" s="243"/>
      <c r="D285" s="243"/>
      <c r="E285" s="243"/>
      <c r="F285" s="243"/>
      <c r="G285" s="243"/>
      <c r="H285" s="245"/>
      <c r="I285" s="245"/>
      <c r="J285" s="243"/>
      <c r="K285" s="243"/>
      <c r="L285" s="243"/>
      <c r="M285" s="243"/>
      <c r="N285" s="243"/>
      <c r="O285" s="244"/>
      <c r="P285" s="243"/>
      <c r="Q285" s="244"/>
      <c r="R285" s="243"/>
      <c r="S285" s="244"/>
      <c r="T285" s="243"/>
      <c r="U285" s="244"/>
      <c r="V285" s="246"/>
      <c r="W285" s="244"/>
      <c r="X285" s="243"/>
      <c r="Y285" s="244"/>
      <c r="Z285" s="243"/>
      <c r="AA285" s="243"/>
      <c r="AB285" s="243"/>
    </row>
    <row r="286">
      <c r="A286" s="243"/>
      <c r="B286" s="244"/>
      <c r="C286" s="243"/>
      <c r="D286" s="243"/>
      <c r="E286" s="243"/>
      <c r="F286" s="243"/>
      <c r="G286" s="243"/>
      <c r="H286" s="245"/>
      <c r="I286" s="245"/>
      <c r="J286" s="243"/>
      <c r="K286" s="243"/>
      <c r="L286" s="243"/>
      <c r="M286" s="243"/>
      <c r="N286" s="243"/>
      <c r="O286" s="244"/>
      <c r="P286" s="243"/>
      <c r="Q286" s="244"/>
      <c r="R286" s="243"/>
      <c r="S286" s="244"/>
      <c r="T286" s="243"/>
      <c r="U286" s="244"/>
      <c r="V286" s="246"/>
      <c r="W286" s="244"/>
      <c r="X286" s="243"/>
      <c r="Y286" s="244"/>
      <c r="Z286" s="243"/>
      <c r="AA286" s="243"/>
      <c r="AB286" s="243"/>
    </row>
    <row r="287">
      <c r="A287" s="243"/>
      <c r="B287" s="244"/>
      <c r="C287" s="243"/>
      <c r="D287" s="243"/>
      <c r="E287" s="243"/>
      <c r="F287" s="243"/>
      <c r="G287" s="243"/>
      <c r="H287" s="245"/>
      <c r="I287" s="245"/>
      <c r="J287" s="243"/>
      <c r="K287" s="243"/>
      <c r="L287" s="243"/>
      <c r="M287" s="243"/>
      <c r="N287" s="243"/>
      <c r="O287" s="244"/>
      <c r="P287" s="243"/>
      <c r="Q287" s="244"/>
      <c r="R287" s="243"/>
      <c r="S287" s="244"/>
      <c r="T287" s="243"/>
      <c r="U287" s="244"/>
      <c r="V287" s="246"/>
      <c r="W287" s="244"/>
      <c r="X287" s="243"/>
      <c r="Y287" s="244"/>
      <c r="Z287" s="243"/>
      <c r="AA287" s="243"/>
      <c r="AB287" s="243"/>
    </row>
    <row r="288">
      <c r="A288" s="243"/>
      <c r="B288" s="244"/>
      <c r="C288" s="243"/>
      <c r="D288" s="243"/>
      <c r="E288" s="243"/>
      <c r="F288" s="243"/>
      <c r="G288" s="243"/>
      <c r="H288" s="245"/>
      <c r="I288" s="245"/>
      <c r="J288" s="243"/>
      <c r="K288" s="243"/>
      <c r="L288" s="243"/>
      <c r="M288" s="243"/>
      <c r="N288" s="243"/>
      <c r="O288" s="244"/>
      <c r="P288" s="243"/>
      <c r="Q288" s="244"/>
      <c r="R288" s="243"/>
      <c r="S288" s="244"/>
      <c r="T288" s="243"/>
      <c r="U288" s="244"/>
      <c r="V288" s="246"/>
      <c r="W288" s="244"/>
      <c r="X288" s="243"/>
      <c r="Y288" s="244"/>
      <c r="Z288" s="243"/>
      <c r="AA288" s="243"/>
      <c r="AB288" s="243"/>
    </row>
    <row r="289">
      <c r="A289" s="243"/>
      <c r="B289" s="244"/>
      <c r="C289" s="243"/>
      <c r="D289" s="243"/>
      <c r="E289" s="243"/>
      <c r="F289" s="243"/>
      <c r="G289" s="243"/>
      <c r="H289" s="245"/>
      <c r="I289" s="245"/>
      <c r="J289" s="243"/>
      <c r="K289" s="243"/>
      <c r="L289" s="243"/>
      <c r="M289" s="243"/>
      <c r="N289" s="243"/>
      <c r="O289" s="244"/>
      <c r="P289" s="243"/>
      <c r="Q289" s="244"/>
      <c r="R289" s="243"/>
      <c r="S289" s="244"/>
      <c r="T289" s="243"/>
      <c r="U289" s="244"/>
      <c r="V289" s="246"/>
      <c r="W289" s="244"/>
      <c r="X289" s="243"/>
      <c r="Y289" s="244"/>
      <c r="Z289" s="243"/>
      <c r="AA289" s="243"/>
      <c r="AB289" s="243"/>
    </row>
    <row r="290">
      <c r="A290" s="243"/>
      <c r="B290" s="244"/>
      <c r="C290" s="243"/>
      <c r="D290" s="243"/>
      <c r="E290" s="243"/>
      <c r="F290" s="243"/>
      <c r="G290" s="243"/>
      <c r="H290" s="245"/>
      <c r="I290" s="245"/>
      <c r="J290" s="243"/>
      <c r="K290" s="243"/>
      <c r="L290" s="243"/>
      <c r="M290" s="243"/>
      <c r="N290" s="243"/>
      <c r="O290" s="244"/>
      <c r="P290" s="243"/>
      <c r="Q290" s="244"/>
      <c r="R290" s="243"/>
      <c r="S290" s="244"/>
      <c r="T290" s="243"/>
      <c r="U290" s="244"/>
      <c r="V290" s="246"/>
      <c r="W290" s="244"/>
      <c r="X290" s="243"/>
      <c r="Y290" s="244"/>
      <c r="Z290" s="243"/>
      <c r="AA290" s="243"/>
      <c r="AB290" s="243"/>
    </row>
    <row r="291">
      <c r="A291" s="243"/>
      <c r="B291" s="244"/>
      <c r="C291" s="243"/>
      <c r="D291" s="243"/>
      <c r="E291" s="243"/>
      <c r="F291" s="243"/>
      <c r="G291" s="243"/>
      <c r="H291" s="245"/>
      <c r="I291" s="245"/>
      <c r="J291" s="243"/>
      <c r="K291" s="243"/>
      <c r="L291" s="243"/>
      <c r="M291" s="243"/>
      <c r="N291" s="243"/>
      <c r="O291" s="244"/>
      <c r="P291" s="243"/>
      <c r="Q291" s="244"/>
      <c r="R291" s="243"/>
      <c r="S291" s="244"/>
      <c r="T291" s="243"/>
      <c r="U291" s="244"/>
      <c r="V291" s="246"/>
      <c r="W291" s="244"/>
      <c r="X291" s="243"/>
      <c r="Y291" s="244"/>
      <c r="Z291" s="243"/>
      <c r="AA291" s="243"/>
      <c r="AB291" s="243"/>
    </row>
    <row r="292">
      <c r="A292" s="243"/>
      <c r="B292" s="244"/>
      <c r="C292" s="243"/>
      <c r="D292" s="243"/>
      <c r="E292" s="243"/>
      <c r="F292" s="243"/>
      <c r="G292" s="243"/>
      <c r="H292" s="245"/>
      <c r="I292" s="245"/>
      <c r="J292" s="243"/>
      <c r="K292" s="243"/>
      <c r="L292" s="243"/>
      <c r="M292" s="243"/>
      <c r="N292" s="243"/>
      <c r="O292" s="244"/>
      <c r="P292" s="243"/>
      <c r="Q292" s="244"/>
      <c r="R292" s="243"/>
      <c r="S292" s="244"/>
      <c r="T292" s="243"/>
      <c r="U292" s="244"/>
      <c r="V292" s="246"/>
      <c r="W292" s="244"/>
      <c r="X292" s="243"/>
      <c r="Y292" s="244"/>
      <c r="Z292" s="243"/>
      <c r="AA292" s="243"/>
      <c r="AB292" s="243"/>
    </row>
    <row r="293">
      <c r="A293" s="243"/>
      <c r="B293" s="244"/>
      <c r="C293" s="243"/>
      <c r="D293" s="243"/>
      <c r="E293" s="243"/>
      <c r="F293" s="243"/>
      <c r="G293" s="243"/>
      <c r="H293" s="245"/>
      <c r="I293" s="245"/>
      <c r="J293" s="243"/>
      <c r="K293" s="243"/>
      <c r="L293" s="243"/>
      <c r="M293" s="243"/>
      <c r="N293" s="243"/>
      <c r="O293" s="244"/>
      <c r="P293" s="243"/>
      <c r="Q293" s="244"/>
      <c r="R293" s="243"/>
      <c r="S293" s="244"/>
      <c r="T293" s="243"/>
      <c r="U293" s="244"/>
      <c r="V293" s="246"/>
      <c r="W293" s="244"/>
      <c r="X293" s="243"/>
      <c r="Y293" s="244"/>
      <c r="Z293" s="243"/>
      <c r="AA293" s="243"/>
      <c r="AB293" s="243"/>
    </row>
    <row r="294">
      <c r="A294" s="243"/>
      <c r="B294" s="244"/>
      <c r="C294" s="243"/>
      <c r="D294" s="243"/>
      <c r="E294" s="243"/>
      <c r="F294" s="243"/>
      <c r="G294" s="243"/>
      <c r="H294" s="245"/>
      <c r="I294" s="245"/>
      <c r="J294" s="243"/>
      <c r="K294" s="243"/>
      <c r="L294" s="243"/>
      <c r="M294" s="243"/>
      <c r="N294" s="243"/>
      <c r="O294" s="244"/>
      <c r="P294" s="243"/>
      <c r="Q294" s="244"/>
      <c r="R294" s="243"/>
      <c r="S294" s="244"/>
      <c r="T294" s="243"/>
      <c r="U294" s="244"/>
      <c r="V294" s="246"/>
      <c r="W294" s="244"/>
      <c r="X294" s="243"/>
      <c r="Y294" s="244"/>
      <c r="Z294" s="243"/>
      <c r="AA294" s="243"/>
      <c r="AB294" s="243"/>
    </row>
    <row r="295">
      <c r="A295" s="243"/>
      <c r="B295" s="244"/>
      <c r="C295" s="243"/>
      <c r="D295" s="243"/>
      <c r="E295" s="243"/>
      <c r="F295" s="243"/>
      <c r="G295" s="243"/>
      <c r="H295" s="245"/>
      <c r="I295" s="245"/>
      <c r="J295" s="243"/>
      <c r="K295" s="243"/>
      <c r="L295" s="243"/>
      <c r="M295" s="243"/>
      <c r="N295" s="243"/>
      <c r="O295" s="244"/>
      <c r="P295" s="243"/>
      <c r="Q295" s="244"/>
      <c r="R295" s="243"/>
      <c r="S295" s="244"/>
      <c r="T295" s="243"/>
      <c r="U295" s="244"/>
      <c r="V295" s="246"/>
      <c r="W295" s="244"/>
      <c r="X295" s="243"/>
      <c r="Y295" s="244"/>
      <c r="Z295" s="243"/>
      <c r="AA295" s="243"/>
      <c r="AB295" s="243"/>
    </row>
    <row r="296">
      <c r="A296" s="243"/>
      <c r="B296" s="244"/>
      <c r="C296" s="243"/>
      <c r="D296" s="243"/>
      <c r="E296" s="243"/>
      <c r="F296" s="243"/>
      <c r="G296" s="243"/>
      <c r="H296" s="245"/>
      <c r="I296" s="245"/>
      <c r="J296" s="243"/>
      <c r="K296" s="243"/>
      <c r="L296" s="243"/>
      <c r="M296" s="243"/>
      <c r="N296" s="243"/>
      <c r="O296" s="244"/>
      <c r="P296" s="243"/>
      <c r="Q296" s="244"/>
      <c r="R296" s="243"/>
      <c r="S296" s="244"/>
      <c r="T296" s="243"/>
      <c r="U296" s="244"/>
      <c r="V296" s="246"/>
      <c r="W296" s="244"/>
      <c r="X296" s="243"/>
      <c r="Y296" s="244"/>
      <c r="Z296" s="243"/>
      <c r="AA296" s="243"/>
      <c r="AB296" s="243"/>
    </row>
    <row r="297">
      <c r="A297" s="243"/>
      <c r="B297" s="244"/>
      <c r="C297" s="243"/>
      <c r="D297" s="243"/>
      <c r="E297" s="243"/>
      <c r="F297" s="243"/>
      <c r="G297" s="243"/>
      <c r="H297" s="245"/>
      <c r="I297" s="245"/>
      <c r="J297" s="243"/>
      <c r="K297" s="243"/>
      <c r="L297" s="243"/>
      <c r="M297" s="243"/>
      <c r="N297" s="243"/>
      <c r="O297" s="244"/>
      <c r="P297" s="243"/>
      <c r="Q297" s="244"/>
      <c r="R297" s="243"/>
      <c r="S297" s="244"/>
      <c r="T297" s="243"/>
      <c r="U297" s="244"/>
      <c r="V297" s="246"/>
      <c r="W297" s="244"/>
      <c r="X297" s="243"/>
      <c r="Y297" s="244"/>
      <c r="Z297" s="243"/>
      <c r="AA297" s="243"/>
      <c r="AB297" s="243"/>
    </row>
    <row r="298">
      <c r="A298" s="243"/>
      <c r="B298" s="244"/>
      <c r="C298" s="243"/>
      <c r="D298" s="243"/>
      <c r="E298" s="243"/>
      <c r="F298" s="243"/>
      <c r="G298" s="243"/>
      <c r="H298" s="245"/>
      <c r="I298" s="245"/>
      <c r="J298" s="243"/>
      <c r="K298" s="243"/>
      <c r="L298" s="243"/>
      <c r="M298" s="243"/>
      <c r="N298" s="243"/>
      <c r="O298" s="244"/>
      <c r="P298" s="243"/>
      <c r="Q298" s="244"/>
      <c r="R298" s="243"/>
      <c r="S298" s="244"/>
      <c r="T298" s="243"/>
      <c r="U298" s="244"/>
      <c r="V298" s="246"/>
      <c r="W298" s="244"/>
      <c r="X298" s="243"/>
      <c r="Y298" s="244"/>
      <c r="Z298" s="243"/>
      <c r="AA298" s="243"/>
      <c r="AB298" s="243"/>
    </row>
    <row r="299">
      <c r="A299" s="243"/>
      <c r="B299" s="244"/>
      <c r="C299" s="243"/>
      <c r="D299" s="243"/>
      <c r="E299" s="243"/>
      <c r="F299" s="243"/>
      <c r="G299" s="243"/>
      <c r="H299" s="245"/>
      <c r="I299" s="245"/>
      <c r="J299" s="243"/>
      <c r="K299" s="243"/>
      <c r="L299" s="243"/>
      <c r="M299" s="243"/>
      <c r="N299" s="243"/>
      <c r="O299" s="244"/>
      <c r="P299" s="243"/>
      <c r="Q299" s="244"/>
      <c r="R299" s="243"/>
      <c r="S299" s="244"/>
      <c r="T299" s="243"/>
      <c r="U299" s="244"/>
      <c r="V299" s="246"/>
      <c r="W299" s="244"/>
      <c r="X299" s="243"/>
      <c r="Y299" s="244"/>
      <c r="Z299" s="243"/>
      <c r="AA299" s="243"/>
      <c r="AB299" s="243"/>
    </row>
    <row r="300">
      <c r="A300" s="243"/>
      <c r="B300" s="244"/>
      <c r="C300" s="243"/>
      <c r="D300" s="243"/>
      <c r="E300" s="243"/>
      <c r="F300" s="243"/>
      <c r="G300" s="243"/>
      <c r="H300" s="245"/>
      <c r="I300" s="245"/>
      <c r="J300" s="243"/>
      <c r="K300" s="243"/>
      <c r="L300" s="243"/>
      <c r="M300" s="243"/>
      <c r="N300" s="243"/>
      <c r="O300" s="244"/>
      <c r="P300" s="243"/>
      <c r="Q300" s="244"/>
      <c r="R300" s="243"/>
      <c r="S300" s="244"/>
      <c r="T300" s="243"/>
      <c r="U300" s="244"/>
      <c r="V300" s="246"/>
      <c r="W300" s="244"/>
      <c r="X300" s="243"/>
      <c r="Y300" s="244"/>
      <c r="Z300" s="243"/>
      <c r="AA300" s="243"/>
      <c r="AB300" s="243"/>
    </row>
    <row r="301">
      <c r="A301" s="243"/>
      <c r="B301" s="244"/>
      <c r="C301" s="243"/>
      <c r="D301" s="243"/>
      <c r="E301" s="243"/>
      <c r="F301" s="243"/>
      <c r="G301" s="243"/>
      <c r="H301" s="245"/>
      <c r="I301" s="245"/>
      <c r="J301" s="243"/>
      <c r="K301" s="243"/>
      <c r="L301" s="243"/>
      <c r="M301" s="243"/>
      <c r="N301" s="243"/>
      <c r="O301" s="244"/>
      <c r="P301" s="243"/>
      <c r="Q301" s="244"/>
      <c r="R301" s="243"/>
      <c r="S301" s="244"/>
      <c r="T301" s="243"/>
      <c r="U301" s="244"/>
      <c r="V301" s="246"/>
      <c r="W301" s="244"/>
      <c r="X301" s="243"/>
      <c r="Y301" s="244"/>
      <c r="Z301" s="243"/>
      <c r="AA301" s="243"/>
      <c r="AB301" s="243"/>
    </row>
    <row r="302">
      <c r="A302" s="243"/>
      <c r="B302" s="244"/>
      <c r="C302" s="243"/>
      <c r="D302" s="243"/>
      <c r="E302" s="243"/>
      <c r="F302" s="243"/>
      <c r="G302" s="243"/>
      <c r="H302" s="245"/>
      <c r="I302" s="245"/>
      <c r="J302" s="243"/>
      <c r="K302" s="243"/>
      <c r="L302" s="243"/>
      <c r="M302" s="243"/>
      <c r="N302" s="243"/>
      <c r="O302" s="244"/>
      <c r="P302" s="243"/>
      <c r="Q302" s="244"/>
      <c r="R302" s="243"/>
      <c r="S302" s="244"/>
      <c r="T302" s="243"/>
      <c r="U302" s="244"/>
      <c r="V302" s="246"/>
      <c r="W302" s="244"/>
      <c r="X302" s="243"/>
      <c r="Y302" s="244"/>
      <c r="Z302" s="243"/>
      <c r="AA302" s="243"/>
      <c r="AB302" s="243"/>
    </row>
    <row r="303">
      <c r="A303" s="243"/>
      <c r="B303" s="244"/>
      <c r="C303" s="243"/>
      <c r="D303" s="243"/>
      <c r="E303" s="243"/>
      <c r="F303" s="243"/>
      <c r="G303" s="243"/>
      <c r="H303" s="245"/>
      <c r="I303" s="245"/>
      <c r="J303" s="243"/>
      <c r="K303" s="243"/>
      <c r="L303" s="243"/>
      <c r="M303" s="243"/>
      <c r="N303" s="243"/>
      <c r="O303" s="244"/>
      <c r="P303" s="243"/>
      <c r="Q303" s="244"/>
      <c r="R303" s="243"/>
      <c r="S303" s="244"/>
      <c r="T303" s="243"/>
      <c r="U303" s="244"/>
      <c r="V303" s="246"/>
      <c r="W303" s="244"/>
      <c r="X303" s="243"/>
      <c r="Y303" s="244"/>
      <c r="Z303" s="243"/>
      <c r="AA303" s="243"/>
      <c r="AB303" s="243"/>
    </row>
    <row r="304">
      <c r="A304" s="243"/>
      <c r="B304" s="244"/>
      <c r="C304" s="243"/>
      <c r="D304" s="243"/>
      <c r="E304" s="243"/>
      <c r="F304" s="243"/>
      <c r="G304" s="243"/>
      <c r="H304" s="245"/>
      <c r="I304" s="245"/>
      <c r="J304" s="243"/>
      <c r="K304" s="243"/>
      <c r="L304" s="243"/>
      <c r="M304" s="243"/>
      <c r="N304" s="243"/>
      <c r="O304" s="244"/>
      <c r="P304" s="243"/>
      <c r="Q304" s="244"/>
      <c r="R304" s="243"/>
      <c r="S304" s="244"/>
      <c r="T304" s="243"/>
      <c r="U304" s="244"/>
      <c r="V304" s="246"/>
      <c r="W304" s="244"/>
      <c r="X304" s="243"/>
      <c r="Y304" s="244"/>
      <c r="Z304" s="243"/>
      <c r="AA304" s="243"/>
      <c r="AB304" s="243"/>
    </row>
    <row r="305">
      <c r="A305" s="243"/>
      <c r="B305" s="244"/>
      <c r="C305" s="243"/>
      <c r="D305" s="243"/>
      <c r="E305" s="243"/>
      <c r="F305" s="243"/>
      <c r="G305" s="243"/>
      <c r="H305" s="245"/>
      <c r="I305" s="245"/>
      <c r="J305" s="243"/>
      <c r="K305" s="243"/>
      <c r="L305" s="243"/>
      <c r="M305" s="243"/>
      <c r="N305" s="243"/>
      <c r="O305" s="244"/>
      <c r="P305" s="243"/>
      <c r="Q305" s="244"/>
      <c r="R305" s="243"/>
      <c r="S305" s="244"/>
      <c r="T305" s="243"/>
      <c r="U305" s="244"/>
      <c r="V305" s="246"/>
      <c r="W305" s="244"/>
      <c r="X305" s="243"/>
      <c r="Y305" s="244"/>
      <c r="Z305" s="243"/>
      <c r="AA305" s="243"/>
      <c r="AB305" s="243"/>
    </row>
    <row r="306">
      <c r="A306" s="243"/>
      <c r="B306" s="244"/>
      <c r="C306" s="243"/>
      <c r="D306" s="243"/>
      <c r="E306" s="243"/>
      <c r="F306" s="243"/>
      <c r="G306" s="243"/>
      <c r="H306" s="245"/>
      <c r="I306" s="245"/>
      <c r="J306" s="243"/>
      <c r="K306" s="243"/>
      <c r="L306" s="243"/>
      <c r="M306" s="243"/>
      <c r="N306" s="243"/>
      <c r="O306" s="244"/>
      <c r="P306" s="243"/>
      <c r="Q306" s="244"/>
      <c r="R306" s="243"/>
      <c r="S306" s="244"/>
      <c r="T306" s="243"/>
      <c r="U306" s="244"/>
      <c r="V306" s="246"/>
      <c r="W306" s="244"/>
      <c r="X306" s="243"/>
      <c r="Y306" s="244"/>
      <c r="Z306" s="243"/>
      <c r="AA306" s="243"/>
      <c r="AB306" s="243"/>
    </row>
    <row r="307">
      <c r="A307" s="243"/>
      <c r="B307" s="244"/>
      <c r="C307" s="243"/>
      <c r="D307" s="243"/>
      <c r="E307" s="243"/>
      <c r="F307" s="243"/>
      <c r="G307" s="243"/>
      <c r="H307" s="245"/>
      <c r="I307" s="245"/>
      <c r="J307" s="243"/>
      <c r="K307" s="243"/>
      <c r="L307" s="243"/>
      <c r="M307" s="243"/>
      <c r="N307" s="243"/>
      <c r="O307" s="244"/>
      <c r="P307" s="243"/>
      <c r="Q307" s="244"/>
      <c r="R307" s="243"/>
      <c r="S307" s="244"/>
      <c r="T307" s="243"/>
      <c r="U307" s="244"/>
      <c r="V307" s="246"/>
      <c r="W307" s="244"/>
      <c r="X307" s="243"/>
      <c r="Y307" s="244"/>
      <c r="Z307" s="243"/>
      <c r="AA307" s="243"/>
      <c r="AB307" s="243"/>
    </row>
    <row r="308">
      <c r="A308" s="243"/>
      <c r="B308" s="244"/>
      <c r="C308" s="243"/>
      <c r="D308" s="243"/>
      <c r="E308" s="243"/>
      <c r="F308" s="243"/>
      <c r="G308" s="243"/>
      <c r="H308" s="245"/>
      <c r="I308" s="245"/>
      <c r="J308" s="243"/>
      <c r="K308" s="243"/>
      <c r="L308" s="243"/>
      <c r="M308" s="243"/>
      <c r="N308" s="243"/>
      <c r="O308" s="244"/>
      <c r="P308" s="243"/>
      <c r="Q308" s="244"/>
      <c r="R308" s="243"/>
      <c r="S308" s="244"/>
      <c r="T308" s="243"/>
      <c r="U308" s="244"/>
      <c r="V308" s="246"/>
      <c r="W308" s="244"/>
      <c r="X308" s="243"/>
      <c r="Y308" s="244"/>
      <c r="Z308" s="243"/>
      <c r="AA308" s="243"/>
      <c r="AB308" s="243"/>
    </row>
    <row r="309">
      <c r="A309" s="243"/>
      <c r="B309" s="244"/>
      <c r="C309" s="243"/>
      <c r="D309" s="243"/>
      <c r="E309" s="243"/>
      <c r="F309" s="243"/>
      <c r="G309" s="243"/>
      <c r="H309" s="245"/>
      <c r="I309" s="245"/>
      <c r="J309" s="243"/>
      <c r="K309" s="243"/>
      <c r="L309" s="243"/>
      <c r="M309" s="243"/>
      <c r="N309" s="243"/>
      <c r="O309" s="244"/>
      <c r="P309" s="243"/>
      <c r="Q309" s="244"/>
      <c r="R309" s="243"/>
      <c r="S309" s="244"/>
      <c r="T309" s="243"/>
      <c r="U309" s="244"/>
      <c r="V309" s="246"/>
      <c r="W309" s="244"/>
      <c r="X309" s="243"/>
      <c r="Y309" s="244"/>
      <c r="Z309" s="243"/>
      <c r="AA309" s="243"/>
      <c r="AB309" s="243"/>
    </row>
    <row r="310">
      <c r="A310" s="243"/>
      <c r="B310" s="244"/>
      <c r="C310" s="243"/>
      <c r="D310" s="243"/>
      <c r="E310" s="243"/>
      <c r="F310" s="243"/>
      <c r="G310" s="243"/>
      <c r="H310" s="245"/>
      <c r="I310" s="245"/>
      <c r="J310" s="243"/>
      <c r="K310" s="243"/>
      <c r="L310" s="243"/>
      <c r="M310" s="243"/>
      <c r="N310" s="243"/>
      <c r="O310" s="244"/>
      <c r="P310" s="243"/>
      <c r="Q310" s="244"/>
      <c r="R310" s="243"/>
      <c r="S310" s="244"/>
      <c r="T310" s="243"/>
      <c r="U310" s="244"/>
      <c r="V310" s="246"/>
      <c r="W310" s="244"/>
      <c r="X310" s="243"/>
      <c r="Y310" s="244"/>
      <c r="Z310" s="243"/>
      <c r="AA310" s="243"/>
      <c r="AB310" s="243"/>
    </row>
    <row r="311">
      <c r="A311" s="243"/>
      <c r="B311" s="244"/>
      <c r="C311" s="243"/>
      <c r="D311" s="243"/>
      <c r="E311" s="243"/>
      <c r="F311" s="243"/>
      <c r="G311" s="243"/>
      <c r="H311" s="245"/>
      <c r="I311" s="245"/>
      <c r="J311" s="243"/>
      <c r="K311" s="243"/>
      <c r="L311" s="243"/>
      <c r="M311" s="243"/>
      <c r="N311" s="243"/>
      <c r="O311" s="244"/>
      <c r="P311" s="243"/>
      <c r="Q311" s="244"/>
      <c r="R311" s="243"/>
      <c r="S311" s="244"/>
      <c r="T311" s="243"/>
      <c r="U311" s="244"/>
      <c r="V311" s="246"/>
      <c r="W311" s="244"/>
      <c r="X311" s="243"/>
      <c r="Y311" s="244"/>
      <c r="Z311" s="243"/>
      <c r="AA311" s="243"/>
      <c r="AB311" s="243"/>
    </row>
    <row r="312">
      <c r="A312" s="243"/>
      <c r="B312" s="244"/>
      <c r="C312" s="243"/>
      <c r="D312" s="243"/>
      <c r="E312" s="243"/>
      <c r="F312" s="243"/>
      <c r="G312" s="243"/>
      <c r="H312" s="245"/>
      <c r="I312" s="245"/>
      <c r="J312" s="243"/>
      <c r="K312" s="243"/>
      <c r="L312" s="243"/>
      <c r="M312" s="243"/>
      <c r="N312" s="243"/>
      <c r="O312" s="244"/>
      <c r="P312" s="243"/>
      <c r="Q312" s="244"/>
      <c r="R312" s="243"/>
      <c r="S312" s="244"/>
      <c r="T312" s="243"/>
      <c r="U312" s="244"/>
      <c r="V312" s="246"/>
      <c r="W312" s="244"/>
      <c r="X312" s="243"/>
      <c r="Y312" s="244"/>
      <c r="Z312" s="243"/>
      <c r="AA312" s="243"/>
      <c r="AB312" s="243"/>
    </row>
    <row r="313">
      <c r="A313" s="243"/>
      <c r="B313" s="244"/>
      <c r="C313" s="243"/>
      <c r="D313" s="243"/>
      <c r="E313" s="243"/>
      <c r="F313" s="243"/>
      <c r="G313" s="243"/>
      <c r="H313" s="245"/>
      <c r="I313" s="245"/>
      <c r="J313" s="243"/>
      <c r="K313" s="243"/>
      <c r="L313" s="243"/>
      <c r="M313" s="243"/>
      <c r="N313" s="243"/>
      <c r="O313" s="244"/>
      <c r="P313" s="243"/>
      <c r="Q313" s="244"/>
      <c r="R313" s="243"/>
      <c r="S313" s="244"/>
      <c r="T313" s="243"/>
      <c r="U313" s="244"/>
      <c r="V313" s="246"/>
      <c r="W313" s="244"/>
      <c r="X313" s="243"/>
      <c r="Y313" s="244"/>
      <c r="Z313" s="243"/>
      <c r="AA313" s="243"/>
      <c r="AB313" s="243"/>
    </row>
    <row r="314">
      <c r="A314" s="243"/>
      <c r="B314" s="244"/>
      <c r="C314" s="243"/>
      <c r="D314" s="243"/>
      <c r="E314" s="243"/>
      <c r="F314" s="243"/>
      <c r="G314" s="243"/>
      <c r="H314" s="245"/>
      <c r="I314" s="245"/>
      <c r="J314" s="243"/>
      <c r="K314" s="243"/>
      <c r="L314" s="243"/>
      <c r="M314" s="243"/>
      <c r="N314" s="243"/>
      <c r="O314" s="244"/>
      <c r="P314" s="243"/>
      <c r="Q314" s="244"/>
      <c r="R314" s="243"/>
      <c r="S314" s="244"/>
      <c r="T314" s="243"/>
      <c r="U314" s="244"/>
      <c r="V314" s="246"/>
      <c r="W314" s="244"/>
      <c r="X314" s="243"/>
      <c r="Y314" s="244"/>
      <c r="Z314" s="243"/>
      <c r="AA314" s="243"/>
      <c r="AB314" s="243"/>
    </row>
    <row r="315">
      <c r="A315" s="243"/>
      <c r="B315" s="244"/>
      <c r="C315" s="243"/>
      <c r="D315" s="243"/>
      <c r="E315" s="243"/>
      <c r="F315" s="243"/>
      <c r="G315" s="243"/>
      <c r="H315" s="245"/>
      <c r="I315" s="245"/>
      <c r="J315" s="243"/>
      <c r="K315" s="243"/>
      <c r="L315" s="243"/>
      <c r="M315" s="243"/>
      <c r="N315" s="243"/>
      <c r="O315" s="244"/>
      <c r="P315" s="243"/>
      <c r="Q315" s="244"/>
      <c r="R315" s="243"/>
      <c r="S315" s="244"/>
      <c r="T315" s="243"/>
      <c r="U315" s="244"/>
      <c r="V315" s="246"/>
      <c r="W315" s="244"/>
      <c r="X315" s="243"/>
      <c r="Y315" s="244"/>
      <c r="Z315" s="243"/>
      <c r="AA315" s="243"/>
      <c r="AB315" s="243"/>
    </row>
    <row r="316">
      <c r="A316" s="243"/>
      <c r="B316" s="244"/>
      <c r="C316" s="243"/>
      <c r="D316" s="243"/>
      <c r="E316" s="243"/>
      <c r="F316" s="243"/>
      <c r="G316" s="243"/>
      <c r="H316" s="245"/>
      <c r="I316" s="245"/>
      <c r="J316" s="243"/>
      <c r="K316" s="243"/>
      <c r="L316" s="243"/>
      <c r="M316" s="243"/>
      <c r="N316" s="243"/>
      <c r="O316" s="244"/>
      <c r="P316" s="243"/>
      <c r="Q316" s="244"/>
      <c r="R316" s="243"/>
      <c r="S316" s="244"/>
      <c r="T316" s="243"/>
      <c r="U316" s="244"/>
      <c r="V316" s="246"/>
      <c r="W316" s="244"/>
      <c r="X316" s="243"/>
      <c r="Y316" s="244"/>
      <c r="Z316" s="243"/>
      <c r="AA316" s="243"/>
      <c r="AB316" s="243"/>
    </row>
    <row r="317">
      <c r="A317" s="243"/>
      <c r="B317" s="244"/>
      <c r="C317" s="243"/>
      <c r="D317" s="243"/>
      <c r="E317" s="243"/>
      <c r="F317" s="243"/>
      <c r="G317" s="243"/>
      <c r="H317" s="245"/>
      <c r="I317" s="245"/>
      <c r="J317" s="243"/>
      <c r="K317" s="243"/>
      <c r="L317" s="243"/>
      <c r="M317" s="243"/>
      <c r="N317" s="243"/>
      <c r="O317" s="244"/>
      <c r="P317" s="243"/>
      <c r="Q317" s="244"/>
      <c r="R317" s="243"/>
      <c r="S317" s="244"/>
      <c r="T317" s="243"/>
      <c r="U317" s="244"/>
      <c r="V317" s="246"/>
      <c r="W317" s="244"/>
      <c r="X317" s="243"/>
      <c r="Y317" s="244"/>
      <c r="Z317" s="243"/>
      <c r="AA317" s="243"/>
      <c r="AB317" s="243"/>
    </row>
    <row r="318">
      <c r="A318" s="243"/>
      <c r="B318" s="244"/>
      <c r="C318" s="243"/>
      <c r="D318" s="243"/>
      <c r="E318" s="243"/>
      <c r="F318" s="243"/>
      <c r="G318" s="243"/>
      <c r="H318" s="245"/>
      <c r="I318" s="245"/>
      <c r="J318" s="243"/>
      <c r="K318" s="243"/>
      <c r="L318" s="243"/>
      <c r="M318" s="243"/>
      <c r="N318" s="243"/>
      <c r="O318" s="244"/>
      <c r="P318" s="243"/>
      <c r="Q318" s="244"/>
      <c r="R318" s="243"/>
      <c r="S318" s="244"/>
      <c r="T318" s="243"/>
      <c r="U318" s="244"/>
      <c r="V318" s="246"/>
      <c r="W318" s="244"/>
      <c r="X318" s="243"/>
      <c r="Y318" s="244"/>
      <c r="Z318" s="243"/>
      <c r="AA318" s="243"/>
      <c r="AB318" s="243"/>
    </row>
    <row r="319">
      <c r="A319" s="243"/>
      <c r="B319" s="244"/>
      <c r="C319" s="243"/>
      <c r="D319" s="243"/>
      <c r="E319" s="243"/>
      <c r="F319" s="243"/>
      <c r="G319" s="243"/>
      <c r="H319" s="245"/>
      <c r="I319" s="245"/>
      <c r="J319" s="243"/>
      <c r="K319" s="243"/>
      <c r="L319" s="243"/>
      <c r="M319" s="243"/>
      <c r="N319" s="243"/>
      <c r="O319" s="244"/>
      <c r="P319" s="243"/>
      <c r="Q319" s="244"/>
      <c r="R319" s="243"/>
      <c r="S319" s="244"/>
      <c r="T319" s="243"/>
      <c r="U319" s="244"/>
      <c r="V319" s="246"/>
      <c r="W319" s="244"/>
      <c r="X319" s="243"/>
      <c r="Y319" s="244"/>
      <c r="Z319" s="243"/>
      <c r="AA319" s="243"/>
      <c r="AB319" s="243"/>
    </row>
    <row r="320">
      <c r="A320" s="243"/>
      <c r="B320" s="244"/>
      <c r="C320" s="243"/>
      <c r="D320" s="243"/>
      <c r="E320" s="243"/>
      <c r="F320" s="243"/>
      <c r="G320" s="243"/>
      <c r="H320" s="245"/>
      <c r="I320" s="245"/>
      <c r="J320" s="243"/>
      <c r="K320" s="243"/>
      <c r="L320" s="243"/>
      <c r="M320" s="243"/>
      <c r="N320" s="243"/>
      <c r="O320" s="244"/>
      <c r="P320" s="243"/>
      <c r="Q320" s="244"/>
      <c r="R320" s="243"/>
      <c r="S320" s="244"/>
      <c r="T320" s="243"/>
      <c r="U320" s="244"/>
      <c r="V320" s="246"/>
      <c r="W320" s="244"/>
      <c r="X320" s="243"/>
      <c r="Y320" s="244"/>
      <c r="Z320" s="243"/>
      <c r="AA320" s="243"/>
      <c r="AB320" s="243"/>
    </row>
    <row r="321">
      <c r="A321" s="243"/>
      <c r="B321" s="244"/>
      <c r="C321" s="243"/>
      <c r="D321" s="243"/>
      <c r="E321" s="243"/>
      <c r="F321" s="243"/>
      <c r="G321" s="243"/>
      <c r="H321" s="245"/>
      <c r="I321" s="245"/>
      <c r="J321" s="243"/>
      <c r="K321" s="243"/>
      <c r="L321" s="243"/>
      <c r="M321" s="243"/>
      <c r="N321" s="243"/>
      <c r="O321" s="244"/>
      <c r="P321" s="243"/>
      <c r="Q321" s="244"/>
      <c r="R321" s="243"/>
      <c r="S321" s="244"/>
      <c r="T321" s="243"/>
      <c r="U321" s="244"/>
      <c r="V321" s="246"/>
      <c r="W321" s="244"/>
      <c r="X321" s="243"/>
      <c r="Y321" s="244"/>
      <c r="Z321" s="243"/>
      <c r="AA321" s="243"/>
      <c r="AB321" s="243"/>
    </row>
    <row r="322">
      <c r="A322" s="243"/>
      <c r="B322" s="244"/>
      <c r="C322" s="243"/>
      <c r="D322" s="243"/>
      <c r="E322" s="243"/>
      <c r="F322" s="243"/>
      <c r="G322" s="243"/>
      <c r="H322" s="245"/>
      <c r="I322" s="245"/>
      <c r="J322" s="243"/>
      <c r="K322" s="243"/>
      <c r="L322" s="243"/>
      <c r="M322" s="243"/>
      <c r="N322" s="243"/>
      <c r="O322" s="244"/>
      <c r="P322" s="243"/>
      <c r="Q322" s="244"/>
      <c r="R322" s="243"/>
      <c r="S322" s="244"/>
      <c r="T322" s="243"/>
      <c r="U322" s="244"/>
      <c r="V322" s="246"/>
      <c r="W322" s="244"/>
      <c r="X322" s="243"/>
      <c r="Y322" s="244"/>
      <c r="Z322" s="243"/>
      <c r="AA322" s="243"/>
      <c r="AB322" s="243"/>
    </row>
    <row r="323">
      <c r="A323" s="243"/>
      <c r="B323" s="244"/>
      <c r="C323" s="243"/>
      <c r="D323" s="243"/>
      <c r="E323" s="243"/>
      <c r="F323" s="243"/>
      <c r="G323" s="243"/>
      <c r="H323" s="245"/>
      <c r="I323" s="245"/>
      <c r="J323" s="243"/>
      <c r="K323" s="243"/>
      <c r="L323" s="243"/>
      <c r="M323" s="243"/>
      <c r="N323" s="243"/>
      <c r="O323" s="244"/>
      <c r="P323" s="243"/>
      <c r="Q323" s="244"/>
      <c r="R323" s="243"/>
      <c r="S323" s="244"/>
      <c r="T323" s="243"/>
      <c r="U323" s="244"/>
      <c r="V323" s="246"/>
      <c r="W323" s="244"/>
      <c r="X323" s="243"/>
      <c r="Y323" s="244"/>
      <c r="Z323" s="243"/>
      <c r="AA323" s="243"/>
      <c r="AB323" s="243"/>
    </row>
    <row r="324">
      <c r="A324" s="243"/>
      <c r="B324" s="244"/>
      <c r="C324" s="243"/>
      <c r="D324" s="243"/>
      <c r="E324" s="243"/>
      <c r="F324" s="243"/>
      <c r="G324" s="243"/>
      <c r="H324" s="245"/>
      <c r="I324" s="245"/>
      <c r="J324" s="243"/>
      <c r="K324" s="243"/>
      <c r="L324" s="243"/>
      <c r="M324" s="243"/>
      <c r="N324" s="243"/>
      <c r="O324" s="244"/>
      <c r="P324" s="243"/>
      <c r="Q324" s="244"/>
      <c r="R324" s="243"/>
      <c r="S324" s="244"/>
      <c r="T324" s="243"/>
      <c r="U324" s="244"/>
      <c r="V324" s="246"/>
      <c r="W324" s="244"/>
      <c r="X324" s="243"/>
      <c r="Y324" s="244"/>
      <c r="Z324" s="243"/>
      <c r="AA324" s="243"/>
      <c r="AB324" s="243"/>
    </row>
    <row r="325">
      <c r="A325" s="243"/>
      <c r="B325" s="244"/>
      <c r="C325" s="243"/>
      <c r="D325" s="243"/>
      <c r="E325" s="243"/>
      <c r="F325" s="243"/>
      <c r="G325" s="243"/>
      <c r="H325" s="245"/>
      <c r="I325" s="245"/>
      <c r="J325" s="243"/>
      <c r="K325" s="243"/>
      <c r="L325" s="243"/>
      <c r="M325" s="243"/>
      <c r="N325" s="243"/>
      <c r="O325" s="244"/>
      <c r="P325" s="243"/>
      <c r="Q325" s="244"/>
      <c r="R325" s="243"/>
      <c r="S325" s="244"/>
      <c r="T325" s="243"/>
      <c r="U325" s="244"/>
      <c r="V325" s="246"/>
      <c r="W325" s="244"/>
      <c r="X325" s="243"/>
      <c r="Y325" s="244"/>
      <c r="Z325" s="243"/>
      <c r="AA325" s="243"/>
      <c r="AB325" s="243"/>
    </row>
    <row r="326">
      <c r="A326" s="243"/>
      <c r="B326" s="244"/>
      <c r="C326" s="243"/>
      <c r="D326" s="243"/>
      <c r="E326" s="243"/>
      <c r="F326" s="243"/>
      <c r="G326" s="243"/>
      <c r="H326" s="245"/>
      <c r="I326" s="245"/>
      <c r="J326" s="243"/>
      <c r="K326" s="243"/>
      <c r="L326" s="243"/>
      <c r="M326" s="243"/>
      <c r="N326" s="243"/>
      <c r="O326" s="244"/>
      <c r="P326" s="243"/>
      <c r="Q326" s="244"/>
      <c r="R326" s="243"/>
      <c r="S326" s="244"/>
      <c r="T326" s="243"/>
      <c r="U326" s="244"/>
      <c r="V326" s="246"/>
      <c r="W326" s="244"/>
      <c r="X326" s="243"/>
      <c r="Y326" s="244"/>
      <c r="Z326" s="243"/>
      <c r="AA326" s="243"/>
      <c r="AB326" s="243"/>
    </row>
    <row r="327">
      <c r="A327" s="243"/>
      <c r="B327" s="244"/>
      <c r="C327" s="243"/>
      <c r="D327" s="243"/>
      <c r="E327" s="243"/>
      <c r="F327" s="243"/>
      <c r="G327" s="243"/>
      <c r="H327" s="245"/>
      <c r="I327" s="245"/>
      <c r="J327" s="243"/>
      <c r="K327" s="243"/>
      <c r="L327" s="243"/>
      <c r="M327" s="243"/>
      <c r="N327" s="243"/>
      <c r="O327" s="244"/>
      <c r="P327" s="243"/>
      <c r="Q327" s="244"/>
      <c r="R327" s="243"/>
      <c r="S327" s="244"/>
      <c r="T327" s="243"/>
      <c r="U327" s="244"/>
      <c r="V327" s="246"/>
      <c r="W327" s="244"/>
      <c r="X327" s="243"/>
      <c r="Y327" s="244"/>
      <c r="Z327" s="243"/>
      <c r="AA327" s="243"/>
      <c r="AB327" s="243"/>
    </row>
    <row r="328">
      <c r="A328" s="243"/>
      <c r="B328" s="244"/>
      <c r="C328" s="243"/>
      <c r="D328" s="243"/>
      <c r="E328" s="243"/>
      <c r="F328" s="243"/>
      <c r="G328" s="243"/>
      <c r="H328" s="245"/>
      <c r="I328" s="245"/>
      <c r="J328" s="243"/>
      <c r="K328" s="243"/>
      <c r="L328" s="243"/>
      <c r="M328" s="243"/>
      <c r="N328" s="243"/>
      <c r="O328" s="244"/>
      <c r="P328" s="243"/>
      <c r="Q328" s="244"/>
      <c r="R328" s="243"/>
      <c r="S328" s="244"/>
      <c r="T328" s="243"/>
      <c r="U328" s="244"/>
      <c r="V328" s="246"/>
      <c r="W328" s="244"/>
      <c r="X328" s="243"/>
      <c r="Y328" s="244"/>
      <c r="Z328" s="243"/>
      <c r="AA328" s="243"/>
      <c r="AB328" s="243"/>
    </row>
    <row r="329">
      <c r="A329" s="243"/>
      <c r="B329" s="244"/>
      <c r="C329" s="243"/>
      <c r="D329" s="243"/>
      <c r="E329" s="243"/>
      <c r="F329" s="243"/>
      <c r="G329" s="243"/>
      <c r="H329" s="245"/>
      <c r="I329" s="245"/>
      <c r="J329" s="243"/>
      <c r="K329" s="243"/>
      <c r="L329" s="243"/>
      <c r="M329" s="243"/>
      <c r="N329" s="243"/>
      <c r="O329" s="244"/>
      <c r="P329" s="243"/>
      <c r="Q329" s="244"/>
      <c r="R329" s="243"/>
      <c r="S329" s="244"/>
      <c r="T329" s="243"/>
      <c r="U329" s="244"/>
      <c r="V329" s="246"/>
      <c r="W329" s="244"/>
      <c r="X329" s="243"/>
      <c r="Y329" s="244"/>
      <c r="Z329" s="243"/>
      <c r="AA329" s="243"/>
      <c r="AB329" s="243"/>
    </row>
    <row r="330">
      <c r="A330" s="243"/>
      <c r="B330" s="244"/>
      <c r="C330" s="243"/>
      <c r="D330" s="243"/>
      <c r="E330" s="243"/>
      <c r="F330" s="243"/>
      <c r="G330" s="243"/>
      <c r="H330" s="245"/>
      <c r="I330" s="245"/>
      <c r="J330" s="243"/>
      <c r="K330" s="243"/>
      <c r="L330" s="243"/>
      <c r="M330" s="243"/>
      <c r="N330" s="243"/>
      <c r="O330" s="244"/>
      <c r="P330" s="243"/>
      <c r="Q330" s="244"/>
      <c r="R330" s="243"/>
      <c r="S330" s="244"/>
      <c r="T330" s="243"/>
      <c r="U330" s="244"/>
      <c r="V330" s="246"/>
      <c r="W330" s="244"/>
      <c r="X330" s="243"/>
      <c r="Y330" s="244"/>
      <c r="Z330" s="243"/>
      <c r="AA330" s="243"/>
      <c r="AB330" s="243"/>
    </row>
    <row r="331">
      <c r="A331" s="243"/>
      <c r="B331" s="244"/>
      <c r="C331" s="243"/>
      <c r="D331" s="243"/>
      <c r="E331" s="243"/>
      <c r="F331" s="243"/>
      <c r="G331" s="243"/>
      <c r="H331" s="245"/>
      <c r="I331" s="245"/>
      <c r="J331" s="243"/>
      <c r="K331" s="243"/>
      <c r="L331" s="243"/>
      <c r="M331" s="243"/>
      <c r="N331" s="243"/>
      <c r="O331" s="244"/>
      <c r="P331" s="243"/>
      <c r="Q331" s="244"/>
      <c r="R331" s="243"/>
      <c r="S331" s="244"/>
      <c r="T331" s="243"/>
      <c r="U331" s="244"/>
      <c r="V331" s="246"/>
      <c r="W331" s="244"/>
      <c r="X331" s="243"/>
      <c r="Y331" s="244"/>
      <c r="Z331" s="243"/>
      <c r="AA331" s="243"/>
      <c r="AB331" s="243"/>
    </row>
    <row r="332">
      <c r="A332" s="243"/>
      <c r="B332" s="244"/>
      <c r="C332" s="243"/>
      <c r="D332" s="243"/>
      <c r="E332" s="243"/>
      <c r="F332" s="243"/>
      <c r="G332" s="243"/>
      <c r="H332" s="245"/>
      <c r="I332" s="245"/>
      <c r="J332" s="243"/>
      <c r="K332" s="243"/>
      <c r="L332" s="243"/>
      <c r="M332" s="243"/>
      <c r="N332" s="243"/>
      <c r="O332" s="244"/>
      <c r="P332" s="243"/>
      <c r="Q332" s="244"/>
      <c r="R332" s="243"/>
      <c r="S332" s="244"/>
      <c r="T332" s="243"/>
      <c r="U332" s="244"/>
      <c r="V332" s="246"/>
      <c r="W332" s="244"/>
      <c r="X332" s="243"/>
      <c r="Y332" s="244"/>
      <c r="Z332" s="243"/>
      <c r="AA332" s="243"/>
      <c r="AB332" s="243"/>
    </row>
    <row r="333">
      <c r="A333" s="243"/>
      <c r="B333" s="244"/>
      <c r="C333" s="243"/>
      <c r="D333" s="243"/>
      <c r="E333" s="243"/>
      <c r="F333" s="243"/>
      <c r="G333" s="243"/>
      <c r="H333" s="245"/>
      <c r="I333" s="245"/>
      <c r="J333" s="243"/>
      <c r="K333" s="243"/>
      <c r="L333" s="243"/>
      <c r="M333" s="243"/>
      <c r="N333" s="243"/>
      <c r="O333" s="244"/>
      <c r="P333" s="243"/>
      <c r="Q333" s="244"/>
      <c r="R333" s="243"/>
      <c r="S333" s="244"/>
      <c r="T333" s="243"/>
      <c r="U333" s="244"/>
      <c r="V333" s="246"/>
      <c r="W333" s="244"/>
      <c r="X333" s="243"/>
      <c r="Y333" s="244"/>
      <c r="Z333" s="243"/>
      <c r="AA333" s="243"/>
      <c r="AB333" s="243"/>
    </row>
    <row r="334">
      <c r="A334" s="243"/>
      <c r="B334" s="244"/>
      <c r="C334" s="243"/>
      <c r="D334" s="243"/>
      <c r="E334" s="243"/>
      <c r="F334" s="243"/>
      <c r="G334" s="243"/>
      <c r="H334" s="245"/>
      <c r="I334" s="245"/>
      <c r="J334" s="243"/>
      <c r="K334" s="243"/>
      <c r="L334" s="243"/>
      <c r="M334" s="243"/>
      <c r="N334" s="243"/>
      <c r="O334" s="244"/>
      <c r="P334" s="243"/>
      <c r="Q334" s="244"/>
      <c r="R334" s="243"/>
      <c r="S334" s="244"/>
      <c r="T334" s="243"/>
      <c r="U334" s="244"/>
      <c r="V334" s="246"/>
      <c r="W334" s="244"/>
      <c r="X334" s="243"/>
      <c r="Y334" s="244"/>
      <c r="Z334" s="243"/>
      <c r="AA334" s="243"/>
      <c r="AB334" s="243"/>
    </row>
    <row r="335">
      <c r="A335" s="243"/>
      <c r="B335" s="244"/>
      <c r="C335" s="243"/>
      <c r="D335" s="243"/>
      <c r="E335" s="243"/>
      <c r="F335" s="243"/>
      <c r="G335" s="243"/>
      <c r="H335" s="245"/>
      <c r="I335" s="245"/>
      <c r="J335" s="243"/>
      <c r="K335" s="243"/>
      <c r="L335" s="243"/>
      <c r="M335" s="243"/>
      <c r="N335" s="243"/>
      <c r="O335" s="244"/>
      <c r="P335" s="243"/>
      <c r="Q335" s="244"/>
      <c r="R335" s="243"/>
      <c r="S335" s="244"/>
      <c r="T335" s="243"/>
      <c r="U335" s="244"/>
      <c r="V335" s="246"/>
      <c r="W335" s="244"/>
      <c r="X335" s="243"/>
      <c r="Y335" s="244"/>
      <c r="Z335" s="243"/>
      <c r="AA335" s="243"/>
      <c r="AB335" s="243"/>
    </row>
    <row r="336">
      <c r="A336" s="243"/>
      <c r="B336" s="244"/>
      <c r="C336" s="243"/>
      <c r="D336" s="243"/>
      <c r="E336" s="243"/>
      <c r="F336" s="243"/>
      <c r="G336" s="243"/>
      <c r="H336" s="245"/>
      <c r="I336" s="245"/>
      <c r="J336" s="243"/>
      <c r="K336" s="243"/>
      <c r="L336" s="243"/>
      <c r="M336" s="243"/>
      <c r="N336" s="243"/>
      <c r="O336" s="244"/>
      <c r="P336" s="243"/>
      <c r="Q336" s="244"/>
      <c r="R336" s="243"/>
      <c r="S336" s="244"/>
      <c r="T336" s="243"/>
      <c r="U336" s="244"/>
      <c r="V336" s="246"/>
      <c r="W336" s="244"/>
      <c r="X336" s="243"/>
      <c r="Y336" s="244"/>
      <c r="Z336" s="243"/>
      <c r="AA336" s="243"/>
      <c r="AB336" s="243"/>
    </row>
    <row r="337">
      <c r="A337" s="243"/>
      <c r="B337" s="244"/>
      <c r="C337" s="243"/>
      <c r="D337" s="243"/>
      <c r="E337" s="243"/>
      <c r="F337" s="243"/>
      <c r="G337" s="243"/>
      <c r="H337" s="245"/>
      <c r="I337" s="245"/>
      <c r="J337" s="243"/>
      <c r="K337" s="243"/>
      <c r="L337" s="243"/>
      <c r="M337" s="243"/>
      <c r="N337" s="243"/>
      <c r="O337" s="244"/>
      <c r="P337" s="243"/>
      <c r="Q337" s="244"/>
      <c r="R337" s="243"/>
      <c r="S337" s="244"/>
      <c r="T337" s="243"/>
      <c r="U337" s="244"/>
      <c r="V337" s="246"/>
      <c r="W337" s="244"/>
      <c r="X337" s="243"/>
      <c r="Y337" s="244"/>
      <c r="Z337" s="243"/>
      <c r="AA337" s="243"/>
      <c r="AB337" s="243"/>
    </row>
    <row r="338">
      <c r="A338" s="243"/>
      <c r="B338" s="244"/>
      <c r="C338" s="243"/>
      <c r="D338" s="243"/>
      <c r="E338" s="243"/>
      <c r="F338" s="243"/>
      <c r="G338" s="243"/>
      <c r="H338" s="245"/>
      <c r="I338" s="245"/>
      <c r="J338" s="243"/>
      <c r="K338" s="243"/>
      <c r="L338" s="243"/>
      <c r="M338" s="243"/>
      <c r="N338" s="243"/>
      <c r="O338" s="244"/>
      <c r="P338" s="243"/>
      <c r="Q338" s="244"/>
      <c r="R338" s="243"/>
      <c r="S338" s="244"/>
      <c r="T338" s="243"/>
      <c r="U338" s="244"/>
      <c r="V338" s="246"/>
      <c r="W338" s="244"/>
      <c r="X338" s="243"/>
      <c r="Y338" s="244"/>
      <c r="Z338" s="243"/>
      <c r="AA338" s="243"/>
      <c r="AB338" s="243"/>
    </row>
    <row r="339">
      <c r="A339" s="243"/>
      <c r="B339" s="244"/>
      <c r="C339" s="243"/>
      <c r="D339" s="243"/>
      <c r="E339" s="243"/>
      <c r="F339" s="243"/>
      <c r="G339" s="243"/>
      <c r="H339" s="245"/>
      <c r="I339" s="245"/>
      <c r="J339" s="243"/>
      <c r="K339" s="243"/>
      <c r="L339" s="243"/>
      <c r="M339" s="243"/>
      <c r="N339" s="243"/>
      <c r="O339" s="244"/>
      <c r="P339" s="243"/>
      <c r="Q339" s="244"/>
      <c r="R339" s="243"/>
      <c r="S339" s="244"/>
      <c r="T339" s="243"/>
      <c r="U339" s="244"/>
      <c r="V339" s="246"/>
      <c r="W339" s="244"/>
      <c r="X339" s="243"/>
      <c r="Y339" s="244"/>
      <c r="Z339" s="243"/>
      <c r="AA339" s="243"/>
      <c r="AB339" s="243"/>
    </row>
    <row r="340">
      <c r="A340" s="243"/>
      <c r="B340" s="244"/>
      <c r="C340" s="243"/>
      <c r="D340" s="243"/>
      <c r="E340" s="243"/>
      <c r="F340" s="243"/>
      <c r="G340" s="243"/>
      <c r="H340" s="245"/>
      <c r="I340" s="245"/>
      <c r="J340" s="243"/>
      <c r="K340" s="243"/>
      <c r="L340" s="243"/>
      <c r="M340" s="243"/>
      <c r="N340" s="243"/>
      <c r="O340" s="244"/>
      <c r="P340" s="243"/>
      <c r="Q340" s="244"/>
      <c r="R340" s="243"/>
      <c r="S340" s="244"/>
      <c r="T340" s="243"/>
      <c r="U340" s="244"/>
      <c r="V340" s="246"/>
      <c r="W340" s="244"/>
      <c r="X340" s="243"/>
      <c r="Y340" s="244"/>
      <c r="Z340" s="243"/>
      <c r="AA340" s="243"/>
      <c r="AB340" s="243"/>
    </row>
    <row r="341">
      <c r="A341" s="243"/>
      <c r="B341" s="244"/>
      <c r="C341" s="243"/>
      <c r="D341" s="243"/>
      <c r="E341" s="243"/>
      <c r="F341" s="243"/>
      <c r="G341" s="243"/>
      <c r="H341" s="245"/>
      <c r="I341" s="245"/>
      <c r="J341" s="243"/>
      <c r="K341" s="243"/>
      <c r="L341" s="243"/>
      <c r="M341" s="243"/>
      <c r="N341" s="243"/>
      <c r="O341" s="244"/>
      <c r="P341" s="243"/>
      <c r="Q341" s="244"/>
      <c r="R341" s="243"/>
      <c r="S341" s="244"/>
      <c r="T341" s="243"/>
      <c r="U341" s="244"/>
      <c r="V341" s="246"/>
      <c r="W341" s="244"/>
      <c r="X341" s="243"/>
      <c r="Y341" s="244"/>
      <c r="Z341" s="243"/>
      <c r="AA341" s="243"/>
      <c r="AB341" s="243"/>
    </row>
    <row r="342">
      <c r="A342" s="243"/>
      <c r="B342" s="244"/>
      <c r="C342" s="243"/>
      <c r="D342" s="243"/>
      <c r="E342" s="243"/>
      <c r="F342" s="243"/>
      <c r="G342" s="243"/>
      <c r="H342" s="245"/>
      <c r="I342" s="245"/>
      <c r="J342" s="243"/>
      <c r="K342" s="243"/>
      <c r="L342" s="243"/>
      <c r="M342" s="243"/>
      <c r="N342" s="243"/>
      <c r="O342" s="244"/>
      <c r="P342" s="243"/>
      <c r="Q342" s="244"/>
      <c r="R342" s="243"/>
      <c r="S342" s="244"/>
      <c r="T342" s="243"/>
      <c r="U342" s="244"/>
      <c r="V342" s="246"/>
      <c r="W342" s="244"/>
      <c r="X342" s="243"/>
      <c r="Y342" s="244"/>
      <c r="Z342" s="243"/>
      <c r="AA342" s="243"/>
      <c r="AB342" s="243"/>
    </row>
    <row r="343">
      <c r="A343" s="243"/>
      <c r="B343" s="244"/>
      <c r="C343" s="243"/>
      <c r="D343" s="243"/>
      <c r="E343" s="243"/>
      <c r="F343" s="243"/>
      <c r="G343" s="243"/>
      <c r="H343" s="245"/>
      <c r="I343" s="245"/>
      <c r="J343" s="243"/>
      <c r="K343" s="243"/>
      <c r="L343" s="243"/>
      <c r="M343" s="243"/>
      <c r="N343" s="243"/>
      <c r="O343" s="244"/>
      <c r="P343" s="243"/>
      <c r="Q343" s="244"/>
      <c r="R343" s="243"/>
      <c r="S343" s="244"/>
      <c r="T343" s="243"/>
      <c r="U343" s="244"/>
      <c r="V343" s="246"/>
      <c r="W343" s="244"/>
      <c r="X343" s="243"/>
      <c r="Y343" s="244"/>
      <c r="Z343" s="243"/>
      <c r="AA343" s="243"/>
      <c r="AB343" s="243"/>
    </row>
    <row r="344">
      <c r="A344" s="243"/>
      <c r="B344" s="244"/>
      <c r="C344" s="243"/>
      <c r="D344" s="243"/>
      <c r="E344" s="243"/>
      <c r="F344" s="243"/>
      <c r="G344" s="243"/>
      <c r="H344" s="245"/>
      <c r="I344" s="245"/>
      <c r="J344" s="243"/>
      <c r="K344" s="243"/>
      <c r="L344" s="243"/>
      <c r="M344" s="243"/>
      <c r="N344" s="243"/>
      <c r="O344" s="244"/>
      <c r="P344" s="243"/>
      <c r="Q344" s="244"/>
      <c r="R344" s="243"/>
      <c r="S344" s="244"/>
      <c r="T344" s="243"/>
      <c r="U344" s="244"/>
      <c r="V344" s="246"/>
      <c r="W344" s="244"/>
      <c r="X344" s="243"/>
      <c r="Y344" s="244"/>
      <c r="Z344" s="243"/>
      <c r="AA344" s="243"/>
      <c r="AB344" s="243"/>
    </row>
    <row r="345">
      <c r="A345" s="243"/>
      <c r="B345" s="244"/>
      <c r="C345" s="243"/>
      <c r="D345" s="243"/>
      <c r="E345" s="243"/>
      <c r="F345" s="243"/>
      <c r="G345" s="243"/>
      <c r="H345" s="245"/>
      <c r="I345" s="245"/>
      <c r="J345" s="243"/>
      <c r="K345" s="243"/>
      <c r="L345" s="243"/>
      <c r="M345" s="243"/>
      <c r="N345" s="243"/>
      <c r="O345" s="244"/>
      <c r="P345" s="243"/>
      <c r="Q345" s="244"/>
      <c r="R345" s="243"/>
      <c r="S345" s="244"/>
      <c r="T345" s="243"/>
      <c r="U345" s="244"/>
      <c r="V345" s="246"/>
      <c r="W345" s="244"/>
      <c r="X345" s="243"/>
      <c r="Y345" s="244"/>
      <c r="Z345" s="243"/>
      <c r="AA345" s="243"/>
      <c r="AB345" s="243"/>
    </row>
    <row r="346">
      <c r="A346" s="243"/>
      <c r="B346" s="244"/>
      <c r="C346" s="243"/>
      <c r="D346" s="243"/>
      <c r="E346" s="243"/>
      <c r="F346" s="243"/>
      <c r="G346" s="243"/>
      <c r="H346" s="245"/>
      <c r="I346" s="245"/>
      <c r="J346" s="243"/>
      <c r="K346" s="243"/>
      <c r="L346" s="243"/>
      <c r="M346" s="243"/>
      <c r="N346" s="243"/>
      <c r="O346" s="244"/>
      <c r="P346" s="243"/>
      <c r="Q346" s="244"/>
      <c r="R346" s="243"/>
      <c r="S346" s="244"/>
      <c r="T346" s="243"/>
      <c r="U346" s="244"/>
      <c r="V346" s="246"/>
      <c r="W346" s="244"/>
      <c r="X346" s="243"/>
      <c r="Y346" s="244"/>
      <c r="Z346" s="243"/>
      <c r="AA346" s="243"/>
      <c r="AB346" s="243"/>
    </row>
    <row r="347">
      <c r="A347" s="243"/>
      <c r="B347" s="244"/>
      <c r="C347" s="243"/>
      <c r="D347" s="243"/>
      <c r="E347" s="243"/>
      <c r="F347" s="243"/>
      <c r="G347" s="243"/>
      <c r="H347" s="245"/>
      <c r="I347" s="245"/>
      <c r="J347" s="243"/>
      <c r="K347" s="243"/>
      <c r="L347" s="243"/>
      <c r="M347" s="243"/>
      <c r="N347" s="243"/>
      <c r="O347" s="244"/>
      <c r="P347" s="243"/>
      <c r="Q347" s="244"/>
      <c r="R347" s="243"/>
      <c r="S347" s="244"/>
      <c r="T347" s="243"/>
      <c r="U347" s="244"/>
      <c r="V347" s="246"/>
      <c r="W347" s="244"/>
      <c r="X347" s="243"/>
      <c r="Y347" s="244"/>
      <c r="Z347" s="243"/>
      <c r="AA347" s="243"/>
      <c r="AB347" s="243"/>
    </row>
    <row r="348">
      <c r="A348" s="243"/>
      <c r="B348" s="244"/>
      <c r="C348" s="243"/>
      <c r="D348" s="243"/>
      <c r="E348" s="243"/>
      <c r="F348" s="243"/>
      <c r="G348" s="243"/>
      <c r="H348" s="245"/>
      <c r="I348" s="245"/>
      <c r="J348" s="243"/>
      <c r="K348" s="243"/>
      <c r="L348" s="243"/>
      <c r="M348" s="243"/>
      <c r="N348" s="243"/>
      <c r="O348" s="244"/>
      <c r="P348" s="243"/>
      <c r="Q348" s="244"/>
      <c r="R348" s="243"/>
      <c r="S348" s="244"/>
      <c r="T348" s="243"/>
      <c r="U348" s="244"/>
      <c r="V348" s="246"/>
      <c r="W348" s="244"/>
      <c r="X348" s="243"/>
      <c r="Y348" s="244"/>
      <c r="Z348" s="243"/>
      <c r="AA348" s="243"/>
      <c r="AB348" s="243"/>
    </row>
    <row r="349">
      <c r="A349" s="243"/>
      <c r="B349" s="244"/>
      <c r="C349" s="243"/>
      <c r="D349" s="243"/>
      <c r="E349" s="243"/>
      <c r="F349" s="243"/>
      <c r="G349" s="243"/>
      <c r="H349" s="245"/>
      <c r="I349" s="245"/>
      <c r="J349" s="243"/>
      <c r="K349" s="243"/>
      <c r="L349" s="243"/>
      <c r="M349" s="243"/>
      <c r="N349" s="243"/>
      <c r="O349" s="244"/>
      <c r="P349" s="243"/>
      <c r="Q349" s="244"/>
      <c r="R349" s="243"/>
      <c r="S349" s="244"/>
      <c r="T349" s="243"/>
      <c r="U349" s="244"/>
      <c r="V349" s="246"/>
      <c r="W349" s="244"/>
      <c r="X349" s="243"/>
      <c r="Y349" s="244"/>
      <c r="Z349" s="243"/>
      <c r="AA349" s="243"/>
      <c r="AB349" s="243"/>
    </row>
    <row r="350">
      <c r="A350" s="243"/>
      <c r="B350" s="244"/>
      <c r="C350" s="243"/>
      <c r="D350" s="243"/>
      <c r="E350" s="243"/>
      <c r="F350" s="243"/>
      <c r="G350" s="243"/>
      <c r="H350" s="245"/>
      <c r="I350" s="245"/>
      <c r="J350" s="243"/>
      <c r="K350" s="243"/>
      <c r="L350" s="243"/>
      <c r="M350" s="243"/>
      <c r="N350" s="243"/>
      <c r="O350" s="244"/>
      <c r="P350" s="243"/>
      <c r="Q350" s="244"/>
      <c r="R350" s="243"/>
      <c r="S350" s="244"/>
      <c r="T350" s="243"/>
      <c r="U350" s="244"/>
      <c r="V350" s="246"/>
      <c r="W350" s="244"/>
      <c r="X350" s="243"/>
      <c r="Y350" s="244"/>
      <c r="Z350" s="243"/>
      <c r="AA350" s="243"/>
      <c r="AB350" s="243"/>
    </row>
    <row r="351">
      <c r="A351" s="243"/>
      <c r="B351" s="244"/>
      <c r="C351" s="243"/>
      <c r="D351" s="243"/>
      <c r="E351" s="243"/>
      <c r="F351" s="243"/>
      <c r="G351" s="243"/>
      <c r="H351" s="245"/>
      <c r="I351" s="245"/>
      <c r="J351" s="243"/>
      <c r="K351" s="243"/>
      <c r="L351" s="243"/>
      <c r="M351" s="243"/>
      <c r="N351" s="243"/>
      <c r="O351" s="244"/>
      <c r="P351" s="243"/>
      <c r="Q351" s="244"/>
      <c r="R351" s="243"/>
      <c r="S351" s="244"/>
      <c r="T351" s="243"/>
      <c r="U351" s="244"/>
      <c r="V351" s="246"/>
      <c r="W351" s="244"/>
      <c r="X351" s="243"/>
      <c r="Y351" s="244"/>
      <c r="Z351" s="243"/>
      <c r="AA351" s="243"/>
      <c r="AB351" s="243"/>
    </row>
    <row r="352">
      <c r="A352" s="243"/>
      <c r="B352" s="244"/>
      <c r="C352" s="243"/>
      <c r="D352" s="243"/>
      <c r="E352" s="243"/>
      <c r="F352" s="243"/>
      <c r="G352" s="243"/>
      <c r="H352" s="245"/>
      <c r="I352" s="245"/>
      <c r="J352" s="243"/>
      <c r="K352" s="243"/>
      <c r="L352" s="243"/>
      <c r="M352" s="243"/>
      <c r="N352" s="243"/>
      <c r="O352" s="244"/>
      <c r="P352" s="243"/>
      <c r="Q352" s="244"/>
      <c r="R352" s="243"/>
      <c r="S352" s="244"/>
      <c r="T352" s="243"/>
      <c r="U352" s="244"/>
      <c r="V352" s="246"/>
      <c r="W352" s="244"/>
      <c r="X352" s="243"/>
      <c r="Y352" s="244"/>
      <c r="Z352" s="243"/>
      <c r="AA352" s="243"/>
      <c r="AB352" s="243"/>
    </row>
    <row r="353">
      <c r="A353" s="243"/>
      <c r="B353" s="244"/>
      <c r="C353" s="243"/>
      <c r="D353" s="243"/>
      <c r="E353" s="243"/>
      <c r="F353" s="243"/>
      <c r="G353" s="243"/>
      <c r="H353" s="245"/>
      <c r="I353" s="245"/>
      <c r="J353" s="243"/>
      <c r="K353" s="243"/>
      <c r="L353" s="243"/>
      <c r="M353" s="243"/>
      <c r="N353" s="243"/>
      <c r="O353" s="244"/>
      <c r="P353" s="243"/>
      <c r="Q353" s="244"/>
      <c r="R353" s="243"/>
      <c r="S353" s="244"/>
      <c r="T353" s="243"/>
      <c r="U353" s="244"/>
      <c r="V353" s="246"/>
      <c r="W353" s="244"/>
      <c r="X353" s="243"/>
      <c r="Y353" s="244"/>
      <c r="Z353" s="243"/>
      <c r="AA353" s="243"/>
      <c r="AB353" s="243"/>
    </row>
    <row r="354">
      <c r="A354" s="243"/>
      <c r="B354" s="244"/>
      <c r="C354" s="243"/>
      <c r="D354" s="243"/>
      <c r="E354" s="243"/>
      <c r="F354" s="243"/>
      <c r="G354" s="243"/>
      <c r="H354" s="245"/>
      <c r="I354" s="245"/>
      <c r="J354" s="243"/>
      <c r="K354" s="243"/>
      <c r="L354" s="243"/>
      <c r="M354" s="243"/>
      <c r="N354" s="243"/>
      <c r="O354" s="244"/>
      <c r="P354" s="243"/>
      <c r="Q354" s="244"/>
      <c r="R354" s="243"/>
      <c r="S354" s="244"/>
      <c r="T354" s="243"/>
      <c r="U354" s="244"/>
      <c r="V354" s="246"/>
      <c r="W354" s="244"/>
      <c r="X354" s="243"/>
      <c r="Y354" s="244"/>
      <c r="Z354" s="243"/>
      <c r="AA354" s="243"/>
      <c r="AB354" s="243"/>
    </row>
    <row r="355">
      <c r="A355" s="243"/>
      <c r="B355" s="244"/>
      <c r="C355" s="243"/>
      <c r="D355" s="243"/>
      <c r="E355" s="243"/>
      <c r="F355" s="243"/>
      <c r="G355" s="243"/>
      <c r="H355" s="245"/>
      <c r="I355" s="245"/>
      <c r="J355" s="243"/>
      <c r="K355" s="243"/>
      <c r="L355" s="243"/>
      <c r="M355" s="243"/>
      <c r="N355" s="243"/>
      <c r="O355" s="244"/>
      <c r="P355" s="243"/>
      <c r="Q355" s="244"/>
      <c r="R355" s="243"/>
      <c r="S355" s="244"/>
      <c r="T355" s="243"/>
      <c r="U355" s="244"/>
      <c r="V355" s="246"/>
      <c r="W355" s="244"/>
      <c r="X355" s="243"/>
      <c r="Y355" s="244"/>
      <c r="Z355" s="243"/>
      <c r="AA355" s="243"/>
      <c r="AB355" s="243"/>
    </row>
    <row r="356">
      <c r="A356" s="243"/>
      <c r="B356" s="244"/>
      <c r="C356" s="243"/>
      <c r="D356" s="243"/>
      <c r="E356" s="243"/>
      <c r="F356" s="243"/>
      <c r="G356" s="243"/>
      <c r="H356" s="245"/>
      <c r="I356" s="245"/>
      <c r="J356" s="243"/>
      <c r="K356" s="243"/>
      <c r="L356" s="243"/>
      <c r="M356" s="243"/>
      <c r="N356" s="243"/>
      <c r="O356" s="244"/>
      <c r="P356" s="243"/>
      <c r="Q356" s="244"/>
      <c r="R356" s="243"/>
      <c r="S356" s="244"/>
      <c r="T356" s="243"/>
      <c r="U356" s="244"/>
      <c r="V356" s="246"/>
      <c r="W356" s="244"/>
      <c r="X356" s="243"/>
      <c r="Y356" s="244"/>
      <c r="Z356" s="243"/>
      <c r="AA356" s="243"/>
      <c r="AB356" s="243"/>
    </row>
    <row r="357">
      <c r="A357" s="243"/>
      <c r="B357" s="244"/>
      <c r="C357" s="243"/>
      <c r="D357" s="243"/>
      <c r="E357" s="243"/>
      <c r="F357" s="243"/>
      <c r="G357" s="243"/>
      <c r="H357" s="245"/>
      <c r="I357" s="245"/>
      <c r="J357" s="243"/>
      <c r="K357" s="243"/>
      <c r="L357" s="243"/>
      <c r="M357" s="243"/>
      <c r="N357" s="243"/>
      <c r="O357" s="244"/>
      <c r="P357" s="243"/>
      <c r="Q357" s="244"/>
      <c r="R357" s="243"/>
      <c r="S357" s="244"/>
      <c r="T357" s="243"/>
      <c r="U357" s="244"/>
      <c r="V357" s="246"/>
      <c r="W357" s="244"/>
      <c r="X357" s="243"/>
      <c r="Y357" s="244"/>
      <c r="Z357" s="243"/>
      <c r="AA357" s="243"/>
      <c r="AB357" s="243"/>
    </row>
    <row r="358">
      <c r="A358" s="243"/>
      <c r="B358" s="244"/>
      <c r="C358" s="243"/>
      <c r="D358" s="243"/>
      <c r="E358" s="243"/>
      <c r="F358" s="243"/>
      <c r="G358" s="243"/>
      <c r="H358" s="245"/>
      <c r="I358" s="245"/>
      <c r="J358" s="243"/>
      <c r="K358" s="243"/>
      <c r="L358" s="243"/>
      <c r="M358" s="243"/>
      <c r="N358" s="243"/>
      <c r="O358" s="244"/>
      <c r="P358" s="243"/>
      <c r="Q358" s="244"/>
      <c r="R358" s="243"/>
      <c r="S358" s="244"/>
      <c r="T358" s="243"/>
      <c r="U358" s="244"/>
      <c r="V358" s="246"/>
      <c r="W358" s="244"/>
      <c r="X358" s="243"/>
      <c r="Y358" s="244"/>
      <c r="Z358" s="243"/>
      <c r="AA358" s="243"/>
      <c r="AB358" s="243"/>
    </row>
    <row r="359">
      <c r="A359" s="243"/>
      <c r="B359" s="244"/>
      <c r="C359" s="243"/>
      <c r="D359" s="243"/>
      <c r="E359" s="243"/>
      <c r="F359" s="243"/>
      <c r="G359" s="243"/>
      <c r="H359" s="245"/>
      <c r="I359" s="245"/>
      <c r="J359" s="243"/>
      <c r="K359" s="243"/>
      <c r="L359" s="243"/>
      <c r="M359" s="243"/>
      <c r="N359" s="243"/>
      <c r="O359" s="244"/>
      <c r="P359" s="243"/>
      <c r="Q359" s="244"/>
      <c r="R359" s="243"/>
      <c r="S359" s="244"/>
      <c r="T359" s="243"/>
      <c r="U359" s="244"/>
      <c r="V359" s="246"/>
      <c r="W359" s="244"/>
      <c r="X359" s="243"/>
      <c r="Y359" s="244"/>
      <c r="Z359" s="243"/>
      <c r="AA359" s="243"/>
      <c r="AB359" s="243"/>
    </row>
    <row r="360">
      <c r="A360" s="243"/>
      <c r="B360" s="244"/>
      <c r="C360" s="243"/>
      <c r="D360" s="243"/>
      <c r="E360" s="243"/>
      <c r="F360" s="243"/>
      <c r="G360" s="243"/>
      <c r="H360" s="245"/>
      <c r="I360" s="245"/>
      <c r="J360" s="243"/>
      <c r="K360" s="243"/>
      <c r="L360" s="243"/>
      <c r="M360" s="243"/>
      <c r="N360" s="243"/>
      <c r="O360" s="244"/>
      <c r="P360" s="243"/>
      <c r="Q360" s="244"/>
      <c r="R360" s="243"/>
      <c r="S360" s="244"/>
      <c r="T360" s="243"/>
      <c r="U360" s="244"/>
      <c r="V360" s="246"/>
      <c r="W360" s="244"/>
      <c r="X360" s="243"/>
      <c r="Y360" s="244"/>
      <c r="Z360" s="243"/>
      <c r="AA360" s="243"/>
      <c r="AB360" s="243"/>
    </row>
    <row r="361">
      <c r="A361" s="243"/>
      <c r="B361" s="244"/>
      <c r="C361" s="243"/>
      <c r="D361" s="243"/>
      <c r="E361" s="243"/>
      <c r="F361" s="243"/>
      <c r="G361" s="243"/>
      <c r="H361" s="245"/>
      <c r="I361" s="245"/>
      <c r="J361" s="243"/>
      <c r="K361" s="243"/>
      <c r="L361" s="243"/>
      <c r="M361" s="243"/>
      <c r="N361" s="243"/>
      <c r="O361" s="244"/>
      <c r="P361" s="243"/>
      <c r="Q361" s="244"/>
      <c r="R361" s="243"/>
      <c r="S361" s="244"/>
      <c r="T361" s="243"/>
      <c r="U361" s="244"/>
      <c r="V361" s="246"/>
      <c r="W361" s="244"/>
      <c r="X361" s="243"/>
      <c r="Y361" s="244"/>
      <c r="Z361" s="243"/>
      <c r="AA361" s="243"/>
      <c r="AB361" s="243"/>
    </row>
    <row r="362">
      <c r="A362" s="243"/>
      <c r="B362" s="244"/>
      <c r="C362" s="243"/>
      <c r="D362" s="243"/>
      <c r="E362" s="243"/>
      <c r="F362" s="243"/>
      <c r="G362" s="243"/>
      <c r="H362" s="245"/>
      <c r="I362" s="245"/>
      <c r="J362" s="243"/>
      <c r="K362" s="243"/>
      <c r="L362" s="243"/>
      <c r="M362" s="243"/>
      <c r="N362" s="243"/>
      <c r="O362" s="244"/>
      <c r="P362" s="243"/>
      <c r="Q362" s="244"/>
      <c r="R362" s="243"/>
      <c r="S362" s="244"/>
      <c r="T362" s="243"/>
      <c r="U362" s="244"/>
      <c r="V362" s="246"/>
      <c r="W362" s="244"/>
      <c r="X362" s="243"/>
      <c r="Y362" s="244"/>
      <c r="Z362" s="243"/>
      <c r="AA362" s="243"/>
      <c r="AB362" s="243"/>
    </row>
    <row r="363">
      <c r="A363" s="243"/>
      <c r="B363" s="244"/>
      <c r="C363" s="243"/>
      <c r="D363" s="243"/>
      <c r="E363" s="243"/>
      <c r="F363" s="243"/>
      <c r="G363" s="243"/>
      <c r="H363" s="245"/>
      <c r="I363" s="245"/>
      <c r="J363" s="243"/>
      <c r="K363" s="243"/>
      <c r="L363" s="243"/>
      <c r="M363" s="243"/>
      <c r="N363" s="243"/>
      <c r="O363" s="244"/>
      <c r="P363" s="243"/>
      <c r="Q363" s="244"/>
      <c r="R363" s="243"/>
      <c r="S363" s="244"/>
      <c r="T363" s="243"/>
      <c r="U363" s="244"/>
      <c r="V363" s="246"/>
      <c r="W363" s="244"/>
      <c r="X363" s="243"/>
      <c r="Y363" s="244"/>
      <c r="Z363" s="243"/>
      <c r="AA363" s="243"/>
      <c r="AB363" s="243"/>
    </row>
    <row r="364">
      <c r="A364" s="243"/>
      <c r="B364" s="244"/>
      <c r="C364" s="243"/>
      <c r="D364" s="243"/>
      <c r="E364" s="243"/>
      <c r="F364" s="243"/>
      <c r="G364" s="243"/>
      <c r="H364" s="245"/>
      <c r="I364" s="245"/>
      <c r="J364" s="243"/>
      <c r="K364" s="243"/>
      <c r="L364" s="243"/>
      <c r="M364" s="243"/>
      <c r="N364" s="243"/>
      <c r="O364" s="244"/>
      <c r="P364" s="243"/>
      <c r="Q364" s="244"/>
      <c r="R364" s="243"/>
      <c r="S364" s="244"/>
      <c r="T364" s="243"/>
      <c r="U364" s="244"/>
      <c r="V364" s="246"/>
      <c r="W364" s="244"/>
      <c r="X364" s="243"/>
      <c r="Y364" s="244"/>
      <c r="Z364" s="243"/>
      <c r="AA364" s="243"/>
      <c r="AB364" s="243"/>
    </row>
    <row r="365">
      <c r="A365" s="243"/>
      <c r="B365" s="244"/>
      <c r="C365" s="243"/>
      <c r="D365" s="243"/>
      <c r="E365" s="243"/>
      <c r="F365" s="243"/>
      <c r="G365" s="243"/>
      <c r="H365" s="245"/>
      <c r="I365" s="245"/>
      <c r="J365" s="243"/>
      <c r="K365" s="243"/>
      <c r="L365" s="243"/>
      <c r="M365" s="243"/>
      <c r="N365" s="243"/>
      <c r="O365" s="244"/>
      <c r="P365" s="243"/>
      <c r="Q365" s="244"/>
      <c r="R365" s="243"/>
      <c r="S365" s="244"/>
      <c r="T365" s="243"/>
      <c r="U365" s="244"/>
      <c r="V365" s="246"/>
      <c r="W365" s="244"/>
      <c r="X365" s="243"/>
      <c r="Y365" s="244"/>
      <c r="Z365" s="243"/>
      <c r="AA365" s="243"/>
      <c r="AB365" s="243"/>
    </row>
    <row r="366">
      <c r="A366" s="243"/>
      <c r="B366" s="244"/>
      <c r="C366" s="243"/>
      <c r="D366" s="243"/>
      <c r="E366" s="243"/>
      <c r="F366" s="243"/>
      <c r="G366" s="243"/>
      <c r="H366" s="245"/>
      <c r="I366" s="245"/>
      <c r="J366" s="243"/>
      <c r="K366" s="243"/>
      <c r="L366" s="243"/>
      <c r="M366" s="243"/>
      <c r="N366" s="243"/>
      <c r="O366" s="244"/>
      <c r="P366" s="243"/>
      <c r="Q366" s="244"/>
      <c r="R366" s="243"/>
      <c r="S366" s="244"/>
      <c r="T366" s="243"/>
      <c r="U366" s="244"/>
      <c r="V366" s="246"/>
      <c r="W366" s="244"/>
      <c r="X366" s="243"/>
      <c r="Y366" s="244"/>
      <c r="Z366" s="243"/>
      <c r="AA366" s="243"/>
      <c r="AB366" s="243"/>
    </row>
    <row r="367">
      <c r="A367" s="243"/>
      <c r="B367" s="244"/>
      <c r="C367" s="243"/>
      <c r="D367" s="243"/>
      <c r="E367" s="243"/>
      <c r="F367" s="243"/>
      <c r="G367" s="243"/>
      <c r="H367" s="245"/>
      <c r="I367" s="245"/>
      <c r="J367" s="243"/>
      <c r="K367" s="243"/>
      <c r="L367" s="243"/>
      <c r="M367" s="243"/>
      <c r="N367" s="243"/>
      <c r="O367" s="244"/>
      <c r="P367" s="243"/>
      <c r="Q367" s="244"/>
      <c r="R367" s="243"/>
      <c r="S367" s="244"/>
      <c r="T367" s="243"/>
      <c r="U367" s="244"/>
      <c r="V367" s="246"/>
      <c r="W367" s="244"/>
      <c r="X367" s="243"/>
      <c r="Y367" s="244"/>
      <c r="Z367" s="243"/>
      <c r="AA367" s="243"/>
      <c r="AB367" s="243"/>
    </row>
    <row r="368">
      <c r="A368" s="243"/>
      <c r="B368" s="244"/>
      <c r="C368" s="243"/>
      <c r="D368" s="243"/>
      <c r="E368" s="243"/>
      <c r="F368" s="243"/>
      <c r="G368" s="243"/>
      <c r="H368" s="245"/>
      <c r="I368" s="245"/>
      <c r="J368" s="243"/>
      <c r="K368" s="243"/>
      <c r="L368" s="243"/>
      <c r="M368" s="243"/>
      <c r="N368" s="243"/>
      <c r="O368" s="244"/>
      <c r="P368" s="243"/>
      <c r="Q368" s="244"/>
      <c r="R368" s="243"/>
      <c r="S368" s="244"/>
      <c r="T368" s="243"/>
      <c r="U368" s="244"/>
      <c r="V368" s="246"/>
      <c r="W368" s="244"/>
      <c r="X368" s="243"/>
      <c r="Y368" s="244"/>
      <c r="Z368" s="243"/>
      <c r="AA368" s="243"/>
      <c r="AB368" s="243"/>
    </row>
    <row r="369">
      <c r="A369" s="243"/>
      <c r="B369" s="244"/>
      <c r="C369" s="243"/>
      <c r="D369" s="243"/>
      <c r="E369" s="243"/>
      <c r="F369" s="243"/>
      <c r="G369" s="243"/>
      <c r="H369" s="245"/>
      <c r="I369" s="245"/>
      <c r="J369" s="243"/>
      <c r="K369" s="243"/>
      <c r="L369" s="243"/>
      <c r="M369" s="243"/>
      <c r="N369" s="243"/>
      <c r="O369" s="244"/>
      <c r="P369" s="243"/>
      <c r="Q369" s="244"/>
      <c r="R369" s="243"/>
      <c r="S369" s="244"/>
      <c r="T369" s="243"/>
      <c r="U369" s="244"/>
      <c r="V369" s="246"/>
      <c r="W369" s="244"/>
      <c r="X369" s="243"/>
      <c r="Y369" s="244"/>
      <c r="Z369" s="243"/>
      <c r="AA369" s="243"/>
      <c r="AB369" s="243"/>
    </row>
    <row r="370">
      <c r="A370" s="243"/>
      <c r="B370" s="244"/>
      <c r="C370" s="243"/>
      <c r="D370" s="243"/>
      <c r="E370" s="243"/>
      <c r="F370" s="243"/>
      <c r="G370" s="243"/>
      <c r="H370" s="245"/>
      <c r="I370" s="245"/>
      <c r="J370" s="243"/>
      <c r="K370" s="243"/>
      <c r="L370" s="243"/>
      <c r="M370" s="243"/>
      <c r="N370" s="243"/>
      <c r="O370" s="244"/>
      <c r="P370" s="243"/>
      <c r="Q370" s="244"/>
      <c r="R370" s="243"/>
      <c r="S370" s="244"/>
      <c r="T370" s="243"/>
      <c r="U370" s="244"/>
      <c r="V370" s="246"/>
      <c r="W370" s="244"/>
      <c r="X370" s="243"/>
      <c r="Y370" s="244"/>
      <c r="Z370" s="243"/>
      <c r="AA370" s="243"/>
      <c r="AB370" s="243"/>
    </row>
    <row r="371">
      <c r="A371" s="243"/>
      <c r="B371" s="244"/>
      <c r="C371" s="243"/>
      <c r="D371" s="243"/>
      <c r="E371" s="243"/>
      <c r="F371" s="243"/>
      <c r="G371" s="243"/>
      <c r="H371" s="245"/>
      <c r="I371" s="245"/>
      <c r="J371" s="243"/>
      <c r="K371" s="243"/>
      <c r="L371" s="243"/>
      <c r="M371" s="243"/>
      <c r="N371" s="243"/>
      <c r="O371" s="244"/>
      <c r="P371" s="243"/>
      <c r="Q371" s="244"/>
      <c r="R371" s="243"/>
      <c r="S371" s="244"/>
      <c r="T371" s="243"/>
      <c r="U371" s="244"/>
      <c r="V371" s="246"/>
      <c r="W371" s="244"/>
      <c r="X371" s="243"/>
      <c r="Y371" s="244"/>
      <c r="Z371" s="243"/>
      <c r="AA371" s="243"/>
      <c r="AB371" s="243"/>
    </row>
    <row r="372">
      <c r="A372" s="243"/>
      <c r="B372" s="244"/>
      <c r="C372" s="243"/>
      <c r="D372" s="243"/>
      <c r="E372" s="243"/>
      <c r="F372" s="243"/>
      <c r="G372" s="243"/>
      <c r="H372" s="245"/>
      <c r="I372" s="245"/>
      <c r="J372" s="243"/>
      <c r="K372" s="243"/>
      <c r="L372" s="243"/>
      <c r="M372" s="243"/>
      <c r="N372" s="243"/>
      <c r="O372" s="244"/>
      <c r="P372" s="243"/>
      <c r="Q372" s="244"/>
      <c r="R372" s="243"/>
      <c r="S372" s="244"/>
      <c r="T372" s="243"/>
      <c r="U372" s="244"/>
      <c r="V372" s="246"/>
      <c r="W372" s="244"/>
      <c r="X372" s="243"/>
      <c r="Y372" s="244"/>
      <c r="Z372" s="243"/>
      <c r="AA372" s="243"/>
      <c r="AB372" s="243"/>
    </row>
    <row r="373">
      <c r="A373" s="243"/>
      <c r="B373" s="244"/>
      <c r="C373" s="243"/>
      <c r="D373" s="243"/>
      <c r="E373" s="243"/>
      <c r="F373" s="243"/>
      <c r="G373" s="243"/>
      <c r="H373" s="245"/>
      <c r="I373" s="245"/>
      <c r="J373" s="243"/>
      <c r="K373" s="243"/>
      <c r="L373" s="243"/>
      <c r="M373" s="243"/>
      <c r="N373" s="243"/>
      <c r="O373" s="244"/>
      <c r="P373" s="243"/>
      <c r="Q373" s="244"/>
      <c r="R373" s="243"/>
      <c r="S373" s="244"/>
      <c r="T373" s="243"/>
      <c r="U373" s="244"/>
      <c r="V373" s="246"/>
      <c r="W373" s="244"/>
      <c r="X373" s="243"/>
      <c r="Y373" s="244"/>
      <c r="Z373" s="243"/>
      <c r="AA373" s="243"/>
      <c r="AB373" s="243"/>
    </row>
    <row r="374">
      <c r="A374" s="243"/>
      <c r="B374" s="244"/>
      <c r="C374" s="243"/>
      <c r="D374" s="243"/>
      <c r="E374" s="243"/>
      <c r="F374" s="243"/>
      <c r="G374" s="243"/>
      <c r="H374" s="245"/>
      <c r="I374" s="245"/>
      <c r="J374" s="243"/>
      <c r="K374" s="243"/>
      <c r="L374" s="243"/>
      <c r="M374" s="243"/>
      <c r="N374" s="243"/>
      <c r="O374" s="244"/>
      <c r="P374" s="243"/>
      <c r="Q374" s="244"/>
      <c r="R374" s="243"/>
      <c r="S374" s="244"/>
      <c r="T374" s="243"/>
      <c r="U374" s="244"/>
      <c r="V374" s="246"/>
      <c r="W374" s="244"/>
      <c r="X374" s="243"/>
      <c r="Y374" s="244"/>
      <c r="Z374" s="243"/>
      <c r="AA374" s="243"/>
      <c r="AB374" s="243"/>
    </row>
    <row r="375">
      <c r="A375" s="243"/>
      <c r="B375" s="244"/>
      <c r="C375" s="243"/>
      <c r="D375" s="243"/>
      <c r="E375" s="243"/>
      <c r="F375" s="243"/>
      <c r="G375" s="243"/>
      <c r="H375" s="245"/>
      <c r="I375" s="245"/>
      <c r="J375" s="243"/>
      <c r="K375" s="243"/>
      <c r="L375" s="243"/>
      <c r="M375" s="243"/>
      <c r="N375" s="243"/>
      <c r="O375" s="244"/>
      <c r="P375" s="243"/>
      <c r="Q375" s="244"/>
      <c r="R375" s="243"/>
      <c r="S375" s="244"/>
      <c r="T375" s="243"/>
      <c r="U375" s="244"/>
      <c r="V375" s="246"/>
      <c r="W375" s="244"/>
      <c r="X375" s="243"/>
      <c r="Y375" s="244"/>
      <c r="Z375" s="243"/>
      <c r="AA375" s="243"/>
      <c r="AB375" s="243"/>
    </row>
    <row r="376">
      <c r="A376" s="243"/>
      <c r="B376" s="244"/>
      <c r="C376" s="243"/>
      <c r="D376" s="243"/>
      <c r="E376" s="243"/>
      <c r="F376" s="243"/>
      <c r="G376" s="243"/>
      <c r="H376" s="245"/>
      <c r="I376" s="245"/>
      <c r="J376" s="243"/>
      <c r="K376" s="243"/>
      <c r="L376" s="243"/>
      <c r="M376" s="243"/>
      <c r="N376" s="243"/>
      <c r="O376" s="244"/>
      <c r="P376" s="243"/>
      <c r="Q376" s="244"/>
      <c r="R376" s="243"/>
      <c r="S376" s="244"/>
      <c r="T376" s="243"/>
      <c r="U376" s="244"/>
      <c r="V376" s="246"/>
      <c r="W376" s="244"/>
      <c r="X376" s="243"/>
      <c r="Y376" s="244"/>
      <c r="Z376" s="243"/>
      <c r="AA376" s="243"/>
      <c r="AB376" s="243"/>
    </row>
    <row r="377">
      <c r="A377" s="243"/>
      <c r="B377" s="244"/>
      <c r="C377" s="243"/>
      <c r="D377" s="243"/>
      <c r="E377" s="243"/>
      <c r="F377" s="243"/>
      <c r="G377" s="243"/>
      <c r="H377" s="245"/>
      <c r="I377" s="245"/>
      <c r="J377" s="243"/>
      <c r="K377" s="243"/>
      <c r="L377" s="243"/>
      <c r="M377" s="243"/>
      <c r="N377" s="243"/>
      <c r="O377" s="244"/>
      <c r="P377" s="243"/>
      <c r="Q377" s="244"/>
      <c r="R377" s="243"/>
      <c r="S377" s="244"/>
      <c r="T377" s="243"/>
      <c r="U377" s="244"/>
      <c r="V377" s="246"/>
      <c r="W377" s="244"/>
      <c r="X377" s="243"/>
      <c r="Y377" s="244"/>
      <c r="Z377" s="243"/>
      <c r="AA377" s="243"/>
      <c r="AB377" s="243"/>
    </row>
    <row r="378">
      <c r="A378" s="243"/>
      <c r="B378" s="244"/>
      <c r="C378" s="243"/>
      <c r="D378" s="243"/>
      <c r="E378" s="243"/>
      <c r="F378" s="243"/>
      <c r="G378" s="243"/>
      <c r="H378" s="245"/>
      <c r="I378" s="245"/>
      <c r="J378" s="243"/>
      <c r="K378" s="243"/>
      <c r="L378" s="243"/>
      <c r="M378" s="243"/>
      <c r="N378" s="243"/>
      <c r="O378" s="244"/>
      <c r="P378" s="243"/>
      <c r="Q378" s="244"/>
      <c r="R378" s="243"/>
      <c r="S378" s="244"/>
      <c r="T378" s="243"/>
      <c r="U378" s="244"/>
      <c r="V378" s="246"/>
      <c r="W378" s="244"/>
      <c r="X378" s="243"/>
      <c r="Y378" s="244"/>
      <c r="Z378" s="243"/>
      <c r="AA378" s="243"/>
      <c r="AB378" s="243"/>
    </row>
    <row r="379">
      <c r="A379" s="243"/>
      <c r="B379" s="244"/>
      <c r="C379" s="243"/>
      <c r="D379" s="243"/>
      <c r="E379" s="243"/>
      <c r="F379" s="243"/>
      <c r="G379" s="243"/>
      <c r="H379" s="245"/>
      <c r="I379" s="245"/>
      <c r="J379" s="243"/>
      <c r="K379" s="243"/>
      <c r="L379" s="243"/>
      <c r="M379" s="243"/>
      <c r="N379" s="243"/>
      <c r="O379" s="244"/>
      <c r="P379" s="243"/>
      <c r="Q379" s="244"/>
      <c r="R379" s="243"/>
      <c r="S379" s="244"/>
      <c r="T379" s="243"/>
      <c r="U379" s="244"/>
      <c r="V379" s="246"/>
      <c r="W379" s="244"/>
      <c r="X379" s="243"/>
      <c r="Y379" s="244"/>
      <c r="Z379" s="243"/>
      <c r="AA379" s="243"/>
      <c r="AB379" s="243"/>
    </row>
    <row r="380">
      <c r="A380" s="243"/>
      <c r="B380" s="244"/>
      <c r="C380" s="243"/>
      <c r="D380" s="243"/>
      <c r="E380" s="243"/>
      <c r="F380" s="243"/>
      <c r="G380" s="243"/>
      <c r="H380" s="245"/>
      <c r="I380" s="245"/>
      <c r="J380" s="243"/>
      <c r="K380" s="243"/>
      <c r="L380" s="243"/>
      <c r="M380" s="243"/>
      <c r="N380" s="243"/>
      <c r="O380" s="244"/>
      <c r="P380" s="243"/>
      <c r="Q380" s="244"/>
      <c r="R380" s="243"/>
      <c r="S380" s="244"/>
      <c r="T380" s="243"/>
      <c r="U380" s="244"/>
      <c r="V380" s="246"/>
      <c r="W380" s="244"/>
      <c r="X380" s="243"/>
      <c r="Y380" s="244"/>
      <c r="Z380" s="243"/>
      <c r="AA380" s="243"/>
      <c r="AB380" s="243"/>
    </row>
    <row r="381">
      <c r="A381" s="243"/>
      <c r="B381" s="244"/>
      <c r="C381" s="243"/>
      <c r="D381" s="243"/>
      <c r="E381" s="243"/>
      <c r="F381" s="243"/>
      <c r="G381" s="243"/>
      <c r="H381" s="245"/>
      <c r="I381" s="245"/>
      <c r="J381" s="243"/>
      <c r="K381" s="243"/>
      <c r="L381" s="243"/>
      <c r="M381" s="243"/>
      <c r="N381" s="243"/>
      <c r="O381" s="244"/>
      <c r="P381" s="243"/>
      <c r="Q381" s="244"/>
      <c r="R381" s="243"/>
      <c r="S381" s="244"/>
      <c r="T381" s="243"/>
      <c r="U381" s="244"/>
      <c r="V381" s="246"/>
      <c r="W381" s="244"/>
      <c r="X381" s="243"/>
      <c r="Y381" s="244"/>
      <c r="Z381" s="243"/>
      <c r="AA381" s="243"/>
      <c r="AB381" s="243"/>
    </row>
    <row r="382">
      <c r="A382" s="243"/>
      <c r="B382" s="244"/>
      <c r="C382" s="243"/>
      <c r="D382" s="243"/>
      <c r="E382" s="243"/>
      <c r="F382" s="243"/>
      <c r="G382" s="243"/>
      <c r="H382" s="245"/>
      <c r="I382" s="245"/>
      <c r="J382" s="243"/>
      <c r="K382" s="243"/>
      <c r="L382" s="243"/>
      <c r="M382" s="243"/>
      <c r="N382" s="243"/>
      <c r="O382" s="244"/>
      <c r="P382" s="243"/>
      <c r="Q382" s="244"/>
      <c r="R382" s="243"/>
      <c r="S382" s="244"/>
      <c r="T382" s="243"/>
      <c r="U382" s="244"/>
      <c r="V382" s="246"/>
      <c r="W382" s="244"/>
      <c r="X382" s="243"/>
      <c r="Y382" s="244"/>
      <c r="Z382" s="243"/>
      <c r="AA382" s="243"/>
      <c r="AB382" s="243"/>
    </row>
    <row r="383">
      <c r="A383" s="243"/>
      <c r="B383" s="244"/>
      <c r="C383" s="243"/>
      <c r="D383" s="243"/>
      <c r="E383" s="243"/>
      <c r="F383" s="243"/>
      <c r="G383" s="243"/>
      <c r="H383" s="245"/>
      <c r="I383" s="245"/>
      <c r="J383" s="243"/>
      <c r="K383" s="243"/>
      <c r="L383" s="243"/>
      <c r="M383" s="243"/>
      <c r="N383" s="243"/>
      <c r="O383" s="244"/>
      <c r="P383" s="243"/>
      <c r="Q383" s="244"/>
      <c r="R383" s="243"/>
      <c r="S383" s="244"/>
      <c r="T383" s="243"/>
      <c r="U383" s="244"/>
      <c r="V383" s="246"/>
      <c r="W383" s="244"/>
      <c r="X383" s="243"/>
      <c r="Y383" s="244"/>
      <c r="Z383" s="243"/>
      <c r="AA383" s="243"/>
      <c r="AB383" s="243"/>
    </row>
    <row r="384">
      <c r="A384" s="243"/>
      <c r="B384" s="244"/>
      <c r="C384" s="243"/>
      <c r="D384" s="243"/>
      <c r="E384" s="243"/>
      <c r="F384" s="243"/>
      <c r="G384" s="243"/>
      <c r="H384" s="245"/>
      <c r="I384" s="245"/>
      <c r="J384" s="243"/>
      <c r="K384" s="243"/>
      <c r="L384" s="243"/>
      <c r="M384" s="243"/>
      <c r="N384" s="243"/>
      <c r="O384" s="244"/>
      <c r="P384" s="243"/>
      <c r="Q384" s="244"/>
      <c r="R384" s="243"/>
      <c r="S384" s="244"/>
      <c r="T384" s="243"/>
      <c r="U384" s="244"/>
      <c r="V384" s="246"/>
      <c r="W384" s="244"/>
      <c r="X384" s="243"/>
      <c r="Y384" s="244"/>
      <c r="Z384" s="243"/>
      <c r="AA384" s="243"/>
      <c r="AB384" s="243"/>
    </row>
    <row r="385">
      <c r="A385" s="243"/>
      <c r="B385" s="244"/>
      <c r="C385" s="243"/>
      <c r="D385" s="243"/>
      <c r="E385" s="243"/>
      <c r="F385" s="243"/>
      <c r="G385" s="243"/>
      <c r="H385" s="245"/>
      <c r="I385" s="245"/>
      <c r="J385" s="243"/>
      <c r="K385" s="243"/>
      <c r="L385" s="243"/>
      <c r="M385" s="243"/>
      <c r="N385" s="243"/>
      <c r="O385" s="244"/>
      <c r="P385" s="243"/>
      <c r="Q385" s="244"/>
      <c r="R385" s="243"/>
      <c r="S385" s="244"/>
      <c r="T385" s="243"/>
      <c r="U385" s="244"/>
      <c r="V385" s="246"/>
      <c r="W385" s="244"/>
      <c r="X385" s="243"/>
      <c r="Y385" s="244"/>
      <c r="Z385" s="243"/>
      <c r="AA385" s="243"/>
      <c r="AB385" s="243"/>
    </row>
    <row r="386">
      <c r="A386" s="243"/>
      <c r="B386" s="244"/>
      <c r="C386" s="243"/>
      <c r="D386" s="243"/>
      <c r="E386" s="243"/>
      <c r="F386" s="243"/>
      <c r="G386" s="243"/>
      <c r="H386" s="245"/>
      <c r="I386" s="245"/>
      <c r="J386" s="243"/>
      <c r="K386" s="243"/>
      <c r="L386" s="243"/>
      <c r="M386" s="243"/>
      <c r="N386" s="243"/>
      <c r="O386" s="244"/>
      <c r="P386" s="243"/>
      <c r="Q386" s="244"/>
      <c r="R386" s="243"/>
      <c r="S386" s="244"/>
      <c r="T386" s="243"/>
      <c r="U386" s="244"/>
      <c r="V386" s="246"/>
      <c r="W386" s="244"/>
      <c r="X386" s="243"/>
      <c r="Y386" s="244"/>
      <c r="Z386" s="243"/>
      <c r="AA386" s="243"/>
      <c r="AB386" s="243"/>
    </row>
    <row r="387">
      <c r="A387" s="243"/>
      <c r="B387" s="244"/>
      <c r="C387" s="243"/>
      <c r="D387" s="243"/>
      <c r="E387" s="243"/>
      <c r="F387" s="243"/>
      <c r="G387" s="243"/>
      <c r="H387" s="245"/>
      <c r="I387" s="245"/>
      <c r="J387" s="243"/>
      <c r="K387" s="243"/>
      <c r="L387" s="243"/>
      <c r="M387" s="243"/>
      <c r="N387" s="243"/>
      <c r="O387" s="244"/>
      <c r="P387" s="243"/>
      <c r="Q387" s="244"/>
      <c r="R387" s="243"/>
      <c r="S387" s="244"/>
      <c r="T387" s="243"/>
      <c r="U387" s="244"/>
      <c r="V387" s="246"/>
      <c r="W387" s="244"/>
      <c r="X387" s="243"/>
      <c r="Y387" s="244"/>
      <c r="Z387" s="243"/>
      <c r="AA387" s="243"/>
      <c r="AB387" s="243"/>
    </row>
    <row r="388">
      <c r="A388" s="243"/>
      <c r="B388" s="244"/>
      <c r="C388" s="243"/>
      <c r="D388" s="243"/>
      <c r="E388" s="243"/>
      <c r="F388" s="243"/>
      <c r="G388" s="243"/>
      <c r="H388" s="245"/>
      <c r="I388" s="245"/>
      <c r="J388" s="243"/>
      <c r="K388" s="243"/>
      <c r="L388" s="243"/>
      <c r="M388" s="243"/>
      <c r="N388" s="243"/>
      <c r="O388" s="244"/>
      <c r="P388" s="243"/>
      <c r="Q388" s="244"/>
      <c r="R388" s="243"/>
      <c r="S388" s="244"/>
      <c r="T388" s="243"/>
      <c r="U388" s="244"/>
      <c r="V388" s="246"/>
      <c r="W388" s="244"/>
      <c r="X388" s="243"/>
      <c r="Y388" s="244"/>
      <c r="Z388" s="243"/>
      <c r="AA388" s="243"/>
      <c r="AB388" s="243"/>
    </row>
    <row r="389">
      <c r="A389" s="243"/>
      <c r="B389" s="244"/>
      <c r="C389" s="243"/>
      <c r="D389" s="243"/>
      <c r="E389" s="243"/>
      <c r="F389" s="243"/>
      <c r="G389" s="243"/>
      <c r="H389" s="245"/>
      <c r="I389" s="245"/>
      <c r="J389" s="243"/>
      <c r="K389" s="243"/>
      <c r="L389" s="243"/>
      <c r="M389" s="243"/>
      <c r="N389" s="243"/>
      <c r="O389" s="244"/>
      <c r="P389" s="243"/>
      <c r="Q389" s="244"/>
      <c r="R389" s="243"/>
      <c r="S389" s="244"/>
      <c r="T389" s="243"/>
      <c r="U389" s="244"/>
      <c r="V389" s="246"/>
      <c r="W389" s="244"/>
      <c r="X389" s="243"/>
      <c r="Y389" s="244"/>
      <c r="Z389" s="243"/>
      <c r="AA389" s="243"/>
      <c r="AB389" s="243"/>
    </row>
    <row r="390">
      <c r="A390" s="243"/>
      <c r="B390" s="244"/>
      <c r="C390" s="243"/>
      <c r="D390" s="243"/>
      <c r="E390" s="243"/>
      <c r="F390" s="243"/>
      <c r="G390" s="243"/>
      <c r="H390" s="245"/>
      <c r="I390" s="245"/>
      <c r="J390" s="243"/>
      <c r="K390" s="243"/>
      <c r="L390" s="243"/>
      <c r="M390" s="243"/>
      <c r="N390" s="243"/>
      <c r="O390" s="244"/>
      <c r="P390" s="243"/>
      <c r="Q390" s="244"/>
      <c r="R390" s="243"/>
      <c r="S390" s="244"/>
      <c r="T390" s="243"/>
      <c r="U390" s="244"/>
      <c r="V390" s="246"/>
      <c r="W390" s="244"/>
      <c r="X390" s="243"/>
      <c r="Y390" s="244"/>
      <c r="Z390" s="243"/>
      <c r="AA390" s="243"/>
      <c r="AB390" s="243"/>
    </row>
    <row r="391">
      <c r="A391" s="243"/>
      <c r="B391" s="244"/>
      <c r="C391" s="243"/>
      <c r="D391" s="243"/>
      <c r="E391" s="243"/>
      <c r="F391" s="243"/>
      <c r="G391" s="243"/>
      <c r="H391" s="245"/>
      <c r="I391" s="245"/>
      <c r="J391" s="243"/>
      <c r="K391" s="243"/>
      <c r="L391" s="243"/>
      <c r="M391" s="243"/>
      <c r="N391" s="243"/>
      <c r="O391" s="244"/>
      <c r="P391" s="243"/>
      <c r="Q391" s="244"/>
      <c r="R391" s="243"/>
      <c r="S391" s="244"/>
      <c r="T391" s="243"/>
      <c r="U391" s="244"/>
      <c r="V391" s="246"/>
      <c r="W391" s="244"/>
      <c r="X391" s="243"/>
      <c r="Y391" s="244"/>
      <c r="Z391" s="243"/>
      <c r="AA391" s="243"/>
      <c r="AB391" s="243"/>
    </row>
    <row r="392">
      <c r="A392" s="243"/>
      <c r="B392" s="244"/>
      <c r="C392" s="243"/>
      <c r="D392" s="243"/>
      <c r="E392" s="243"/>
      <c r="F392" s="243"/>
      <c r="G392" s="243"/>
      <c r="H392" s="245"/>
      <c r="I392" s="245"/>
      <c r="J392" s="243"/>
      <c r="K392" s="243"/>
      <c r="L392" s="243"/>
      <c r="M392" s="243"/>
      <c r="N392" s="243"/>
      <c r="O392" s="244"/>
      <c r="P392" s="243"/>
      <c r="Q392" s="244"/>
      <c r="R392" s="243"/>
      <c r="S392" s="244"/>
      <c r="T392" s="243"/>
      <c r="U392" s="244"/>
      <c r="V392" s="246"/>
      <c r="W392" s="244"/>
      <c r="X392" s="243"/>
      <c r="Y392" s="244"/>
      <c r="Z392" s="243"/>
      <c r="AA392" s="243"/>
      <c r="AB392" s="243"/>
    </row>
    <row r="393">
      <c r="A393" s="243"/>
      <c r="B393" s="244"/>
      <c r="C393" s="243"/>
      <c r="D393" s="243"/>
      <c r="E393" s="243"/>
      <c r="F393" s="243"/>
      <c r="G393" s="243"/>
      <c r="H393" s="245"/>
      <c r="I393" s="245"/>
      <c r="J393" s="243"/>
      <c r="K393" s="243"/>
      <c r="L393" s="243"/>
      <c r="M393" s="243"/>
      <c r="N393" s="243"/>
      <c r="O393" s="244"/>
      <c r="P393" s="243"/>
      <c r="Q393" s="244"/>
      <c r="R393" s="243"/>
      <c r="S393" s="244"/>
      <c r="T393" s="243"/>
      <c r="U393" s="244"/>
      <c r="V393" s="246"/>
      <c r="W393" s="244"/>
      <c r="X393" s="243"/>
      <c r="Y393" s="244"/>
      <c r="Z393" s="243"/>
      <c r="AA393" s="243"/>
      <c r="AB393" s="243"/>
    </row>
    <row r="394">
      <c r="A394" s="243"/>
      <c r="B394" s="244"/>
      <c r="C394" s="243"/>
      <c r="D394" s="243"/>
      <c r="E394" s="243"/>
      <c r="F394" s="243"/>
      <c r="G394" s="243"/>
      <c r="H394" s="245"/>
      <c r="I394" s="245"/>
      <c r="J394" s="243"/>
      <c r="K394" s="243"/>
      <c r="L394" s="243"/>
      <c r="M394" s="243"/>
      <c r="N394" s="243"/>
      <c r="O394" s="244"/>
      <c r="P394" s="243"/>
      <c r="Q394" s="244"/>
      <c r="R394" s="243"/>
      <c r="S394" s="244"/>
      <c r="T394" s="243"/>
      <c r="U394" s="244"/>
      <c r="V394" s="246"/>
      <c r="W394" s="244"/>
      <c r="X394" s="243"/>
      <c r="Y394" s="244"/>
      <c r="Z394" s="243"/>
      <c r="AA394" s="243"/>
      <c r="AB394" s="243"/>
    </row>
    <row r="395">
      <c r="A395" s="243"/>
      <c r="B395" s="244"/>
      <c r="C395" s="243"/>
      <c r="D395" s="243"/>
      <c r="E395" s="243"/>
      <c r="F395" s="243"/>
      <c r="G395" s="243"/>
      <c r="H395" s="245"/>
      <c r="I395" s="245"/>
      <c r="J395" s="243"/>
      <c r="K395" s="243"/>
      <c r="L395" s="243"/>
      <c r="M395" s="243"/>
      <c r="N395" s="243"/>
      <c r="O395" s="244"/>
      <c r="P395" s="243"/>
      <c r="Q395" s="244"/>
      <c r="R395" s="243"/>
      <c r="S395" s="244"/>
      <c r="T395" s="243"/>
      <c r="U395" s="244"/>
      <c r="V395" s="246"/>
      <c r="W395" s="244"/>
      <c r="X395" s="243"/>
      <c r="Y395" s="244"/>
      <c r="Z395" s="243"/>
      <c r="AA395" s="243"/>
      <c r="AB395" s="243"/>
    </row>
    <row r="396">
      <c r="A396" s="243"/>
      <c r="B396" s="244"/>
      <c r="C396" s="243"/>
      <c r="D396" s="243"/>
      <c r="E396" s="243"/>
      <c r="F396" s="243"/>
      <c r="G396" s="243"/>
      <c r="H396" s="245"/>
      <c r="I396" s="245"/>
      <c r="J396" s="243"/>
      <c r="K396" s="243"/>
      <c r="L396" s="243"/>
      <c r="M396" s="243"/>
      <c r="N396" s="243"/>
      <c r="O396" s="244"/>
      <c r="P396" s="243"/>
      <c r="Q396" s="244"/>
      <c r="R396" s="243"/>
      <c r="S396" s="244"/>
      <c r="T396" s="243"/>
      <c r="U396" s="244"/>
      <c r="V396" s="246"/>
      <c r="W396" s="244"/>
      <c r="X396" s="243"/>
      <c r="Y396" s="244"/>
      <c r="Z396" s="243"/>
      <c r="AA396" s="243"/>
      <c r="AB396" s="243"/>
    </row>
    <row r="397">
      <c r="A397" s="243"/>
      <c r="B397" s="244"/>
      <c r="C397" s="243"/>
      <c r="D397" s="243"/>
      <c r="E397" s="243"/>
      <c r="F397" s="243"/>
      <c r="G397" s="243"/>
      <c r="H397" s="245"/>
      <c r="I397" s="245"/>
      <c r="J397" s="243"/>
      <c r="K397" s="243"/>
      <c r="L397" s="243"/>
      <c r="M397" s="243"/>
      <c r="N397" s="243"/>
      <c r="O397" s="244"/>
      <c r="P397" s="243"/>
      <c r="Q397" s="244"/>
      <c r="R397" s="243"/>
      <c r="S397" s="244"/>
      <c r="T397" s="243"/>
      <c r="U397" s="244"/>
      <c r="V397" s="246"/>
      <c r="W397" s="244"/>
      <c r="X397" s="243"/>
      <c r="Y397" s="244"/>
      <c r="Z397" s="243"/>
      <c r="AA397" s="243"/>
      <c r="AB397" s="243"/>
    </row>
    <row r="398">
      <c r="A398" s="243"/>
      <c r="B398" s="244"/>
      <c r="C398" s="243"/>
      <c r="D398" s="243"/>
      <c r="E398" s="243"/>
      <c r="F398" s="243"/>
      <c r="G398" s="243"/>
      <c r="H398" s="245"/>
      <c r="I398" s="245"/>
      <c r="J398" s="243"/>
      <c r="K398" s="243"/>
      <c r="L398" s="243"/>
      <c r="M398" s="243"/>
      <c r="N398" s="243"/>
      <c r="O398" s="244"/>
      <c r="P398" s="243"/>
      <c r="Q398" s="244"/>
      <c r="R398" s="243"/>
      <c r="S398" s="244"/>
      <c r="T398" s="243"/>
      <c r="U398" s="244"/>
      <c r="V398" s="246"/>
      <c r="W398" s="244"/>
      <c r="X398" s="243"/>
      <c r="Y398" s="244"/>
      <c r="Z398" s="243"/>
      <c r="AA398" s="243"/>
      <c r="AB398" s="243"/>
    </row>
    <row r="399">
      <c r="A399" s="243"/>
      <c r="B399" s="244"/>
      <c r="C399" s="243"/>
      <c r="D399" s="243"/>
      <c r="E399" s="243"/>
      <c r="F399" s="243"/>
      <c r="G399" s="243"/>
      <c r="H399" s="245"/>
      <c r="I399" s="245"/>
      <c r="J399" s="243"/>
      <c r="K399" s="243"/>
      <c r="L399" s="243"/>
      <c r="M399" s="243"/>
      <c r="N399" s="243"/>
      <c r="O399" s="244"/>
      <c r="P399" s="243"/>
      <c r="Q399" s="244"/>
      <c r="R399" s="243"/>
      <c r="S399" s="244"/>
      <c r="T399" s="243"/>
      <c r="U399" s="244"/>
      <c r="V399" s="246"/>
      <c r="W399" s="244"/>
      <c r="X399" s="243"/>
      <c r="Y399" s="244"/>
      <c r="Z399" s="243"/>
      <c r="AA399" s="243"/>
      <c r="AB399" s="243"/>
    </row>
    <row r="400">
      <c r="A400" s="243"/>
      <c r="B400" s="244"/>
      <c r="C400" s="243"/>
      <c r="D400" s="243"/>
      <c r="E400" s="243"/>
      <c r="F400" s="243"/>
      <c r="G400" s="243"/>
      <c r="H400" s="245"/>
      <c r="I400" s="245"/>
      <c r="J400" s="243"/>
      <c r="K400" s="243"/>
      <c r="L400" s="243"/>
      <c r="M400" s="243"/>
      <c r="N400" s="243"/>
      <c r="O400" s="244"/>
      <c r="P400" s="243"/>
      <c r="Q400" s="244"/>
      <c r="R400" s="243"/>
      <c r="S400" s="244"/>
      <c r="T400" s="243"/>
      <c r="U400" s="244"/>
      <c r="V400" s="246"/>
      <c r="W400" s="244"/>
      <c r="X400" s="243"/>
      <c r="Y400" s="244"/>
      <c r="Z400" s="243"/>
      <c r="AA400" s="243"/>
      <c r="AB400" s="243"/>
    </row>
    <row r="401">
      <c r="A401" s="243"/>
      <c r="B401" s="244"/>
      <c r="C401" s="243"/>
      <c r="D401" s="243"/>
      <c r="E401" s="243"/>
      <c r="F401" s="243"/>
      <c r="G401" s="243"/>
      <c r="H401" s="245"/>
      <c r="I401" s="245"/>
      <c r="J401" s="243"/>
      <c r="K401" s="243"/>
      <c r="L401" s="243"/>
      <c r="M401" s="243"/>
      <c r="N401" s="243"/>
      <c r="O401" s="244"/>
      <c r="P401" s="243"/>
      <c r="Q401" s="244"/>
      <c r="R401" s="243"/>
      <c r="S401" s="244"/>
      <c r="T401" s="243"/>
      <c r="U401" s="244"/>
      <c r="V401" s="246"/>
      <c r="W401" s="244"/>
      <c r="X401" s="243"/>
      <c r="Y401" s="244"/>
      <c r="Z401" s="243"/>
      <c r="AA401" s="243"/>
      <c r="AB401" s="243"/>
    </row>
    <row r="402">
      <c r="A402" s="243"/>
      <c r="B402" s="244"/>
      <c r="C402" s="243"/>
      <c r="D402" s="243"/>
      <c r="E402" s="243"/>
      <c r="F402" s="243"/>
      <c r="G402" s="243"/>
      <c r="H402" s="245"/>
      <c r="I402" s="245"/>
      <c r="J402" s="243"/>
      <c r="K402" s="243"/>
      <c r="L402" s="243"/>
      <c r="M402" s="243"/>
      <c r="N402" s="243"/>
      <c r="O402" s="244"/>
      <c r="P402" s="243"/>
      <c r="Q402" s="244"/>
      <c r="R402" s="243"/>
      <c r="S402" s="244"/>
      <c r="T402" s="243"/>
      <c r="U402" s="244"/>
      <c r="V402" s="246"/>
      <c r="W402" s="244"/>
      <c r="X402" s="243"/>
      <c r="Y402" s="244"/>
      <c r="Z402" s="243"/>
      <c r="AA402" s="243"/>
      <c r="AB402" s="243"/>
    </row>
    <row r="403">
      <c r="A403" s="243"/>
      <c r="B403" s="244"/>
      <c r="C403" s="243"/>
      <c r="D403" s="243"/>
      <c r="E403" s="243"/>
      <c r="F403" s="243"/>
      <c r="G403" s="243"/>
      <c r="H403" s="245"/>
      <c r="I403" s="245"/>
      <c r="J403" s="243"/>
      <c r="K403" s="243"/>
      <c r="L403" s="243"/>
      <c r="M403" s="243"/>
      <c r="N403" s="243"/>
      <c r="O403" s="244"/>
      <c r="P403" s="243"/>
      <c r="Q403" s="244"/>
      <c r="R403" s="243"/>
      <c r="S403" s="244"/>
      <c r="T403" s="243"/>
      <c r="U403" s="244"/>
      <c r="V403" s="246"/>
      <c r="W403" s="244"/>
      <c r="X403" s="243"/>
      <c r="Y403" s="244"/>
      <c r="Z403" s="243"/>
      <c r="AA403" s="243"/>
      <c r="AB403" s="243"/>
    </row>
    <row r="404">
      <c r="A404" s="243"/>
      <c r="B404" s="244"/>
      <c r="C404" s="243"/>
      <c r="D404" s="243"/>
      <c r="E404" s="243"/>
      <c r="F404" s="243"/>
      <c r="G404" s="243"/>
      <c r="H404" s="245"/>
      <c r="I404" s="245"/>
      <c r="J404" s="243"/>
      <c r="K404" s="243"/>
      <c r="L404" s="243"/>
      <c r="M404" s="243"/>
      <c r="N404" s="243"/>
      <c r="O404" s="244"/>
      <c r="P404" s="243"/>
      <c r="Q404" s="244"/>
      <c r="R404" s="243"/>
      <c r="S404" s="244"/>
      <c r="T404" s="243"/>
      <c r="U404" s="244"/>
      <c r="V404" s="246"/>
      <c r="W404" s="244"/>
      <c r="X404" s="243"/>
      <c r="Y404" s="244"/>
      <c r="Z404" s="243"/>
      <c r="AA404" s="243"/>
      <c r="AB404" s="243"/>
    </row>
    <row r="405">
      <c r="A405" s="243"/>
      <c r="B405" s="244"/>
      <c r="C405" s="243"/>
      <c r="D405" s="243"/>
      <c r="E405" s="243"/>
      <c r="F405" s="243"/>
      <c r="G405" s="243"/>
      <c r="H405" s="245"/>
      <c r="I405" s="245"/>
      <c r="J405" s="243"/>
      <c r="K405" s="243"/>
      <c r="L405" s="243"/>
      <c r="M405" s="243"/>
      <c r="N405" s="243"/>
      <c r="O405" s="244"/>
      <c r="P405" s="243"/>
      <c r="Q405" s="244"/>
      <c r="R405" s="243"/>
      <c r="S405" s="244"/>
      <c r="T405" s="243"/>
      <c r="U405" s="244"/>
      <c r="V405" s="246"/>
      <c r="W405" s="244"/>
      <c r="X405" s="243"/>
      <c r="Y405" s="244"/>
      <c r="Z405" s="243"/>
      <c r="AA405" s="243"/>
      <c r="AB405" s="243"/>
    </row>
    <row r="406">
      <c r="A406" s="243"/>
      <c r="B406" s="244"/>
      <c r="C406" s="243"/>
      <c r="D406" s="243"/>
      <c r="E406" s="243"/>
      <c r="F406" s="243"/>
      <c r="G406" s="243"/>
      <c r="H406" s="245"/>
      <c r="I406" s="245"/>
      <c r="J406" s="243"/>
      <c r="K406" s="243"/>
      <c r="L406" s="243"/>
      <c r="M406" s="243"/>
      <c r="N406" s="243"/>
      <c r="O406" s="244"/>
      <c r="P406" s="243"/>
      <c r="Q406" s="244"/>
      <c r="R406" s="243"/>
      <c r="S406" s="244"/>
      <c r="T406" s="243"/>
      <c r="U406" s="244"/>
      <c r="V406" s="246"/>
      <c r="W406" s="244"/>
      <c r="X406" s="243"/>
      <c r="Y406" s="244"/>
      <c r="Z406" s="243"/>
      <c r="AA406" s="243"/>
      <c r="AB406" s="243"/>
    </row>
    <row r="407">
      <c r="A407" s="243"/>
      <c r="B407" s="244"/>
      <c r="C407" s="243"/>
      <c r="D407" s="243"/>
      <c r="E407" s="243"/>
      <c r="F407" s="243"/>
      <c r="G407" s="243"/>
      <c r="H407" s="245"/>
      <c r="I407" s="245"/>
      <c r="J407" s="243"/>
      <c r="K407" s="243"/>
      <c r="L407" s="243"/>
      <c r="M407" s="243"/>
      <c r="N407" s="243"/>
      <c r="O407" s="244"/>
      <c r="P407" s="243"/>
      <c r="Q407" s="244"/>
      <c r="R407" s="243"/>
      <c r="S407" s="244"/>
      <c r="T407" s="243"/>
      <c r="U407" s="244"/>
      <c r="V407" s="246"/>
      <c r="W407" s="244"/>
      <c r="X407" s="243"/>
      <c r="Y407" s="244"/>
      <c r="Z407" s="243"/>
      <c r="AA407" s="243"/>
      <c r="AB407" s="243"/>
    </row>
    <row r="408">
      <c r="A408" s="243"/>
      <c r="B408" s="244"/>
      <c r="C408" s="243"/>
      <c r="D408" s="243"/>
      <c r="E408" s="243"/>
      <c r="F408" s="243"/>
      <c r="G408" s="243"/>
      <c r="H408" s="245"/>
      <c r="I408" s="245"/>
      <c r="J408" s="243"/>
      <c r="K408" s="243"/>
      <c r="L408" s="243"/>
      <c r="M408" s="243"/>
      <c r="N408" s="243"/>
      <c r="O408" s="244"/>
      <c r="P408" s="243"/>
      <c r="Q408" s="244"/>
      <c r="R408" s="243"/>
      <c r="S408" s="244"/>
      <c r="T408" s="243"/>
      <c r="U408" s="244"/>
      <c r="V408" s="246"/>
      <c r="W408" s="244"/>
      <c r="X408" s="243"/>
      <c r="Y408" s="244"/>
      <c r="Z408" s="243"/>
      <c r="AA408" s="243"/>
      <c r="AB408" s="243"/>
    </row>
    <row r="409">
      <c r="A409" s="243"/>
      <c r="B409" s="244"/>
      <c r="C409" s="243"/>
      <c r="D409" s="243"/>
      <c r="E409" s="243"/>
      <c r="F409" s="243"/>
      <c r="G409" s="243"/>
      <c r="H409" s="245"/>
      <c r="I409" s="245"/>
      <c r="J409" s="243"/>
      <c r="K409" s="243"/>
      <c r="L409" s="243"/>
      <c r="M409" s="243"/>
      <c r="N409" s="243"/>
      <c r="O409" s="244"/>
      <c r="P409" s="243"/>
      <c r="Q409" s="244"/>
      <c r="R409" s="243"/>
      <c r="S409" s="244"/>
      <c r="T409" s="243"/>
      <c r="U409" s="244"/>
      <c r="V409" s="246"/>
      <c r="W409" s="244"/>
      <c r="X409" s="243"/>
      <c r="Y409" s="244"/>
      <c r="Z409" s="243"/>
      <c r="AA409" s="243"/>
      <c r="AB409" s="243"/>
    </row>
    <row r="410">
      <c r="A410" s="243"/>
      <c r="B410" s="244"/>
      <c r="C410" s="243"/>
      <c r="D410" s="243"/>
      <c r="E410" s="243"/>
      <c r="F410" s="243"/>
      <c r="G410" s="243"/>
      <c r="H410" s="245"/>
      <c r="I410" s="245"/>
      <c r="J410" s="243"/>
      <c r="K410" s="243"/>
      <c r="L410" s="243"/>
      <c r="M410" s="243"/>
      <c r="N410" s="243"/>
      <c r="O410" s="244"/>
      <c r="P410" s="243"/>
      <c r="Q410" s="244"/>
      <c r="R410" s="243"/>
      <c r="S410" s="244"/>
      <c r="T410" s="243"/>
      <c r="U410" s="244"/>
      <c r="V410" s="246"/>
      <c r="W410" s="244"/>
      <c r="X410" s="243"/>
      <c r="Y410" s="244"/>
      <c r="Z410" s="243"/>
      <c r="AA410" s="243"/>
      <c r="AB410" s="243"/>
    </row>
    <row r="411">
      <c r="A411" s="243"/>
      <c r="B411" s="244"/>
      <c r="C411" s="243"/>
      <c r="D411" s="243"/>
      <c r="E411" s="243"/>
      <c r="F411" s="243"/>
      <c r="G411" s="243"/>
      <c r="H411" s="245"/>
      <c r="I411" s="245"/>
      <c r="J411" s="243"/>
      <c r="K411" s="243"/>
      <c r="L411" s="243"/>
      <c r="M411" s="243"/>
      <c r="N411" s="243"/>
      <c r="O411" s="244"/>
      <c r="P411" s="243"/>
      <c r="Q411" s="244"/>
      <c r="R411" s="243"/>
      <c r="S411" s="244"/>
      <c r="T411" s="243"/>
      <c r="U411" s="244"/>
      <c r="V411" s="246"/>
      <c r="W411" s="244"/>
      <c r="X411" s="243"/>
      <c r="Y411" s="244"/>
      <c r="Z411" s="243"/>
      <c r="AA411" s="243"/>
      <c r="AB411" s="243"/>
    </row>
    <row r="412">
      <c r="A412" s="243"/>
      <c r="B412" s="244"/>
      <c r="C412" s="243"/>
      <c r="D412" s="243"/>
      <c r="E412" s="243"/>
      <c r="F412" s="243"/>
      <c r="G412" s="243"/>
      <c r="H412" s="245"/>
      <c r="I412" s="245"/>
      <c r="J412" s="243"/>
      <c r="K412" s="243"/>
      <c r="L412" s="243"/>
      <c r="M412" s="243"/>
      <c r="N412" s="243"/>
      <c r="O412" s="244"/>
      <c r="P412" s="243"/>
      <c r="Q412" s="244"/>
      <c r="R412" s="243"/>
      <c r="S412" s="244"/>
      <c r="T412" s="243"/>
      <c r="U412" s="244"/>
      <c r="V412" s="246"/>
      <c r="W412" s="244"/>
      <c r="X412" s="243"/>
      <c r="Y412" s="244"/>
      <c r="Z412" s="243"/>
      <c r="AA412" s="243"/>
      <c r="AB412" s="243"/>
    </row>
    <row r="413">
      <c r="A413" s="243"/>
      <c r="B413" s="244"/>
      <c r="C413" s="243"/>
      <c r="D413" s="243"/>
      <c r="E413" s="243"/>
      <c r="F413" s="243"/>
      <c r="G413" s="243"/>
      <c r="H413" s="245"/>
      <c r="I413" s="245"/>
      <c r="J413" s="243"/>
      <c r="K413" s="243"/>
      <c r="L413" s="243"/>
      <c r="M413" s="243"/>
      <c r="N413" s="243"/>
      <c r="O413" s="244"/>
      <c r="P413" s="243"/>
      <c r="Q413" s="244"/>
      <c r="R413" s="243"/>
      <c r="S413" s="244"/>
      <c r="T413" s="243"/>
      <c r="U413" s="244"/>
      <c r="V413" s="246"/>
      <c r="W413" s="244"/>
      <c r="X413" s="243"/>
      <c r="Y413" s="244"/>
      <c r="Z413" s="243"/>
      <c r="AA413" s="243"/>
      <c r="AB413" s="243"/>
    </row>
    <row r="414">
      <c r="A414" s="243"/>
      <c r="B414" s="244"/>
      <c r="C414" s="243"/>
      <c r="D414" s="243"/>
      <c r="E414" s="243"/>
      <c r="F414" s="243"/>
      <c r="G414" s="243"/>
      <c r="H414" s="245"/>
      <c r="I414" s="245"/>
      <c r="J414" s="243"/>
      <c r="K414" s="243"/>
      <c r="L414" s="243"/>
      <c r="M414" s="243"/>
      <c r="N414" s="243"/>
      <c r="O414" s="244"/>
      <c r="P414" s="243"/>
      <c r="Q414" s="244"/>
      <c r="R414" s="243"/>
      <c r="S414" s="244"/>
      <c r="T414" s="243"/>
      <c r="U414" s="244"/>
      <c r="V414" s="246"/>
      <c r="W414" s="244"/>
      <c r="X414" s="243"/>
      <c r="Y414" s="244"/>
      <c r="Z414" s="243"/>
      <c r="AA414" s="243"/>
      <c r="AB414" s="243"/>
    </row>
    <row r="415">
      <c r="A415" s="243"/>
      <c r="B415" s="244"/>
      <c r="C415" s="243"/>
      <c r="D415" s="243"/>
      <c r="E415" s="243"/>
      <c r="F415" s="243"/>
      <c r="G415" s="243"/>
      <c r="H415" s="245"/>
      <c r="I415" s="245"/>
      <c r="J415" s="243"/>
      <c r="K415" s="243"/>
      <c r="L415" s="243"/>
      <c r="M415" s="243"/>
      <c r="N415" s="243"/>
      <c r="O415" s="244"/>
      <c r="P415" s="243"/>
      <c r="Q415" s="244"/>
      <c r="R415" s="243"/>
      <c r="S415" s="244"/>
      <c r="T415" s="243"/>
      <c r="U415" s="244"/>
      <c r="V415" s="246"/>
      <c r="W415" s="244"/>
      <c r="X415" s="243"/>
      <c r="Y415" s="244"/>
      <c r="Z415" s="243"/>
      <c r="AA415" s="243"/>
      <c r="AB415" s="243"/>
    </row>
    <row r="416">
      <c r="A416" s="243"/>
      <c r="B416" s="244"/>
      <c r="C416" s="243"/>
      <c r="D416" s="243"/>
      <c r="E416" s="243"/>
      <c r="F416" s="243"/>
      <c r="G416" s="243"/>
      <c r="H416" s="245"/>
      <c r="I416" s="245"/>
      <c r="J416" s="243"/>
      <c r="K416" s="243"/>
      <c r="L416" s="243"/>
      <c r="M416" s="243"/>
      <c r="N416" s="243"/>
      <c r="O416" s="244"/>
      <c r="P416" s="243"/>
      <c r="Q416" s="244"/>
      <c r="R416" s="243"/>
      <c r="S416" s="244"/>
      <c r="T416" s="243"/>
      <c r="U416" s="244"/>
      <c r="V416" s="246"/>
      <c r="W416" s="244"/>
      <c r="X416" s="243"/>
      <c r="Y416" s="244"/>
      <c r="Z416" s="243"/>
      <c r="AA416" s="243"/>
      <c r="AB416" s="243"/>
    </row>
    <row r="417">
      <c r="A417" s="243"/>
      <c r="B417" s="244"/>
      <c r="C417" s="243"/>
      <c r="D417" s="243"/>
      <c r="E417" s="243"/>
      <c r="F417" s="243"/>
      <c r="G417" s="243"/>
      <c r="H417" s="245"/>
      <c r="I417" s="245"/>
      <c r="J417" s="243"/>
      <c r="K417" s="243"/>
      <c r="L417" s="243"/>
      <c r="M417" s="243"/>
      <c r="N417" s="243"/>
      <c r="O417" s="244"/>
      <c r="P417" s="243"/>
      <c r="Q417" s="244"/>
      <c r="R417" s="243"/>
      <c r="S417" s="244"/>
      <c r="T417" s="243"/>
      <c r="U417" s="244"/>
      <c r="V417" s="246"/>
      <c r="W417" s="244"/>
      <c r="X417" s="243"/>
      <c r="Y417" s="244"/>
      <c r="Z417" s="243"/>
      <c r="AA417" s="243"/>
      <c r="AB417" s="243"/>
    </row>
    <row r="418">
      <c r="A418" s="243"/>
      <c r="B418" s="244"/>
      <c r="C418" s="243"/>
      <c r="D418" s="243"/>
      <c r="E418" s="243"/>
      <c r="F418" s="243"/>
      <c r="G418" s="243"/>
      <c r="H418" s="245"/>
      <c r="I418" s="245"/>
      <c r="J418" s="243"/>
      <c r="K418" s="243"/>
      <c r="L418" s="243"/>
      <c r="M418" s="243"/>
      <c r="N418" s="243"/>
      <c r="O418" s="244"/>
      <c r="P418" s="243"/>
      <c r="Q418" s="244"/>
      <c r="R418" s="243"/>
      <c r="S418" s="244"/>
      <c r="T418" s="243"/>
      <c r="U418" s="244"/>
      <c r="V418" s="246"/>
      <c r="W418" s="244"/>
      <c r="X418" s="243"/>
      <c r="Y418" s="244"/>
      <c r="Z418" s="243"/>
      <c r="AA418" s="243"/>
      <c r="AB418" s="243"/>
    </row>
    <row r="419">
      <c r="A419" s="243"/>
      <c r="B419" s="244"/>
      <c r="C419" s="243"/>
      <c r="D419" s="243"/>
      <c r="E419" s="243"/>
      <c r="F419" s="243"/>
      <c r="G419" s="243"/>
      <c r="H419" s="245"/>
      <c r="I419" s="245"/>
      <c r="J419" s="243"/>
      <c r="K419" s="243"/>
      <c r="L419" s="243"/>
      <c r="M419" s="243"/>
      <c r="N419" s="243"/>
      <c r="O419" s="244"/>
      <c r="P419" s="243"/>
      <c r="Q419" s="244"/>
      <c r="R419" s="243"/>
      <c r="S419" s="244"/>
      <c r="T419" s="243"/>
      <c r="U419" s="244"/>
      <c r="V419" s="246"/>
      <c r="W419" s="244"/>
      <c r="X419" s="243"/>
      <c r="Y419" s="244"/>
      <c r="Z419" s="243"/>
      <c r="AA419" s="243"/>
      <c r="AB419" s="243"/>
    </row>
    <row r="420">
      <c r="A420" s="243"/>
      <c r="B420" s="244"/>
      <c r="C420" s="243"/>
      <c r="D420" s="243"/>
      <c r="E420" s="243"/>
      <c r="F420" s="243"/>
      <c r="G420" s="243"/>
      <c r="H420" s="245"/>
      <c r="I420" s="245"/>
      <c r="J420" s="243"/>
      <c r="K420" s="243"/>
      <c r="L420" s="243"/>
      <c r="M420" s="243"/>
      <c r="N420" s="243"/>
      <c r="O420" s="244"/>
      <c r="P420" s="243"/>
      <c r="Q420" s="244"/>
      <c r="R420" s="243"/>
      <c r="S420" s="244"/>
      <c r="T420" s="243"/>
      <c r="U420" s="244"/>
      <c r="V420" s="246"/>
      <c r="W420" s="244"/>
      <c r="X420" s="243"/>
      <c r="Y420" s="244"/>
      <c r="Z420" s="243"/>
      <c r="AA420" s="243"/>
      <c r="AB420" s="243"/>
    </row>
    <row r="421">
      <c r="A421" s="243"/>
      <c r="B421" s="244"/>
      <c r="C421" s="243"/>
      <c r="D421" s="243"/>
      <c r="E421" s="243"/>
      <c r="F421" s="243"/>
      <c r="G421" s="243"/>
      <c r="H421" s="245"/>
      <c r="I421" s="245"/>
      <c r="J421" s="243"/>
      <c r="K421" s="243"/>
      <c r="L421" s="243"/>
      <c r="M421" s="243"/>
      <c r="N421" s="243"/>
      <c r="O421" s="244"/>
      <c r="P421" s="243"/>
      <c r="Q421" s="244"/>
      <c r="R421" s="243"/>
      <c r="S421" s="244"/>
      <c r="T421" s="243"/>
      <c r="U421" s="244"/>
      <c r="V421" s="246"/>
      <c r="W421" s="244"/>
      <c r="X421" s="243"/>
      <c r="Y421" s="244"/>
      <c r="Z421" s="243"/>
      <c r="AA421" s="243"/>
      <c r="AB421" s="243"/>
    </row>
    <row r="422">
      <c r="A422" s="243"/>
      <c r="B422" s="244"/>
      <c r="C422" s="243"/>
      <c r="D422" s="243"/>
      <c r="E422" s="243"/>
      <c r="F422" s="243"/>
      <c r="G422" s="243"/>
      <c r="H422" s="245"/>
      <c r="I422" s="245"/>
      <c r="J422" s="243"/>
      <c r="K422" s="243"/>
      <c r="L422" s="243"/>
      <c r="M422" s="243"/>
      <c r="N422" s="243"/>
      <c r="O422" s="244"/>
      <c r="P422" s="243"/>
      <c r="Q422" s="244"/>
      <c r="R422" s="243"/>
      <c r="S422" s="244"/>
      <c r="T422" s="243"/>
      <c r="U422" s="244"/>
      <c r="V422" s="246"/>
      <c r="W422" s="244"/>
      <c r="X422" s="243"/>
      <c r="Y422" s="244"/>
      <c r="Z422" s="243"/>
      <c r="AA422" s="243"/>
      <c r="AB422" s="243"/>
    </row>
    <row r="423">
      <c r="A423" s="243"/>
      <c r="B423" s="244"/>
      <c r="C423" s="243"/>
      <c r="D423" s="243"/>
      <c r="E423" s="243"/>
      <c r="F423" s="243"/>
      <c r="G423" s="243"/>
      <c r="H423" s="245"/>
      <c r="I423" s="245"/>
      <c r="J423" s="243"/>
      <c r="K423" s="243"/>
      <c r="L423" s="243"/>
      <c r="M423" s="243"/>
      <c r="N423" s="243"/>
      <c r="O423" s="244"/>
      <c r="P423" s="243"/>
      <c r="Q423" s="244"/>
      <c r="R423" s="243"/>
      <c r="S423" s="244"/>
      <c r="T423" s="243"/>
      <c r="U423" s="244"/>
      <c r="V423" s="246"/>
      <c r="W423" s="244"/>
      <c r="X423" s="243"/>
      <c r="Y423" s="244"/>
      <c r="Z423" s="243"/>
      <c r="AA423" s="243"/>
      <c r="AB423" s="243"/>
    </row>
    <row r="424">
      <c r="A424" s="243"/>
      <c r="B424" s="244"/>
      <c r="C424" s="243"/>
      <c r="D424" s="243"/>
      <c r="E424" s="243"/>
      <c r="F424" s="243"/>
      <c r="G424" s="243"/>
      <c r="H424" s="245"/>
      <c r="I424" s="245"/>
      <c r="J424" s="243"/>
      <c r="K424" s="243"/>
      <c r="L424" s="243"/>
      <c r="M424" s="243"/>
      <c r="N424" s="243"/>
      <c r="O424" s="244"/>
      <c r="P424" s="243"/>
      <c r="Q424" s="244"/>
      <c r="R424" s="243"/>
      <c r="S424" s="244"/>
      <c r="T424" s="243"/>
      <c r="U424" s="244"/>
      <c r="V424" s="246"/>
      <c r="W424" s="244"/>
      <c r="X424" s="243"/>
      <c r="Y424" s="244"/>
      <c r="Z424" s="243"/>
      <c r="AA424" s="243"/>
      <c r="AB424" s="243"/>
    </row>
    <row r="425">
      <c r="A425" s="243"/>
      <c r="B425" s="244"/>
      <c r="C425" s="243"/>
      <c r="D425" s="243"/>
      <c r="E425" s="243"/>
      <c r="F425" s="243"/>
      <c r="G425" s="243"/>
      <c r="H425" s="245"/>
      <c r="I425" s="245"/>
      <c r="J425" s="243"/>
      <c r="K425" s="243"/>
      <c r="L425" s="243"/>
      <c r="M425" s="243"/>
      <c r="N425" s="243"/>
      <c r="O425" s="244"/>
      <c r="P425" s="243"/>
      <c r="Q425" s="244"/>
      <c r="R425" s="243"/>
      <c r="S425" s="244"/>
      <c r="T425" s="243"/>
      <c r="U425" s="244"/>
      <c r="V425" s="246"/>
      <c r="W425" s="244"/>
      <c r="X425" s="243"/>
      <c r="Y425" s="244"/>
      <c r="Z425" s="243"/>
      <c r="AA425" s="243"/>
      <c r="AB425" s="243"/>
    </row>
    <row r="426">
      <c r="A426" s="243"/>
      <c r="B426" s="244"/>
      <c r="C426" s="243"/>
      <c r="D426" s="243"/>
      <c r="E426" s="243"/>
      <c r="F426" s="243"/>
      <c r="G426" s="243"/>
      <c r="H426" s="245"/>
      <c r="I426" s="245"/>
      <c r="J426" s="243"/>
      <c r="K426" s="243"/>
      <c r="L426" s="243"/>
      <c r="M426" s="243"/>
      <c r="N426" s="243"/>
      <c r="O426" s="244"/>
      <c r="P426" s="243"/>
      <c r="Q426" s="244"/>
      <c r="R426" s="243"/>
      <c r="S426" s="244"/>
      <c r="T426" s="243"/>
      <c r="U426" s="244"/>
      <c r="V426" s="246"/>
      <c r="W426" s="244"/>
      <c r="X426" s="243"/>
      <c r="Y426" s="244"/>
      <c r="Z426" s="243"/>
      <c r="AA426" s="243"/>
      <c r="AB426" s="243"/>
    </row>
    <row r="427">
      <c r="A427" s="243"/>
      <c r="B427" s="244"/>
      <c r="C427" s="243"/>
      <c r="D427" s="243"/>
      <c r="E427" s="243"/>
      <c r="F427" s="243"/>
      <c r="G427" s="243"/>
      <c r="H427" s="245"/>
      <c r="I427" s="245"/>
      <c r="J427" s="243"/>
      <c r="K427" s="243"/>
      <c r="L427" s="243"/>
      <c r="M427" s="243"/>
      <c r="N427" s="243"/>
      <c r="O427" s="244"/>
      <c r="P427" s="243"/>
      <c r="Q427" s="244"/>
      <c r="R427" s="243"/>
      <c r="S427" s="244"/>
      <c r="T427" s="243"/>
      <c r="U427" s="244"/>
      <c r="V427" s="246"/>
      <c r="W427" s="244"/>
      <c r="X427" s="243"/>
      <c r="Y427" s="244"/>
      <c r="Z427" s="243"/>
      <c r="AA427" s="243"/>
      <c r="AB427" s="243"/>
    </row>
    <row r="428">
      <c r="A428" s="243"/>
      <c r="B428" s="244"/>
      <c r="C428" s="243"/>
      <c r="D428" s="243"/>
      <c r="E428" s="243"/>
      <c r="F428" s="243"/>
      <c r="G428" s="243"/>
      <c r="H428" s="245"/>
      <c r="I428" s="245"/>
      <c r="J428" s="243"/>
      <c r="K428" s="243"/>
      <c r="L428" s="243"/>
      <c r="M428" s="243"/>
      <c r="N428" s="243"/>
      <c r="O428" s="244"/>
      <c r="P428" s="243"/>
      <c r="Q428" s="244"/>
      <c r="R428" s="243"/>
      <c r="S428" s="244"/>
      <c r="T428" s="243"/>
      <c r="U428" s="244"/>
      <c r="V428" s="246"/>
      <c r="W428" s="244"/>
      <c r="X428" s="243"/>
      <c r="Y428" s="244"/>
      <c r="Z428" s="243"/>
      <c r="AA428" s="243"/>
      <c r="AB428" s="243"/>
    </row>
    <row r="429">
      <c r="A429" s="243"/>
      <c r="B429" s="244"/>
      <c r="C429" s="243"/>
      <c r="D429" s="243"/>
      <c r="E429" s="243"/>
      <c r="F429" s="243"/>
      <c r="G429" s="243"/>
      <c r="H429" s="245"/>
      <c r="I429" s="245"/>
      <c r="J429" s="243"/>
      <c r="K429" s="243"/>
      <c r="L429" s="243"/>
      <c r="M429" s="243"/>
      <c r="N429" s="243"/>
      <c r="O429" s="244"/>
      <c r="P429" s="243"/>
      <c r="Q429" s="244"/>
      <c r="R429" s="243"/>
      <c r="S429" s="244"/>
      <c r="T429" s="243"/>
      <c r="U429" s="244"/>
      <c r="V429" s="246"/>
      <c r="W429" s="244"/>
      <c r="X429" s="243"/>
      <c r="Y429" s="244"/>
      <c r="Z429" s="243"/>
      <c r="AA429" s="243"/>
      <c r="AB429" s="243"/>
    </row>
    <row r="430">
      <c r="A430" s="243"/>
      <c r="B430" s="244"/>
      <c r="C430" s="243"/>
      <c r="D430" s="243"/>
      <c r="E430" s="243"/>
      <c r="F430" s="243"/>
      <c r="G430" s="243"/>
      <c r="H430" s="245"/>
      <c r="I430" s="245"/>
      <c r="J430" s="243"/>
      <c r="K430" s="243"/>
      <c r="L430" s="243"/>
      <c r="M430" s="243"/>
      <c r="N430" s="243"/>
      <c r="O430" s="244"/>
      <c r="P430" s="243"/>
      <c r="Q430" s="244"/>
      <c r="R430" s="243"/>
      <c r="S430" s="244"/>
      <c r="T430" s="243"/>
      <c r="U430" s="244"/>
      <c r="V430" s="246"/>
      <c r="W430" s="244"/>
      <c r="X430" s="243"/>
      <c r="Y430" s="244"/>
      <c r="Z430" s="243"/>
      <c r="AA430" s="243"/>
      <c r="AB430" s="243"/>
    </row>
    <row r="431">
      <c r="A431" s="243"/>
      <c r="B431" s="244"/>
      <c r="C431" s="243"/>
      <c r="D431" s="243"/>
      <c r="E431" s="243"/>
      <c r="F431" s="243"/>
      <c r="G431" s="243"/>
      <c r="H431" s="245"/>
      <c r="I431" s="245"/>
      <c r="J431" s="243"/>
      <c r="K431" s="243"/>
      <c r="L431" s="243"/>
      <c r="M431" s="243"/>
      <c r="N431" s="243"/>
      <c r="O431" s="244"/>
      <c r="P431" s="243"/>
      <c r="Q431" s="244"/>
      <c r="R431" s="243"/>
      <c r="S431" s="244"/>
      <c r="T431" s="243"/>
      <c r="U431" s="244"/>
      <c r="V431" s="246"/>
      <c r="W431" s="244"/>
      <c r="X431" s="243"/>
      <c r="Y431" s="244"/>
      <c r="Z431" s="243"/>
      <c r="AA431" s="243"/>
      <c r="AB431" s="243"/>
    </row>
    <row r="432">
      <c r="A432" s="243"/>
      <c r="B432" s="244"/>
      <c r="C432" s="243"/>
      <c r="D432" s="243"/>
      <c r="E432" s="243"/>
      <c r="F432" s="243"/>
      <c r="G432" s="243"/>
      <c r="H432" s="245"/>
      <c r="I432" s="245"/>
      <c r="J432" s="243"/>
      <c r="K432" s="243"/>
      <c r="L432" s="243"/>
      <c r="M432" s="243"/>
      <c r="N432" s="243"/>
      <c r="O432" s="244"/>
      <c r="P432" s="243"/>
      <c r="Q432" s="244"/>
      <c r="R432" s="243"/>
      <c r="S432" s="244"/>
      <c r="T432" s="243"/>
      <c r="U432" s="244"/>
      <c r="V432" s="246"/>
      <c r="W432" s="244"/>
      <c r="X432" s="243"/>
      <c r="Y432" s="244"/>
      <c r="Z432" s="243"/>
      <c r="AA432" s="243"/>
      <c r="AB432" s="243"/>
    </row>
    <row r="433">
      <c r="A433" s="243"/>
      <c r="B433" s="244"/>
      <c r="C433" s="243"/>
      <c r="D433" s="243"/>
      <c r="E433" s="243"/>
      <c r="F433" s="243"/>
      <c r="G433" s="243"/>
      <c r="H433" s="245"/>
      <c r="I433" s="245"/>
      <c r="J433" s="243"/>
      <c r="K433" s="243"/>
      <c r="L433" s="243"/>
      <c r="M433" s="243"/>
      <c r="N433" s="243"/>
      <c r="O433" s="244"/>
      <c r="P433" s="243"/>
      <c r="Q433" s="244"/>
      <c r="R433" s="243"/>
      <c r="S433" s="244"/>
      <c r="T433" s="243"/>
      <c r="U433" s="244"/>
      <c r="V433" s="246"/>
      <c r="W433" s="244"/>
      <c r="X433" s="243"/>
      <c r="Y433" s="244"/>
      <c r="Z433" s="243"/>
      <c r="AA433" s="243"/>
      <c r="AB433" s="243"/>
    </row>
    <row r="434">
      <c r="A434" s="243"/>
      <c r="B434" s="244"/>
      <c r="C434" s="243"/>
      <c r="D434" s="243"/>
      <c r="E434" s="243"/>
      <c r="F434" s="243"/>
      <c r="G434" s="243"/>
      <c r="H434" s="245"/>
      <c r="I434" s="245"/>
      <c r="J434" s="243"/>
      <c r="K434" s="243"/>
      <c r="L434" s="243"/>
      <c r="M434" s="243"/>
      <c r="N434" s="243"/>
      <c r="O434" s="244"/>
      <c r="P434" s="243"/>
      <c r="Q434" s="244"/>
      <c r="R434" s="243"/>
      <c r="S434" s="244"/>
      <c r="T434" s="243"/>
      <c r="U434" s="244"/>
      <c r="V434" s="246"/>
      <c r="W434" s="244"/>
      <c r="X434" s="243"/>
      <c r="Y434" s="244"/>
      <c r="Z434" s="243"/>
      <c r="AA434" s="243"/>
      <c r="AB434" s="243"/>
    </row>
    <row r="435">
      <c r="A435" s="243"/>
      <c r="B435" s="244"/>
      <c r="C435" s="243"/>
      <c r="D435" s="243"/>
      <c r="E435" s="243"/>
      <c r="F435" s="243"/>
      <c r="G435" s="243"/>
      <c r="H435" s="245"/>
      <c r="I435" s="245"/>
      <c r="J435" s="243"/>
      <c r="K435" s="243"/>
      <c r="L435" s="243"/>
      <c r="M435" s="243"/>
      <c r="N435" s="243"/>
      <c r="O435" s="244"/>
      <c r="P435" s="243"/>
      <c r="Q435" s="244"/>
      <c r="R435" s="243"/>
      <c r="S435" s="244"/>
      <c r="T435" s="243"/>
      <c r="U435" s="244"/>
      <c r="V435" s="246"/>
      <c r="W435" s="244"/>
      <c r="X435" s="243"/>
      <c r="Y435" s="244"/>
      <c r="Z435" s="243"/>
      <c r="AA435" s="243"/>
      <c r="AB435" s="243"/>
    </row>
    <row r="436">
      <c r="A436" s="243"/>
      <c r="B436" s="244"/>
      <c r="C436" s="243"/>
      <c r="D436" s="243"/>
      <c r="E436" s="243"/>
      <c r="F436" s="243"/>
      <c r="G436" s="243"/>
      <c r="H436" s="245"/>
      <c r="I436" s="245"/>
      <c r="J436" s="243"/>
      <c r="K436" s="243"/>
      <c r="L436" s="243"/>
      <c r="M436" s="243"/>
      <c r="N436" s="243"/>
      <c r="O436" s="244"/>
      <c r="P436" s="243"/>
      <c r="Q436" s="244"/>
      <c r="R436" s="243"/>
      <c r="S436" s="244"/>
      <c r="T436" s="243"/>
      <c r="U436" s="244"/>
      <c r="V436" s="246"/>
      <c r="W436" s="244"/>
      <c r="X436" s="243"/>
      <c r="Y436" s="244"/>
      <c r="Z436" s="243"/>
      <c r="AA436" s="243"/>
      <c r="AB436" s="243"/>
    </row>
    <row r="437">
      <c r="A437" s="243"/>
      <c r="B437" s="244"/>
      <c r="C437" s="243"/>
      <c r="D437" s="243"/>
      <c r="E437" s="243"/>
      <c r="F437" s="243"/>
      <c r="G437" s="243"/>
      <c r="H437" s="245"/>
      <c r="I437" s="245"/>
      <c r="J437" s="243"/>
      <c r="K437" s="243"/>
      <c r="L437" s="243"/>
      <c r="M437" s="243"/>
      <c r="N437" s="243"/>
      <c r="O437" s="244"/>
      <c r="P437" s="243"/>
      <c r="Q437" s="244"/>
      <c r="R437" s="243"/>
      <c r="S437" s="244"/>
      <c r="T437" s="243"/>
      <c r="U437" s="244"/>
      <c r="V437" s="246"/>
      <c r="W437" s="244"/>
      <c r="X437" s="243"/>
      <c r="Y437" s="244"/>
      <c r="Z437" s="243"/>
      <c r="AA437" s="243"/>
      <c r="AB437" s="243"/>
    </row>
    <row r="438">
      <c r="A438" s="243"/>
      <c r="B438" s="244"/>
      <c r="C438" s="243"/>
      <c r="D438" s="243"/>
      <c r="E438" s="243"/>
      <c r="F438" s="243"/>
      <c r="G438" s="243"/>
      <c r="H438" s="245"/>
      <c r="I438" s="245"/>
      <c r="J438" s="243"/>
      <c r="K438" s="243"/>
      <c r="L438" s="243"/>
      <c r="M438" s="243"/>
      <c r="N438" s="243"/>
      <c r="O438" s="244"/>
      <c r="P438" s="243"/>
      <c r="Q438" s="244"/>
      <c r="R438" s="243"/>
      <c r="S438" s="244"/>
      <c r="T438" s="243"/>
      <c r="U438" s="244"/>
      <c r="V438" s="246"/>
      <c r="W438" s="244"/>
      <c r="X438" s="243"/>
      <c r="Y438" s="244"/>
      <c r="Z438" s="243"/>
      <c r="AA438" s="243"/>
      <c r="AB438" s="243"/>
    </row>
    <row r="439">
      <c r="A439" s="243"/>
      <c r="B439" s="244"/>
      <c r="C439" s="243"/>
      <c r="D439" s="243"/>
      <c r="E439" s="243"/>
      <c r="F439" s="243"/>
      <c r="G439" s="243"/>
      <c r="H439" s="245"/>
      <c r="I439" s="245"/>
      <c r="J439" s="243"/>
      <c r="K439" s="243"/>
      <c r="L439" s="243"/>
      <c r="M439" s="243"/>
      <c r="N439" s="243"/>
      <c r="O439" s="244"/>
      <c r="P439" s="243"/>
      <c r="Q439" s="244"/>
      <c r="R439" s="243"/>
      <c r="S439" s="244"/>
      <c r="T439" s="243"/>
      <c r="U439" s="244"/>
      <c r="V439" s="246"/>
      <c r="W439" s="244"/>
      <c r="X439" s="243"/>
      <c r="Y439" s="244"/>
      <c r="Z439" s="243"/>
      <c r="AA439" s="243"/>
      <c r="AB439" s="243"/>
    </row>
    <row r="440">
      <c r="A440" s="243"/>
      <c r="B440" s="244"/>
      <c r="C440" s="243"/>
      <c r="D440" s="243"/>
      <c r="E440" s="243"/>
      <c r="F440" s="243"/>
      <c r="G440" s="243"/>
      <c r="H440" s="245"/>
      <c r="I440" s="245"/>
      <c r="J440" s="243"/>
      <c r="K440" s="243"/>
      <c r="L440" s="243"/>
      <c r="M440" s="243"/>
      <c r="N440" s="243"/>
      <c r="O440" s="244"/>
      <c r="P440" s="243"/>
      <c r="Q440" s="244"/>
      <c r="R440" s="243"/>
      <c r="S440" s="244"/>
      <c r="T440" s="243"/>
      <c r="U440" s="244"/>
      <c r="V440" s="246"/>
      <c r="W440" s="244"/>
      <c r="X440" s="243"/>
      <c r="Y440" s="244"/>
      <c r="Z440" s="243"/>
      <c r="AA440" s="243"/>
      <c r="AB440" s="243"/>
    </row>
    <row r="441">
      <c r="A441" s="243"/>
      <c r="B441" s="244"/>
      <c r="C441" s="243"/>
      <c r="D441" s="243"/>
      <c r="E441" s="243"/>
      <c r="F441" s="243"/>
      <c r="G441" s="243"/>
      <c r="H441" s="245"/>
      <c r="I441" s="245"/>
      <c r="J441" s="243"/>
      <c r="K441" s="243"/>
      <c r="L441" s="243"/>
      <c r="M441" s="243"/>
      <c r="N441" s="243"/>
      <c r="O441" s="244"/>
      <c r="P441" s="243"/>
      <c r="Q441" s="244"/>
      <c r="R441" s="243"/>
      <c r="S441" s="244"/>
      <c r="T441" s="243"/>
      <c r="U441" s="244"/>
      <c r="V441" s="246"/>
      <c r="W441" s="244"/>
      <c r="X441" s="243"/>
      <c r="Y441" s="244"/>
      <c r="Z441" s="243"/>
      <c r="AA441" s="243"/>
      <c r="AB441" s="243"/>
    </row>
    <row r="442">
      <c r="A442" s="243"/>
      <c r="B442" s="244"/>
      <c r="C442" s="243"/>
      <c r="D442" s="243"/>
      <c r="E442" s="243"/>
      <c r="F442" s="243"/>
      <c r="G442" s="243"/>
      <c r="H442" s="245"/>
      <c r="I442" s="245"/>
      <c r="J442" s="243"/>
      <c r="K442" s="243"/>
      <c r="L442" s="243"/>
      <c r="M442" s="243"/>
      <c r="N442" s="243"/>
      <c r="O442" s="244"/>
      <c r="P442" s="243"/>
      <c r="Q442" s="244"/>
      <c r="R442" s="243"/>
      <c r="S442" s="244"/>
      <c r="T442" s="243"/>
      <c r="U442" s="244"/>
      <c r="V442" s="246"/>
      <c r="W442" s="244"/>
      <c r="X442" s="243"/>
      <c r="Y442" s="244"/>
      <c r="Z442" s="243"/>
      <c r="AA442" s="243"/>
      <c r="AB442" s="243"/>
    </row>
    <row r="443">
      <c r="A443" s="243"/>
      <c r="B443" s="244"/>
      <c r="C443" s="243"/>
      <c r="D443" s="243"/>
      <c r="E443" s="243"/>
      <c r="F443" s="243"/>
      <c r="G443" s="243"/>
      <c r="H443" s="245"/>
      <c r="I443" s="245"/>
      <c r="J443" s="243"/>
      <c r="K443" s="243"/>
      <c r="L443" s="243"/>
      <c r="M443" s="243"/>
      <c r="N443" s="243"/>
      <c r="O443" s="244"/>
      <c r="P443" s="243"/>
      <c r="Q443" s="244"/>
      <c r="R443" s="243"/>
      <c r="S443" s="244"/>
      <c r="T443" s="243"/>
      <c r="U443" s="244"/>
      <c r="V443" s="246"/>
      <c r="W443" s="244"/>
      <c r="X443" s="243"/>
      <c r="Y443" s="244"/>
      <c r="Z443" s="243"/>
      <c r="AA443" s="243"/>
      <c r="AB443" s="243"/>
    </row>
    <row r="444">
      <c r="A444" s="243"/>
      <c r="B444" s="244"/>
      <c r="C444" s="243"/>
      <c r="D444" s="243"/>
      <c r="E444" s="243"/>
      <c r="F444" s="243"/>
      <c r="G444" s="243"/>
      <c r="H444" s="245"/>
      <c r="I444" s="245"/>
      <c r="J444" s="243"/>
      <c r="K444" s="243"/>
      <c r="L444" s="243"/>
      <c r="M444" s="243"/>
      <c r="N444" s="243"/>
      <c r="O444" s="244"/>
      <c r="P444" s="243"/>
      <c r="Q444" s="244"/>
      <c r="R444" s="243"/>
      <c r="S444" s="244"/>
      <c r="T444" s="243"/>
      <c r="U444" s="244"/>
      <c r="V444" s="246"/>
      <c r="W444" s="244"/>
      <c r="X444" s="243"/>
      <c r="Y444" s="244"/>
      <c r="Z444" s="243"/>
      <c r="AA444" s="243"/>
      <c r="AB444" s="243"/>
    </row>
    <row r="445">
      <c r="A445" s="243"/>
      <c r="B445" s="244"/>
      <c r="C445" s="243"/>
      <c r="D445" s="243"/>
      <c r="E445" s="243"/>
      <c r="F445" s="243"/>
      <c r="G445" s="243"/>
      <c r="H445" s="245"/>
      <c r="I445" s="245"/>
      <c r="J445" s="243"/>
      <c r="K445" s="243"/>
      <c r="L445" s="243"/>
      <c r="M445" s="243"/>
      <c r="N445" s="243"/>
      <c r="O445" s="244"/>
      <c r="P445" s="243"/>
      <c r="Q445" s="244"/>
      <c r="R445" s="243"/>
      <c r="S445" s="244"/>
      <c r="T445" s="243"/>
      <c r="U445" s="244"/>
      <c r="V445" s="246"/>
      <c r="W445" s="244"/>
      <c r="X445" s="243"/>
      <c r="Y445" s="244"/>
      <c r="Z445" s="243"/>
      <c r="AA445" s="243"/>
      <c r="AB445" s="243"/>
    </row>
    <row r="446">
      <c r="A446" s="243"/>
      <c r="B446" s="244"/>
      <c r="C446" s="243"/>
      <c r="D446" s="243"/>
      <c r="E446" s="243"/>
      <c r="F446" s="243"/>
      <c r="G446" s="243"/>
      <c r="H446" s="245"/>
      <c r="I446" s="245"/>
      <c r="J446" s="243"/>
      <c r="K446" s="243"/>
      <c r="L446" s="243"/>
      <c r="M446" s="243"/>
      <c r="N446" s="243"/>
      <c r="O446" s="244"/>
      <c r="P446" s="243"/>
      <c r="Q446" s="244"/>
      <c r="R446" s="243"/>
      <c r="S446" s="244"/>
      <c r="T446" s="243"/>
      <c r="U446" s="244"/>
      <c r="V446" s="246"/>
      <c r="W446" s="244"/>
      <c r="X446" s="243"/>
      <c r="Y446" s="244"/>
      <c r="Z446" s="243"/>
      <c r="AA446" s="243"/>
      <c r="AB446" s="243"/>
    </row>
    <row r="447">
      <c r="A447" s="243"/>
      <c r="B447" s="244"/>
      <c r="C447" s="243"/>
      <c r="D447" s="243"/>
      <c r="E447" s="243"/>
      <c r="F447" s="243"/>
      <c r="G447" s="243"/>
      <c r="H447" s="245"/>
      <c r="I447" s="245"/>
      <c r="J447" s="243"/>
      <c r="K447" s="243"/>
      <c r="L447" s="243"/>
      <c r="M447" s="243"/>
      <c r="N447" s="243"/>
      <c r="O447" s="244"/>
      <c r="P447" s="243"/>
      <c r="Q447" s="244"/>
      <c r="R447" s="243"/>
      <c r="S447" s="244"/>
      <c r="T447" s="243"/>
      <c r="U447" s="244"/>
      <c r="V447" s="246"/>
      <c r="W447" s="244"/>
      <c r="X447" s="243"/>
      <c r="Y447" s="244"/>
      <c r="Z447" s="243"/>
      <c r="AA447" s="243"/>
      <c r="AB447" s="243"/>
    </row>
    <row r="448">
      <c r="A448" s="243"/>
      <c r="B448" s="244"/>
      <c r="C448" s="243"/>
      <c r="D448" s="243"/>
      <c r="E448" s="243"/>
      <c r="F448" s="243"/>
      <c r="G448" s="243"/>
      <c r="H448" s="245"/>
      <c r="I448" s="245"/>
      <c r="J448" s="243"/>
      <c r="K448" s="243"/>
      <c r="L448" s="243"/>
      <c r="M448" s="243"/>
      <c r="N448" s="243"/>
      <c r="O448" s="244"/>
      <c r="P448" s="243"/>
      <c r="Q448" s="244"/>
      <c r="R448" s="243"/>
      <c r="S448" s="244"/>
      <c r="T448" s="243"/>
      <c r="U448" s="244"/>
      <c r="V448" s="246"/>
      <c r="W448" s="244"/>
      <c r="X448" s="243"/>
      <c r="Y448" s="244"/>
      <c r="Z448" s="243"/>
      <c r="AA448" s="243"/>
      <c r="AB448" s="243"/>
    </row>
    <row r="449">
      <c r="A449" s="243"/>
      <c r="B449" s="244"/>
      <c r="C449" s="243"/>
      <c r="D449" s="243"/>
      <c r="E449" s="243"/>
      <c r="F449" s="243"/>
      <c r="G449" s="243"/>
      <c r="H449" s="245"/>
      <c r="I449" s="245"/>
      <c r="J449" s="243"/>
      <c r="K449" s="243"/>
      <c r="L449" s="243"/>
      <c r="M449" s="243"/>
      <c r="N449" s="243"/>
      <c r="O449" s="244"/>
      <c r="P449" s="243"/>
      <c r="Q449" s="244"/>
      <c r="R449" s="243"/>
      <c r="S449" s="244"/>
      <c r="T449" s="243"/>
      <c r="U449" s="244"/>
      <c r="V449" s="246"/>
      <c r="W449" s="244"/>
      <c r="X449" s="243"/>
      <c r="Y449" s="244"/>
      <c r="Z449" s="243"/>
      <c r="AA449" s="243"/>
      <c r="AB449" s="243"/>
    </row>
    <row r="450">
      <c r="A450" s="243"/>
      <c r="B450" s="244"/>
      <c r="C450" s="243"/>
      <c r="D450" s="243"/>
      <c r="E450" s="243"/>
      <c r="F450" s="243"/>
      <c r="G450" s="243"/>
      <c r="H450" s="245"/>
      <c r="I450" s="245"/>
      <c r="J450" s="243"/>
      <c r="K450" s="243"/>
      <c r="L450" s="243"/>
      <c r="M450" s="243"/>
      <c r="N450" s="243"/>
      <c r="O450" s="244"/>
      <c r="P450" s="243"/>
      <c r="Q450" s="244"/>
      <c r="R450" s="243"/>
      <c r="S450" s="244"/>
      <c r="T450" s="243"/>
      <c r="U450" s="244"/>
      <c r="V450" s="246"/>
      <c r="W450" s="244"/>
      <c r="X450" s="243"/>
      <c r="Y450" s="244"/>
      <c r="Z450" s="243"/>
      <c r="AA450" s="243"/>
      <c r="AB450" s="243"/>
    </row>
    <row r="451">
      <c r="A451" s="243"/>
      <c r="B451" s="244"/>
      <c r="C451" s="243"/>
      <c r="D451" s="243"/>
      <c r="E451" s="243"/>
      <c r="F451" s="243"/>
      <c r="G451" s="243"/>
      <c r="H451" s="245"/>
      <c r="I451" s="245"/>
      <c r="J451" s="243"/>
      <c r="K451" s="243"/>
      <c r="L451" s="243"/>
      <c r="M451" s="243"/>
      <c r="N451" s="243"/>
      <c r="O451" s="244"/>
      <c r="P451" s="243"/>
      <c r="Q451" s="244"/>
      <c r="R451" s="243"/>
      <c r="S451" s="244"/>
      <c r="T451" s="243"/>
      <c r="U451" s="244"/>
      <c r="V451" s="246"/>
      <c r="W451" s="244"/>
      <c r="X451" s="243"/>
      <c r="Y451" s="244"/>
      <c r="Z451" s="243"/>
      <c r="AA451" s="243"/>
      <c r="AB451" s="243"/>
    </row>
    <row r="452">
      <c r="A452" s="243"/>
      <c r="B452" s="244"/>
      <c r="C452" s="243"/>
      <c r="D452" s="243"/>
      <c r="E452" s="243"/>
      <c r="F452" s="243"/>
      <c r="G452" s="243"/>
      <c r="H452" s="245"/>
      <c r="I452" s="245"/>
      <c r="J452" s="243"/>
      <c r="K452" s="243"/>
      <c r="L452" s="243"/>
      <c r="M452" s="243"/>
      <c r="N452" s="243"/>
      <c r="O452" s="244"/>
      <c r="P452" s="243"/>
      <c r="Q452" s="244"/>
      <c r="R452" s="243"/>
      <c r="S452" s="244"/>
      <c r="T452" s="243"/>
      <c r="U452" s="244"/>
      <c r="V452" s="246"/>
      <c r="W452" s="244"/>
      <c r="X452" s="243"/>
      <c r="Y452" s="244"/>
      <c r="Z452" s="243"/>
      <c r="AA452" s="243"/>
      <c r="AB452" s="243"/>
    </row>
    <row r="453">
      <c r="A453" s="243"/>
      <c r="B453" s="244"/>
      <c r="C453" s="243"/>
      <c r="D453" s="243"/>
      <c r="E453" s="243"/>
      <c r="F453" s="243"/>
      <c r="G453" s="243"/>
      <c r="H453" s="245"/>
      <c r="I453" s="245"/>
      <c r="J453" s="243"/>
      <c r="K453" s="243"/>
      <c r="L453" s="243"/>
      <c r="M453" s="243"/>
      <c r="N453" s="243"/>
      <c r="O453" s="244"/>
      <c r="P453" s="243"/>
      <c r="Q453" s="244"/>
      <c r="R453" s="243"/>
      <c r="S453" s="244"/>
      <c r="T453" s="243"/>
      <c r="U453" s="244"/>
      <c r="V453" s="246"/>
      <c r="W453" s="244"/>
      <c r="X453" s="243"/>
      <c r="Y453" s="244"/>
      <c r="Z453" s="243"/>
      <c r="AA453" s="243"/>
      <c r="AB453" s="243"/>
    </row>
    <row r="454">
      <c r="A454" s="243"/>
      <c r="B454" s="244"/>
      <c r="C454" s="243"/>
      <c r="D454" s="243"/>
      <c r="E454" s="243"/>
      <c r="F454" s="243"/>
      <c r="G454" s="243"/>
      <c r="H454" s="245"/>
      <c r="I454" s="245"/>
      <c r="J454" s="243"/>
      <c r="K454" s="243"/>
      <c r="L454" s="243"/>
      <c r="M454" s="243"/>
      <c r="N454" s="243"/>
      <c r="O454" s="244"/>
      <c r="P454" s="243"/>
      <c r="Q454" s="244"/>
      <c r="R454" s="243"/>
      <c r="S454" s="244"/>
      <c r="T454" s="243"/>
      <c r="U454" s="244"/>
      <c r="V454" s="246"/>
      <c r="W454" s="244"/>
      <c r="X454" s="243"/>
      <c r="Y454" s="244"/>
      <c r="Z454" s="243"/>
      <c r="AA454" s="243"/>
      <c r="AB454" s="243"/>
    </row>
    <row r="455">
      <c r="A455" s="243"/>
      <c r="B455" s="244"/>
      <c r="C455" s="243"/>
      <c r="D455" s="243"/>
      <c r="E455" s="243"/>
      <c r="F455" s="243"/>
      <c r="G455" s="243"/>
      <c r="H455" s="245"/>
      <c r="I455" s="245"/>
      <c r="J455" s="243"/>
      <c r="K455" s="243"/>
      <c r="L455" s="243"/>
      <c r="M455" s="243"/>
      <c r="N455" s="243"/>
      <c r="O455" s="244"/>
      <c r="P455" s="243"/>
      <c r="Q455" s="244"/>
      <c r="R455" s="243"/>
      <c r="S455" s="244"/>
      <c r="T455" s="243"/>
      <c r="U455" s="244"/>
      <c r="V455" s="246"/>
      <c r="W455" s="244"/>
      <c r="X455" s="243"/>
      <c r="Y455" s="244"/>
      <c r="Z455" s="243"/>
      <c r="AA455" s="243"/>
      <c r="AB455" s="243"/>
    </row>
    <row r="456">
      <c r="A456" s="243"/>
      <c r="B456" s="244"/>
      <c r="C456" s="243"/>
      <c r="D456" s="243"/>
      <c r="E456" s="243"/>
      <c r="F456" s="243"/>
      <c r="G456" s="243"/>
      <c r="H456" s="245"/>
      <c r="I456" s="245"/>
      <c r="J456" s="243"/>
      <c r="K456" s="243"/>
      <c r="L456" s="243"/>
      <c r="M456" s="243"/>
      <c r="N456" s="243"/>
      <c r="O456" s="244"/>
      <c r="P456" s="243"/>
      <c r="Q456" s="244"/>
      <c r="R456" s="243"/>
      <c r="S456" s="244"/>
      <c r="T456" s="243"/>
      <c r="U456" s="244"/>
      <c r="V456" s="246"/>
      <c r="W456" s="244"/>
      <c r="X456" s="243"/>
      <c r="Y456" s="244"/>
      <c r="Z456" s="243"/>
      <c r="AA456" s="243"/>
      <c r="AB456" s="243"/>
    </row>
    <row r="457">
      <c r="A457" s="243"/>
      <c r="B457" s="244"/>
      <c r="C457" s="243"/>
      <c r="D457" s="243"/>
      <c r="E457" s="243"/>
      <c r="F457" s="243"/>
      <c r="G457" s="243"/>
      <c r="H457" s="245"/>
      <c r="I457" s="245"/>
      <c r="J457" s="243"/>
      <c r="K457" s="243"/>
      <c r="L457" s="243"/>
      <c r="M457" s="243"/>
      <c r="N457" s="243"/>
      <c r="O457" s="244"/>
      <c r="P457" s="243"/>
      <c r="Q457" s="244"/>
      <c r="R457" s="243"/>
      <c r="S457" s="244"/>
      <c r="T457" s="243"/>
      <c r="U457" s="244"/>
      <c r="V457" s="246"/>
      <c r="W457" s="244"/>
      <c r="X457" s="243"/>
      <c r="Y457" s="244"/>
      <c r="Z457" s="243"/>
      <c r="AA457" s="243"/>
      <c r="AB457" s="243"/>
    </row>
    <row r="458">
      <c r="A458" s="243"/>
      <c r="B458" s="244"/>
      <c r="C458" s="243"/>
      <c r="D458" s="243"/>
      <c r="E458" s="243"/>
      <c r="F458" s="243"/>
      <c r="G458" s="243"/>
      <c r="H458" s="245"/>
      <c r="I458" s="245"/>
      <c r="J458" s="243"/>
      <c r="K458" s="243"/>
      <c r="L458" s="243"/>
      <c r="M458" s="243"/>
      <c r="N458" s="243"/>
      <c r="O458" s="244"/>
      <c r="P458" s="243"/>
      <c r="Q458" s="244"/>
      <c r="R458" s="243"/>
      <c r="S458" s="244"/>
      <c r="T458" s="243"/>
      <c r="U458" s="244"/>
      <c r="V458" s="246"/>
      <c r="W458" s="244"/>
      <c r="X458" s="243"/>
      <c r="Y458" s="244"/>
      <c r="Z458" s="243"/>
      <c r="AA458" s="243"/>
      <c r="AB458" s="243"/>
    </row>
    <row r="459">
      <c r="A459" s="243"/>
      <c r="B459" s="244"/>
      <c r="C459" s="243"/>
      <c r="D459" s="243"/>
      <c r="E459" s="243"/>
      <c r="F459" s="243"/>
      <c r="G459" s="243"/>
      <c r="H459" s="245"/>
      <c r="I459" s="245"/>
      <c r="J459" s="243"/>
      <c r="K459" s="243"/>
      <c r="L459" s="243"/>
      <c r="M459" s="243"/>
      <c r="N459" s="243"/>
      <c r="O459" s="244"/>
      <c r="P459" s="243"/>
      <c r="Q459" s="244"/>
      <c r="R459" s="243"/>
      <c r="S459" s="244"/>
      <c r="T459" s="243"/>
      <c r="U459" s="244"/>
      <c r="V459" s="246"/>
      <c r="W459" s="244"/>
      <c r="X459" s="243"/>
      <c r="Y459" s="244"/>
      <c r="Z459" s="243"/>
      <c r="AA459" s="243"/>
      <c r="AB459" s="243"/>
    </row>
    <row r="460">
      <c r="A460" s="243"/>
      <c r="B460" s="244"/>
      <c r="C460" s="243"/>
      <c r="D460" s="243"/>
      <c r="E460" s="243"/>
      <c r="F460" s="243"/>
      <c r="G460" s="243"/>
      <c r="H460" s="245"/>
      <c r="I460" s="245"/>
      <c r="J460" s="243"/>
      <c r="K460" s="243"/>
      <c r="L460" s="243"/>
      <c r="M460" s="243"/>
      <c r="N460" s="243"/>
      <c r="O460" s="244"/>
      <c r="P460" s="243"/>
      <c r="Q460" s="244"/>
      <c r="R460" s="243"/>
      <c r="S460" s="244"/>
      <c r="T460" s="243"/>
      <c r="U460" s="244"/>
      <c r="V460" s="246"/>
      <c r="W460" s="244"/>
      <c r="X460" s="243"/>
      <c r="Y460" s="244"/>
      <c r="Z460" s="243"/>
      <c r="AA460" s="243"/>
      <c r="AB460" s="243"/>
    </row>
    <row r="461">
      <c r="A461" s="243"/>
      <c r="B461" s="244"/>
      <c r="C461" s="243"/>
      <c r="D461" s="243"/>
      <c r="E461" s="243"/>
      <c r="F461" s="243"/>
      <c r="G461" s="243"/>
      <c r="H461" s="245"/>
      <c r="I461" s="245"/>
      <c r="J461" s="243"/>
      <c r="K461" s="243"/>
      <c r="L461" s="243"/>
      <c r="M461" s="243"/>
      <c r="N461" s="243"/>
      <c r="O461" s="244"/>
      <c r="P461" s="243"/>
      <c r="Q461" s="244"/>
      <c r="R461" s="243"/>
      <c r="S461" s="244"/>
      <c r="T461" s="243"/>
      <c r="U461" s="244"/>
      <c r="V461" s="246"/>
      <c r="W461" s="244"/>
      <c r="X461" s="243"/>
      <c r="Y461" s="244"/>
      <c r="Z461" s="243"/>
      <c r="AA461" s="243"/>
      <c r="AB461" s="243"/>
    </row>
    <row r="462">
      <c r="A462" s="243"/>
      <c r="B462" s="244"/>
      <c r="C462" s="243"/>
      <c r="D462" s="243"/>
      <c r="E462" s="243"/>
      <c r="F462" s="243"/>
      <c r="G462" s="243"/>
      <c r="H462" s="245"/>
      <c r="I462" s="245"/>
      <c r="J462" s="243"/>
      <c r="K462" s="243"/>
      <c r="L462" s="243"/>
      <c r="M462" s="243"/>
      <c r="N462" s="243"/>
      <c r="O462" s="244"/>
      <c r="P462" s="243"/>
      <c r="Q462" s="244"/>
      <c r="R462" s="243"/>
      <c r="S462" s="244"/>
      <c r="T462" s="243"/>
      <c r="U462" s="244"/>
      <c r="V462" s="246"/>
      <c r="W462" s="244"/>
      <c r="X462" s="243"/>
      <c r="Y462" s="244"/>
      <c r="Z462" s="243"/>
      <c r="AA462" s="243"/>
      <c r="AB462" s="243"/>
    </row>
    <row r="463">
      <c r="A463" s="243"/>
      <c r="B463" s="244"/>
      <c r="C463" s="243"/>
      <c r="D463" s="243"/>
      <c r="E463" s="243"/>
      <c r="F463" s="243"/>
      <c r="G463" s="243"/>
      <c r="H463" s="245"/>
      <c r="I463" s="245"/>
      <c r="J463" s="243"/>
      <c r="K463" s="243"/>
      <c r="L463" s="243"/>
      <c r="M463" s="243"/>
      <c r="N463" s="243"/>
      <c r="O463" s="244"/>
      <c r="P463" s="243"/>
      <c r="Q463" s="244"/>
      <c r="R463" s="243"/>
      <c r="S463" s="244"/>
      <c r="T463" s="243"/>
      <c r="U463" s="244"/>
      <c r="V463" s="246"/>
      <c r="W463" s="244"/>
      <c r="X463" s="243"/>
      <c r="Y463" s="244"/>
      <c r="Z463" s="243"/>
      <c r="AA463" s="243"/>
      <c r="AB463" s="243"/>
    </row>
    <row r="464">
      <c r="A464" s="243"/>
      <c r="B464" s="244"/>
      <c r="C464" s="243"/>
      <c r="D464" s="243"/>
      <c r="E464" s="243"/>
      <c r="F464" s="243"/>
      <c r="G464" s="243"/>
      <c r="H464" s="245"/>
      <c r="I464" s="245"/>
      <c r="J464" s="243"/>
      <c r="K464" s="243"/>
      <c r="L464" s="243"/>
      <c r="M464" s="243"/>
      <c r="N464" s="243"/>
      <c r="O464" s="244"/>
      <c r="P464" s="243"/>
      <c r="Q464" s="244"/>
      <c r="R464" s="243"/>
      <c r="S464" s="244"/>
      <c r="T464" s="243"/>
      <c r="U464" s="244"/>
      <c r="V464" s="246"/>
      <c r="W464" s="244"/>
      <c r="X464" s="243"/>
      <c r="Y464" s="244"/>
      <c r="Z464" s="243"/>
      <c r="AA464" s="243"/>
      <c r="AB464" s="243"/>
    </row>
    <row r="465">
      <c r="A465" s="243"/>
      <c r="B465" s="244"/>
      <c r="C465" s="243"/>
      <c r="D465" s="243"/>
      <c r="E465" s="243"/>
      <c r="F465" s="243"/>
      <c r="G465" s="243"/>
      <c r="H465" s="245"/>
      <c r="I465" s="245"/>
      <c r="J465" s="243"/>
      <c r="K465" s="243"/>
      <c r="L465" s="243"/>
      <c r="M465" s="243"/>
      <c r="N465" s="243"/>
      <c r="O465" s="244"/>
      <c r="P465" s="243"/>
      <c r="Q465" s="244"/>
      <c r="R465" s="243"/>
      <c r="S465" s="244"/>
      <c r="T465" s="243"/>
      <c r="U465" s="244"/>
      <c r="V465" s="246"/>
      <c r="W465" s="244"/>
      <c r="X465" s="243"/>
      <c r="Y465" s="244"/>
      <c r="Z465" s="243"/>
      <c r="AA465" s="243"/>
      <c r="AB465" s="243"/>
    </row>
    <row r="466">
      <c r="A466" s="243"/>
      <c r="B466" s="244"/>
      <c r="C466" s="243"/>
      <c r="D466" s="243"/>
      <c r="E466" s="243"/>
      <c r="F466" s="243"/>
      <c r="G466" s="243"/>
      <c r="H466" s="245"/>
      <c r="I466" s="245"/>
      <c r="J466" s="243"/>
      <c r="K466" s="243"/>
      <c r="L466" s="243"/>
      <c r="M466" s="243"/>
      <c r="N466" s="243"/>
      <c r="O466" s="244"/>
      <c r="P466" s="243"/>
      <c r="Q466" s="244"/>
      <c r="R466" s="243"/>
      <c r="S466" s="244"/>
      <c r="T466" s="243"/>
      <c r="U466" s="244"/>
      <c r="V466" s="246"/>
      <c r="W466" s="244"/>
      <c r="X466" s="243"/>
      <c r="Y466" s="244"/>
      <c r="Z466" s="243"/>
      <c r="AA466" s="243"/>
      <c r="AB466" s="243"/>
    </row>
    <row r="467">
      <c r="A467" s="243"/>
      <c r="B467" s="244"/>
      <c r="C467" s="243"/>
      <c r="D467" s="243"/>
      <c r="E467" s="243"/>
      <c r="F467" s="243"/>
      <c r="G467" s="243"/>
      <c r="H467" s="245"/>
      <c r="I467" s="245"/>
      <c r="J467" s="243"/>
      <c r="K467" s="243"/>
      <c r="L467" s="243"/>
      <c r="M467" s="243"/>
      <c r="N467" s="243"/>
      <c r="O467" s="244"/>
      <c r="P467" s="243"/>
      <c r="Q467" s="244"/>
      <c r="R467" s="243"/>
      <c r="S467" s="244"/>
      <c r="T467" s="243"/>
      <c r="U467" s="244"/>
      <c r="V467" s="246"/>
      <c r="W467" s="244"/>
      <c r="X467" s="243"/>
      <c r="Y467" s="244"/>
      <c r="Z467" s="243"/>
      <c r="AA467" s="243"/>
      <c r="AB467" s="243"/>
    </row>
    <row r="468">
      <c r="A468" s="243"/>
      <c r="B468" s="244"/>
      <c r="C468" s="243"/>
      <c r="D468" s="243"/>
      <c r="E468" s="243"/>
      <c r="F468" s="243"/>
      <c r="G468" s="243"/>
      <c r="H468" s="245"/>
      <c r="I468" s="245"/>
      <c r="J468" s="243"/>
      <c r="K468" s="243"/>
      <c r="L468" s="243"/>
      <c r="M468" s="243"/>
      <c r="N468" s="243"/>
      <c r="O468" s="244"/>
      <c r="P468" s="243"/>
      <c r="Q468" s="244"/>
      <c r="R468" s="243"/>
      <c r="S468" s="244"/>
      <c r="T468" s="243"/>
      <c r="U468" s="244"/>
      <c r="V468" s="246"/>
      <c r="W468" s="244"/>
      <c r="X468" s="243"/>
      <c r="Y468" s="244"/>
      <c r="Z468" s="243"/>
      <c r="AA468" s="243"/>
      <c r="AB468" s="243"/>
    </row>
    <row r="469">
      <c r="A469" s="243"/>
      <c r="B469" s="244"/>
      <c r="C469" s="243"/>
      <c r="D469" s="243"/>
      <c r="E469" s="243"/>
      <c r="F469" s="243"/>
      <c r="G469" s="243"/>
      <c r="H469" s="245"/>
      <c r="I469" s="245"/>
      <c r="J469" s="243"/>
      <c r="K469" s="243"/>
      <c r="L469" s="243"/>
      <c r="M469" s="243"/>
      <c r="N469" s="243"/>
      <c r="O469" s="244"/>
      <c r="P469" s="243"/>
      <c r="Q469" s="244"/>
      <c r="R469" s="243"/>
      <c r="S469" s="244"/>
      <c r="T469" s="243"/>
      <c r="U469" s="244"/>
      <c r="V469" s="246"/>
      <c r="W469" s="244"/>
      <c r="X469" s="243"/>
      <c r="Y469" s="244"/>
      <c r="Z469" s="243"/>
      <c r="AA469" s="243"/>
      <c r="AB469" s="243"/>
    </row>
    <row r="470">
      <c r="A470" s="243"/>
      <c r="B470" s="244"/>
      <c r="C470" s="243"/>
      <c r="D470" s="243"/>
      <c r="E470" s="243"/>
      <c r="F470" s="243"/>
      <c r="G470" s="243"/>
      <c r="H470" s="245"/>
      <c r="I470" s="245"/>
      <c r="J470" s="243"/>
      <c r="K470" s="243"/>
      <c r="L470" s="243"/>
      <c r="M470" s="243"/>
      <c r="N470" s="243"/>
      <c r="O470" s="244"/>
      <c r="P470" s="243"/>
      <c r="Q470" s="244"/>
      <c r="R470" s="243"/>
      <c r="S470" s="244"/>
      <c r="T470" s="243"/>
      <c r="U470" s="244"/>
      <c r="V470" s="246"/>
      <c r="W470" s="244"/>
      <c r="X470" s="243"/>
      <c r="Y470" s="244"/>
      <c r="Z470" s="243"/>
      <c r="AA470" s="243"/>
      <c r="AB470" s="243"/>
    </row>
    <row r="471">
      <c r="A471" s="243"/>
      <c r="B471" s="244"/>
      <c r="C471" s="243"/>
      <c r="D471" s="243"/>
      <c r="E471" s="243"/>
      <c r="F471" s="243"/>
      <c r="G471" s="243"/>
      <c r="H471" s="245"/>
      <c r="I471" s="245"/>
      <c r="J471" s="243"/>
      <c r="K471" s="243"/>
      <c r="L471" s="243"/>
      <c r="M471" s="243"/>
      <c r="N471" s="243"/>
      <c r="O471" s="244"/>
      <c r="P471" s="243"/>
      <c r="Q471" s="244"/>
      <c r="R471" s="243"/>
      <c r="S471" s="244"/>
      <c r="T471" s="243"/>
      <c r="U471" s="244"/>
      <c r="V471" s="246"/>
      <c r="W471" s="244"/>
      <c r="X471" s="243"/>
      <c r="Y471" s="244"/>
      <c r="Z471" s="243"/>
      <c r="AA471" s="243"/>
      <c r="AB471" s="243"/>
    </row>
    <row r="472">
      <c r="A472" s="243"/>
      <c r="B472" s="244"/>
      <c r="C472" s="243"/>
      <c r="D472" s="243"/>
      <c r="E472" s="243"/>
      <c r="F472" s="243"/>
      <c r="G472" s="243"/>
      <c r="H472" s="245"/>
      <c r="I472" s="245"/>
      <c r="J472" s="243"/>
      <c r="K472" s="243"/>
      <c r="L472" s="243"/>
      <c r="M472" s="243"/>
      <c r="N472" s="243"/>
      <c r="O472" s="244"/>
      <c r="P472" s="243"/>
      <c r="Q472" s="244"/>
      <c r="R472" s="243"/>
      <c r="S472" s="244"/>
      <c r="T472" s="243"/>
      <c r="U472" s="244"/>
      <c r="V472" s="246"/>
      <c r="W472" s="244"/>
      <c r="X472" s="243"/>
      <c r="Y472" s="244"/>
      <c r="Z472" s="243"/>
      <c r="AA472" s="243"/>
      <c r="AB472" s="243"/>
    </row>
    <row r="473">
      <c r="A473" s="243"/>
      <c r="B473" s="244"/>
      <c r="C473" s="243"/>
      <c r="D473" s="243"/>
      <c r="E473" s="243"/>
      <c r="F473" s="243"/>
      <c r="G473" s="243"/>
      <c r="H473" s="245"/>
      <c r="I473" s="245"/>
      <c r="J473" s="243"/>
      <c r="K473" s="243"/>
      <c r="L473" s="243"/>
      <c r="M473" s="243"/>
      <c r="N473" s="243"/>
      <c r="O473" s="244"/>
      <c r="P473" s="243"/>
      <c r="Q473" s="244"/>
      <c r="R473" s="243"/>
      <c r="S473" s="244"/>
      <c r="T473" s="243"/>
      <c r="U473" s="244"/>
      <c r="V473" s="246"/>
      <c r="W473" s="244"/>
      <c r="X473" s="243"/>
      <c r="Y473" s="244"/>
      <c r="Z473" s="243"/>
      <c r="AA473" s="243"/>
      <c r="AB473" s="243"/>
    </row>
    <row r="474">
      <c r="A474" s="243"/>
      <c r="B474" s="244"/>
      <c r="C474" s="243"/>
      <c r="D474" s="243"/>
      <c r="E474" s="243"/>
      <c r="F474" s="243"/>
      <c r="G474" s="243"/>
      <c r="H474" s="245"/>
      <c r="I474" s="245"/>
      <c r="J474" s="243"/>
      <c r="K474" s="243"/>
      <c r="L474" s="243"/>
      <c r="M474" s="243"/>
      <c r="N474" s="243"/>
      <c r="O474" s="244"/>
      <c r="P474" s="243"/>
      <c r="Q474" s="244"/>
      <c r="R474" s="243"/>
      <c r="S474" s="244"/>
      <c r="T474" s="243"/>
      <c r="U474" s="244"/>
      <c r="V474" s="246"/>
      <c r="W474" s="244"/>
      <c r="X474" s="243"/>
      <c r="Y474" s="244"/>
      <c r="Z474" s="243"/>
      <c r="AA474" s="243"/>
      <c r="AB474" s="243"/>
    </row>
    <row r="475">
      <c r="A475" s="243"/>
      <c r="B475" s="244"/>
      <c r="C475" s="243"/>
      <c r="D475" s="243"/>
      <c r="E475" s="243"/>
      <c r="F475" s="243"/>
      <c r="G475" s="243"/>
      <c r="H475" s="245"/>
      <c r="I475" s="245"/>
      <c r="J475" s="243"/>
      <c r="K475" s="243"/>
      <c r="L475" s="243"/>
      <c r="M475" s="243"/>
      <c r="N475" s="243"/>
      <c r="O475" s="244"/>
      <c r="P475" s="243"/>
      <c r="Q475" s="244"/>
      <c r="R475" s="243"/>
      <c r="S475" s="244"/>
      <c r="T475" s="243"/>
      <c r="U475" s="244"/>
      <c r="V475" s="246"/>
      <c r="W475" s="244"/>
      <c r="X475" s="243"/>
      <c r="Y475" s="244"/>
      <c r="Z475" s="243"/>
      <c r="AA475" s="243"/>
      <c r="AB475" s="243"/>
    </row>
    <row r="476">
      <c r="A476" s="243"/>
      <c r="B476" s="244"/>
      <c r="C476" s="243"/>
      <c r="D476" s="243"/>
      <c r="E476" s="243"/>
      <c r="F476" s="243"/>
      <c r="G476" s="243"/>
      <c r="H476" s="245"/>
      <c r="I476" s="245"/>
      <c r="J476" s="243"/>
      <c r="K476" s="243"/>
      <c r="L476" s="243"/>
      <c r="M476" s="243"/>
      <c r="N476" s="243"/>
      <c r="O476" s="244"/>
      <c r="P476" s="243"/>
      <c r="Q476" s="244"/>
      <c r="R476" s="243"/>
      <c r="S476" s="244"/>
      <c r="T476" s="243"/>
      <c r="U476" s="244"/>
      <c r="V476" s="246"/>
      <c r="W476" s="244"/>
      <c r="X476" s="243"/>
      <c r="Y476" s="244"/>
      <c r="Z476" s="243"/>
      <c r="AA476" s="243"/>
      <c r="AB476" s="243"/>
    </row>
    <row r="477">
      <c r="A477" s="243"/>
      <c r="B477" s="244"/>
      <c r="C477" s="243"/>
      <c r="D477" s="243"/>
      <c r="E477" s="243"/>
      <c r="F477" s="243"/>
      <c r="G477" s="243"/>
      <c r="H477" s="245"/>
      <c r="I477" s="245"/>
      <c r="J477" s="243"/>
      <c r="K477" s="243"/>
      <c r="L477" s="243"/>
      <c r="M477" s="243"/>
      <c r="N477" s="243"/>
      <c r="O477" s="244"/>
      <c r="P477" s="243"/>
      <c r="Q477" s="244"/>
      <c r="R477" s="243"/>
      <c r="S477" s="244"/>
      <c r="T477" s="243"/>
      <c r="U477" s="244"/>
      <c r="V477" s="246"/>
      <c r="W477" s="244"/>
      <c r="X477" s="243"/>
      <c r="Y477" s="244"/>
      <c r="Z477" s="243"/>
      <c r="AA477" s="243"/>
      <c r="AB477" s="243"/>
    </row>
    <row r="478">
      <c r="A478" s="243"/>
      <c r="B478" s="244"/>
      <c r="C478" s="243"/>
      <c r="D478" s="243"/>
      <c r="E478" s="243"/>
      <c r="F478" s="243"/>
      <c r="G478" s="243"/>
      <c r="H478" s="245"/>
      <c r="I478" s="245"/>
      <c r="J478" s="243"/>
      <c r="K478" s="243"/>
      <c r="L478" s="243"/>
      <c r="M478" s="243"/>
      <c r="N478" s="243"/>
      <c r="O478" s="244"/>
      <c r="P478" s="243"/>
      <c r="Q478" s="244"/>
      <c r="R478" s="243"/>
      <c r="S478" s="244"/>
      <c r="T478" s="243"/>
      <c r="U478" s="244"/>
      <c r="V478" s="246"/>
      <c r="W478" s="244"/>
      <c r="X478" s="243"/>
      <c r="Y478" s="244"/>
      <c r="Z478" s="243"/>
      <c r="AA478" s="243"/>
      <c r="AB478" s="243"/>
    </row>
    <row r="479">
      <c r="A479" s="243"/>
      <c r="B479" s="244"/>
      <c r="C479" s="243"/>
      <c r="D479" s="243"/>
      <c r="E479" s="243"/>
      <c r="F479" s="243"/>
      <c r="G479" s="243"/>
      <c r="H479" s="245"/>
      <c r="I479" s="245"/>
      <c r="J479" s="243"/>
      <c r="K479" s="243"/>
      <c r="L479" s="243"/>
      <c r="M479" s="243"/>
      <c r="N479" s="243"/>
      <c r="O479" s="244"/>
      <c r="P479" s="243"/>
      <c r="Q479" s="244"/>
      <c r="R479" s="243"/>
      <c r="S479" s="244"/>
      <c r="T479" s="243"/>
      <c r="U479" s="244"/>
      <c r="V479" s="246"/>
      <c r="W479" s="244"/>
      <c r="X479" s="243"/>
      <c r="Y479" s="244"/>
      <c r="Z479" s="243"/>
      <c r="AA479" s="243"/>
      <c r="AB479" s="243"/>
    </row>
    <row r="480">
      <c r="A480" s="243"/>
      <c r="B480" s="244"/>
      <c r="C480" s="243"/>
      <c r="D480" s="243"/>
      <c r="E480" s="243"/>
      <c r="F480" s="243"/>
      <c r="G480" s="243"/>
      <c r="H480" s="245"/>
      <c r="I480" s="245"/>
      <c r="J480" s="243"/>
      <c r="K480" s="243"/>
      <c r="L480" s="243"/>
      <c r="M480" s="243"/>
      <c r="N480" s="243"/>
      <c r="O480" s="244"/>
      <c r="P480" s="243"/>
      <c r="Q480" s="244"/>
      <c r="R480" s="243"/>
      <c r="S480" s="244"/>
      <c r="T480" s="243"/>
      <c r="U480" s="244"/>
      <c r="V480" s="246"/>
      <c r="W480" s="244"/>
      <c r="X480" s="243"/>
      <c r="Y480" s="244"/>
      <c r="Z480" s="243"/>
      <c r="AA480" s="243"/>
      <c r="AB480" s="243"/>
    </row>
    <row r="481">
      <c r="A481" s="243"/>
      <c r="B481" s="244"/>
      <c r="C481" s="243"/>
      <c r="D481" s="243"/>
      <c r="E481" s="243"/>
      <c r="F481" s="243"/>
      <c r="G481" s="243"/>
      <c r="H481" s="245"/>
      <c r="I481" s="245"/>
      <c r="J481" s="243"/>
      <c r="K481" s="243"/>
      <c r="L481" s="243"/>
      <c r="M481" s="243"/>
      <c r="N481" s="243"/>
      <c r="O481" s="244"/>
      <c r="P481" s="243"/>
      <c r="Q481" s="244"/>
      <c r="R481" s="243"/>
      <c r="S481" s="244"/>
      <c r="T481" s="243"/>
      <c r="U481" s="244"/>
      <c r="V481" s="246"/>
      <c r="W481" s="244"/>
      <c r="X481" s="243"/>
      <c r="Y481" s="244"/>
      <c r="Z481" s="243"/>
      <c r="AA481" s="243"/>
      <c r="AB481" s="243"/>
    </row>
    <row r="482">
      <c r="A482" s="243"/>
      <c r="B482" s="244"/>
      <c r="C482" s="243"/>
      <c r="D482" s="243"/>
      <c r="E482" s="243"/>
      <c r="F482" s="243"/>
      <c r="G482" s="243"/>
      <c r="H482" s="245"/>
      <c r="I482" s="245"/>
      <c r="J482" s="243"/>
      <c r="K482" s="243"/>
      <c r="L482" s="243"/>
      <c r="M482" s="243"/>
      <c r="N482" s="243"/>
      <c r="O482" s="244"/>
      <c r="P482" s="243"/>
      <c r="Q482" s="244"/>
      <c r="R482" s="243"/>
      <c r="S482" s="244"/>
      <c r="T482" s="243"/>
      <c r="U482" s="244"/>
      <c r="V482" s="246"/>
      <c r="W482" s="244"/>
      <c r="X482" s="243"/>
      <c r="Y482" s="244"/>
      <c r="Z482" s="243"/>
      <c r="AA482" s="243"/>
      <c r="AB482" s="243"/>
    </row>
    <row r="483">
      <c r="A483" s="243"/>
      <c r="B483" s="244"/>
      <c r="C483" s="243"/>
      <c r="D483" s="243"/>
      <c r="E483" s="243"/>
      <c r="F483" s="243"/>
      <c r="G483" s="243"/>
      <c r="H483" s="245"/>
      <c r="I483" s="245"/>
      <c r="J483" s="243"/>
      <c r="K483" s="243"/>
      <c r="L483" s="243"/>
      <c r="M483" s="243"/>
      <c r="N483" s="243"/>
      <c r="O483" s="244"/>
      <c r="P483" s="243"/>
      <c r="Q483" s="244"/>
      <c r="R483" s="243"/>
      <c r="S483" s="244"/>
      <c r="T483" s="243"/>
      <c r="U483" s="244"/>
      <c r="V483" s="246"/>
      <c r="W483" s="244"/>
      <c r="X483" s="243"/>
      <c r="Y483" s="244"/>
      <c r="Z483" s="243"/>
      <c r="AA483" s="243"/>
      <c r="AB483" s="243"/>
    </row>
    <row r="484">
      <c r="A484" s="243"/>
      <c r="B484" s="244"/>
      <c r="C484" s="243"/>
      <c r="D484" s="243"/>
      <c r="E484" s="243"/>
      <c r="F484" s="243"/>
      <c r="G484" s="243"/>
      <c r="H484" s="245"/>
      <c r="I484" s="245"/>
      <c r="J484" s="243"/>
      <c r="K484" s="243"/>
      <c r="L484" s="243"/>
      <c r="M484" s="243"/>
      <c r="N484" s="243"/>
      <c r="O484" s="244"/>
      <c r="P484" s="243"/>
      <c r="Q484" s="244"/>
      <c r="R484" s="243"/>
      <c r="S484" s="244"/>
      <c r="T484" s="243"/>
      <c r="U484" s="244"/>
      <c r="V484" s="246"/>
      <c r="W484" s="244"/>
      <c r="X484" s="243"/>
      <c r="Y484" s="244"/>
      <c r="Z484" s="243"/>
      <c r="AA484" s="243"/>
      <c r="AB484" s="243"/>
    </row>
    <row r="485">
      <c r="A485" s="243"/>
      <c r="B485" s="244"/>
      <c r="C485" s="243"/>
      <c r="D485" s="243"/>
      <c r="E485" s="243"/>
      <c r="F485" s="243"/>
      <c r="G485" s="243"/>
      <c r="H485" s="245"/>
      <c r="I485" s="245"/>
      <c r="J485" s="243"/>
      <c r="K485" s="243"/>
      <c r="L485" s="243"/>
      <c r="M485" s="243"/>
      <c r="N485" s="243"/>
      <c r="O485" s="244"/>
      <c r="P485" s="243"/>
      <c r="Q485" s="244"/>
      <c r="R485" s="243"/>
      <c r="S485" s="244"/>
      <c r="T485" s="243"/>
      <c r="U485" s="244"/>
      <c r="V485" s="246"/>
      <c r="W485" s="244"/>
      <c r="X485" s="243"/>
      <c r="Y485" s="244"/>
      <c r="Z485" s="243"/>
      <c r="AA485" s="243"/>
      <c r="AB485" s="243"/>
    </row>
    <row r="486">
      <c r="A486" s="243"/>
      <c r="B486" s="244"/>
      <c r="C486" s="243"/>
      <c r="D486" s="243"/>
      <c r="E486" s="243"/>
      <c r="F486" s="243"/>
      <c r="G486" s="243"/>
      <c r="H486" s="245"/>
      <c r="I486" s="245"/>
      <c r="J486" s="243"/>
      <c r="K486" s="243"/>
      <c r="L486" s="243"/>
      <c r="M486" s="243"/>
      <c r="N486" s="243"/>
      <c r="O486" s="244"/>
      <c r="P486" s="243"/>
      <c r="Q486" s="244"/>
      <c r="R486" s="243"/>
      <c r="S486" s="244"/>
      <c r="T486" s="243"/>
      <c r="U486" s="244"/>
      <c r="V486" s="246"/>
      <c r="W486" s="244"/>
      <c r="X486" s="243"/>
      <c r="Y486" s="244"/>
      <c r="Z486" s="243"/>
      <c r="AA486" s="243"/>
      <c r="AB486" s="243"/>
    </row>
    <row r="487">
      <c r="A487" s="243"/>
      <c r="B487" s="244"/>
      <c r="C487" s="243"/>
      <c r="D487" s="243"/>
      <c r="E487" s="243"/>
      <c r="F487" s="243"/>
      <c r="G487" s="243"/>
      <c r="H487" s="245"/>
      <c r="I487" s="245"/>
      <c r="J487" s="243"/>
      <c r="K487" s="243"/>
      <c r="L487" s="243"/>
      <c r="M487" s="243"/>
      <c r="N487" s="243"/>
      <c r="O487" s="244"/>
      <c r="P487" s="243"/>
      <c r="Q487" s="244"/>
      <c r="R487" s="243"/>
      <c r="S487" s="244"/>
      <c r="T487" s="243"/>
      <c r="U487" s="244"/>
      <c r="V487" s="246"/>
      <c r="W487" s="244"/>
      <c r="X487" s="243"/>
      <c r="Y487" s="244"/>
      <c r="Z487" s="243"/>
      <c r="AA487" s="243"/>
      <c r="AB487" s="243"/>
    </row>
    <row r="488">
      <c r="A488" s="243"/>
      <c r="B488" s="244"/>
      <c r="C488" s="243"/>
      <c r="D488" s="243"/>
      <c r="E488" s="243"/>
      <c r="F488" s="243"/>
      <c r="G488" s="243"/>
      <c r="H488" s="245"/>
      <c r="I488" s="245"/>
      <c r="J488" s="243"/>
      <c r="K488" s="243"/>
      <c r="L488" s="243"/>
      <c r="M488" s="243"/>
      <c r="N488" s="243"/>
      <c r="O488" s="244"/>
      <c r="P488" s="243"/>
      <c r="Q488" s="244"/>
      <c r="R488" s="243"/>
      <c r="S488" s="244"/>
      <c r="T488" s="243"/>
      <c r="U488" s="244"/>
      <c r="V488" s="246"/>
      <c r="W488" s="244"/>
      <c r="X488" s="243"/>
      <c r="Y488" s="244"/>
      <c r="Z488" s="243"/>
      <c r="AA488" s="243"/>
      <c r="AB488" s="243"/>
    </row>
    <row r="489">
      <c r="A489" s="243"/>
      <c r="B489" s="244"/>
      <c r="C489" s="243"/>
      <c r="D489" s="243"/>
      <c r="E489" s="243"/>
      <c r="F489" s="243"/>
      <c r="G489" s="243"/>
      <c r="H489" s="245"/>
      <c r="I489" s="245"/>
      <c r="J489" s="243"/>
      <c r="K489" s="243"/>
      <c r="L489" s="243"/>
      <c r="M489" s="243"/>
      <c r="N489" s="243"/>
      <c r="O489" s="244"/>
      <c r="P489" s="243"/>
      <c r="Q489" s="244"/>
      <c r="R489" s="243"/>
      <c r="S489" s="244"/>
      <c r="T489" s="243"/>
      <c r="U489" s="244"/>
      <c r="V489" s="246"/>
      <c r="W489" s="244"/>
      <c r="X489" s="243"/>
      <c r="Y489" s="244"/>
      <c r="Z489" s="243"/>
      <c r="AA489" s="243"/>
      <c r="AB489" s="243"/>
    </row>
    <row r="490">
      <c r="A490" s="243"/>
      <c r="B490" s="244"/>
      <c r="C490" s="243"/>
      <c r="D490" s="243"/>
      <c r="E490" s="243"/>
      <c r="F490" s="243"/>
      <c r="G490" s="243"/>
      <c r="H490" s="245"/>
      <c r="I490" s="245"/>
      <c r="J490" s="243"/>
      <c r="K490" s="243"/>
      <c r="L490" s="243"/>
      <c r="M490" s="243"/>
      <c r="N490" s="243"/>
      <c r="O490" s="244"/>
      <c r="P490" s="243"/>
      <c r="Q490" s="244"/>
      <c r="R490" s="243"/>
      <c r="S490" s="244"/>
      <c r="T490" s="243"/>
      <c r="U490" s="244"/>
      <c r="V490" s="246"/>
      <c r="W490" s="244"/>
      <c r="X490" s="243"/>
      <c r="Y490" s="244"/>
      <c r="Z490" s="243"/>
      <c r="AA490" s="243"/>
      <c r="AB490" s="243"/>
    </row>
    <row r="491">
      <c r="A491" s="243"/>
      <c r="B491" s="244"/>
      <c r="C491" s="243"/>
      <c r="D491" s="243"/>
      <c r="E491" s="243"/>
      <c r="F491" s="243"/>
      <c r="G491" s="243"/>
      <c r="H491" s="245"/>
      <c r="I491" s="245"/>
      <c r="J491" s="243"/>
      <c r="K491" s="243"/>
      <c r="L491" s="243"/>
      <c r="M491" s="243"/>
      <c r="N491" s="243"/>
      <c r="O491" s="244"/>
      <c r="P491" s="243"/>
      <c r="Q491" s="244"/>
      <c r="R491" s="243"/>
      <c r="S491" s="244"/>
      <c r="T491" s="243"/>
      <c r="U491" s="244"/>
      <c r="V491" s="246"/>
      <c r="W491" s="244"/>
      <c r="X491" s="243"/>
      <c r="Y491" s="244"/>
      <c r="Z491" s="243"/>
      <c r="AA491" s="243"/>
      <c r="AB491" s="243"/>
    </row>
    <row r="492">
      <c r="A492" s="243"/>
      <c r="B492" s="244"/>
      <c r="C492" s="243"/>
      <c r="D492" s="243"/>
      <c r="E492" s="243"/>
      <c r="F492" s="243"/>
      <c r="G492" s="243"/>
      <c r="H492" s="245"/>
      <c r="I492" s="245"/>
      <c r="J492" s="243"/>
      <c r="K492" s="243"/>
      <c r="L492" s="243"/>
      <c r="M492" s="243"/>
      <c r="N492" s="243"/>
      <c r="O492" s="244"/>
      <c r="P492" s="243"/>
      <c r="Q492" s="244"/>
      <c r="R492" s="243"/>
      <c r="S492" s="244"/>
      <c r="T492" s="243"/>
      <c r="U492" s="244"/>
      <c r="V492" s="246"/>
      <c r="W492" s="244"/>
      <c r="X492" s="243"/>
      <c r="Y492" s="244"/>
      <c r="Z492" s="243"/>
      <c r="AA492" s="243"/>
      <c r="AB492" s="243"/>
    </row>
    <row r="493">
      <c r="A493" s="243"/>
      <c r="B493" s="244"/>
      <c r="C493" s="243"/>
      <c r="D493" s="243"/>
      <c r="E493" s="243"/>
      <c r="F493" s="243"/>
      <c r="G493" s="243"/>
      <c r="H493" s="245"/>
      <c r="I493" s="245"/>
      <c r="J493" s="243"/>
      <c r="K493" s="243"/>
      <c r="L493" s="243"/>
      <c r="M493" s="243"/>
      <c r="N493" s="243"/>
      <c r="O493" s="244"/>
      <c r="P493" s="243"/>
      <c r="Q493" s="244"/>
      <c r="R493" s="243"/>
      <c r="S493" s="244"/>
      <c r="T493" s="243"/>
      <c r="U493" s="244"/>
      <c r="V493" s="246"/>
      <c r="W493" s="244"/>
      <c r="X493" s="243"/>
      <c r="Y493" s="244"/>
      <c r="Z493" s="243"/>
      <c r="AA493" s="243"/>
      <c r="AB493" s="243"/>
    </row>
    <row r="494">
      <c r="A494" s="243"/>
      <c r="B494" s="244"/>
      <c r="C494" s="243"/>
      <c r="D494" s="243"/>
      <c r="E494" s="243"/>
      <c r="F494" s="243"/>
      <c r="G494" s="243"/>
      <c r="H494" s="245"/>
      <c r="I494" s="245"/>
      <c r="J494" s="243"/>
      <c r="K494" s="243"/>
      <c r="L494" s="243"/>
      <c r="M494" s="243"/>
      <c r="N494" s="243"/>
      <c r="O494" s="244"/>
      <c r="P494" s="243"/>
      <c r="Q494" s="244"/>
      <c r="R494" s="243"/>
      <c r="S494" s="244"/>
      <c r="T494" s="243"/>
      <c r="U494" s="244"/>
      <c r="V494" s="246"/>
      <c r="W494" s="244"/>
      <c r="X494" s="243"/>
      <c r="Y494" s="244"/>
      <c r="Z494" s="243"/>
      <c r="AA494" s="243"/>
      <c r="AB494" s="243"/>
    </row>
    <row r="495">
      <c r="A495" s="243"/>
      <c r="B495" s="244"/>
      <c r="C495" s="243"/>
      <c r="D495" s="243"/>
      <c r="E495" s="243"/>
      <c r="F495" s="243"/>
      <c r="G495" s="243"/>
      <c r="H495" s="245"/>
      <c r="I495" s="245"/>
      <c r="J495" s="243"/>
      <c r="K495" s="243"/>
      <c r="L495" s="243"/>
      <c r="M495" s="243"/>
      <c r="N495" s="243"/>
      <c r="O495" s="244"/>
      <c r="P495" s="243"/>
      <c r="Q495" s="244"/>
      <c r="R495" s="243"/>
      <c r="S495" s="244"/>
      <c r="T495" s="243"/>
      <c r="U495" s="244"/>
      <c r="V495" s="246"/>
      <c r="W495" s="244"/>
      <c r="X495" s="243"/>
      <c r="Y495" s="244"/>
      <c r="Z495" s="243"/>
      <c r="AA495" s="243"/>
      <c r="AB495" s="243"/>
    </row>
    <row r="496">
      <c r="A496" s="243"/>
      <c r="B496" s="244"/>
      <c r="C496" s="243"/>
      <c r="D496" s="243"/>
      <c r="E496" s="243"/>
      <c r="F496" s="243"/>
      <c r="G496" s="243"/>
      <c r="H496" s="245"/>
      <c r="I496" s="245"/>
      <c r="J496" s="243"/>
      <c r="K496" s="243"/>
      <c r="L496" s="243"/>
      <c r="M496" s="243"/>
      <c r="N496" s="243"/>
      <c r="O496" s="244"/>
      <c r="P496" s="243"/>
      <c r="Q496" s="244"/>
      <c r="R496" s="243"/>
      <c r="S496" s="244"/>
      <c r="T496" s="243"/>
      <c r="U496" s="244"/>
      <c r="V496" s="246"/>
      <c r="W496" s="244"/>
      <c r="X496" s="243"/>
      <c r="Y496" s="244"/>
      <c r="Z496" s="243"/>
      <c r="AA496" s="243"/>
      <c r="AB496" s="243"/>
    </row>
    <row r="497">
      <c r="A497" s="243"/>
      <c r="B497" s="244"/>
      <c r="C497" s="243"/>
      <c r="D497" s="243"/>
      <c r="E497" s="243"/>
      <c r="F497" s="243"/>
      <c r="G497" s="243"/>
      <c r="H497" s="245"/>
      <c r="I497" s="245"/>
      <c r="J497" s="243"/>
      <c r="K497" s="243"/>
      <c r="L497" s="243"/>
      <c r="M497" s="243"/>
      <c r="N497" s="243"/>
      <c r="O497" s="244"/>
      <c r="P497" s="243"/>
      <c r="Q497" s="244"/>
      <c r="R497" s="243"/>
      <c r="S497" s="244"/>
      <c r="T497" s="243"/>
      <c r="U497" s="244"/>
      <c r="V497" s="246"/>
      <c r="W497" s="244"/>
      <c r="X497" s="243"/>
      <c r="Y497" s="244"/>
      <c r="Z497" s="243"/>
      <c r="AA497" s="243"/>
      <c r="AB497" s="243"/>
    </row>
    <row r="498">
      <c r="A498" s="243"/>
      <c r="B498" s="244"/>
      <c r="C498" s="243"/>
      <c r="D498" s="243"/>
      <c r="E498" s="243"/>
      <c r="F498" s="243"/>
      <c r="G498" s="243"/>
      <c r="H498" s="245"/>
      <c r="I498" s="245"/>
      <c r="J498" s="243"/>
      <c r="K498" s="243"/>
      <c r="L498" s="243"/>
      <c r="M498" s="243"/>
      <c r="N498" s="243"/>
      <c r="O498" s="244"/>
      <c r="P498" s="243"/>
      <c r="Q498" s="244"/>
      <c r="R498" s="243"/>
      <c r="S498" s="244"/>
      <c r="T498" s="243"/>
      <c r="U498" s="244"/>
      <c r="V498" s="246"/>
      <c r="W498" s="244"/>
      <c r="X498" s="243"/>
      <c r="Y498" s="244"/>
      <c r="Z498" s="243"/>
      <c r="AA498" s="243"/>
      <c r="AB498" s="243"/>
    </row>
    <row r="499">
      <c r="A499" s="243"/>
      <c r="B499" s="244"/>
      <c r="C499" s="243"/>
      <c r="D499" s="243"/>
      <c r="E499" s="243"/>
      <c r="F499" s="243"/>
      <c r="G499" s="243"/>
      <c r="H499" s="245"/>
      <c r="I499" s="245"/>
      <c r="J499" s="243"/>
      <c r="K499" s="243"/>
      <c r="L499" s="243"/>
      <c r="M499" s="243"/>
      <c r="N499" s="243"/>
      <c r="O499" s="244"/>
      <c r="P499" s="243"/>
      <c r="Q499" s="244"/>
      <c r="R499" s="243"/>
      <c r="S499" s="244"/>
      <c r="T499" s="243"/>
      <c r="U499" s="244"/>
      <c r="V499" s="246"/>
      <c r="W499" s="244"/>
      <c r="X499" s="243"/>
      <c r="Y499" s="244"/>
      <c r="Z499" s="243"/>
      <c r="AA499" s="243"/>
      <c r="AB499" s="243"/>
    </row>
    <row r="500">
      <c r="A500" s="243"/>
      <c r="B500" s="244"/>
      <c r="C500" s="243"/>
      <c r="D500" s="243"/>
      <c r="E500" s="243"/>
      <c r="F500" s="243"/>
      <c r="G500" s="243"/>
      <c r="H500" s="245"/>
      <c r="I500" s="245"/>
      <c r="J500" s="243"/>
      <c r="K500" s="243"/>
      <c r="L500" s="243"/>
      <c r="M500" s="243"/>
      <c r="N500" s="243"/>
      <c r="O500" s="244"/>
      <c r="P500" s="243"/>
      <c r="Q500" s="244"/>
      <c r="R500" s="243"/>
      <c r="S500" s="244"/>
      <c r="T500" s="243"/>
      <c r="U500" s="244"/>
      <c r="V500" s="246"/>
      <c r="W500" s="244"/>
      <c r="X500" s="243"/>
      <c r="Y500" s="244"/>
      <c r="Z500" s="243"/>
      <c r="AA500" s="243"/>
      <c r="AB500" s="243"/>
    </row>
    <row r="501">
      <c r="A501" s="243"/>
      <c r="B501" s="244"/>
      <c r="C501" s="243"/>
      <c r="D501" s="243"/>
      <c r="E501" s="243"/>
      <c r="F501" s="243"/>
      <c r="G501" s="243"/>
      <c r="H501" s="245"/>
      <c r="I501" s="245"/>
      <c r="J501" s="243"/>
      <c r="K501" s="243"/>
      <c r="L501" s="243"/>
      <c r="M501" s="243"/>
      <c r="N501" s="243"/>
      <c r="O501" s="244"/>
      <c r="P501" s="243"/>
      <c r="Q501" s="244"/>
      <c r="R501" s="243"/>
      <c r="S501" s="244"/>
      <c r="T501" s="243"/>
      <c r="U501" s="244"/>
      <c r="V501" s="246"/>
      <c r="W501" s="244"/>
      <c r="X501" s="243"/>
      <c r="Y501" s="244"/>
      <c r="Z501" s="243"/>
      <c r="AA501" s="243"/>
      <c r="AB501" s="243"/>
    </row>
    <row r="502">
      <c r="A502" s="243"/>
      <c r="B502" s="244"/>
      <c r="C502" s="243"/>
      <c r="D502" s="243"/>
      <c r="E502" s="243"/>
      <c r="F502" s="243"/>
      <c r="G502" s="243"/>
      <c r="H502" s="245"/>
      <c r="I502" s="245"/>
      <c r="J502" s="243"/>
      <c r="K502" s="243"/>
      <c r="L502" s="243"/>
      <c r="M502" s="243"/>
      <c r="N502" s="243"/>
      <c r="O502" s="244"/>
      <c r="P502" s="243"/>
      <c r="Q502" s="244"/>
      <c r="R502" s="243"/>
      <c r="S502" s="244"/>
      <c r="T502" s="243"/>
      <c r="U502" s="244"/>
      <c r="V502" s="246"/>
      <c r="W502" s="244"/>
      <c r="X502" s="243"/>
      <c r="Y502" s="244"/>
      <c r="Z502" s="243"/>
      <c r="AA502" s="243"/>
      <c r="AB502" s="243"/>
    </row>
    <row r="503">
      <c r="A503" s="243"/>
      <c r="B503" s="244"/>
      <c r="C503" s="243"/>
      <c r="D503" s="243"/>
      <c r="E503" s="243"/>
      <c r="F503" s="243"/>
      <c r="G503" s="243"/>
      <c r="H503" s="245"/>
      <c r="I503" s="245"/>
      <c r="J503" s="243"/>
      <c r="K503" s="243"/>
      <c r="L503" s="243"/>
      <c r="M503" s="243"/>
      <c r="N503" s="243"/>
      <c r="O503" s="244"/>
      <c r="P503" s="243"/>
      <c r="Q503" s="244"/>
      <c r="R503" s="243"/>
      <c r="S503" s="244"/>
      <c r="T503" s="243"/>
      <c r="U503" s="244"/>
      <c r="V503" s="246"/>
      <c r="W503" s="244"/>
      <c r="X503" s="243"/>
      <c r="Y503" s="244"/>
      <c r="Z503" s="243"/>
      <c r="AA503" s="243"/>
      <c r="AB503" s="243"/>
    </row>
    <row r="504">
      <c r="A504" s="243"/>
      <c r="B504" s="244"/>
      <c r="C504" s="243"/>
      <c r="D504" s="243"/>
      <c r="E504" s="243"/>
      <c r="F504" s="243"/>
      <c r="G504" s="243"/>
      <c r="H504" s="245"/>
      <c r="I504" s="245"/>
      <c r="J504" s="243"/>
      <c r="K504" s="243"/>
      <c r="L504" s="243"/>
      <c r="M504" s="243"/>
      <c r="N504" s="243"/>
      <c r="O504" s="244"/>
      <c r="P504" s="243"/>
      <c r="Q504" s="244"/>
      <c r="R504" s="243"/>
      <c r="S504" s="244"/>
      <c r="T504" s="243"/>
      <c r="U504" s="244"/>
      <c r="V504" s="246"/>
      <c r="W504" s="244"/>
      <c r="X504" s="243"/>
      <c r="Y504" s="244"/>
      <c r="Z504" s="243"/>
      <c r="AA504" s="243"/>
      <c r="AB504" s="243"/>
    </row>
    <row r="505">
      <c r="A505" s="243"/>
      <c r="B505" s="244"/>
      <c r="C505" s="243"/>
      <c r="D505" s="243"/>
      <c r="E505" s="243"/>
      <c r="F505" s="243"/>
      <c r="G505" s="243"/>
      <c r="H505" s="245"/>
      <c r="I505" s="245"/>
      <c r="J505" s="243"/>
      <c r="K505" s="243"/>
      <c r="L505" s="243"/>
      <c r="M505" s="243"/>
      <c r="N505" s="243"/>
      <c r="O505" s="244"/>
      <c r="P505" s="243"/>
      <c r="Q505" s="244"/>
      <c r="R505" s="243"/>
      <c r="S505" s="244"/>
      <c r="T505" s="243"/>
      <c r="U505" s="244"/>
      <c r="V505" s="246"/>
      <c r="W505" s="244"/>
      <c r="X505" s="243"/>
      <c r="Y505" s="244"/>
      <c r="Z505" s="243"/>
      <c r="AA505" s="243"/>
      <c r="AB505" s="243"/>
    </row>
    <row r="506">
      <c r="A506" s="243"/>
      <c r="B506" s="244"/>
      <c r="C506" s="243"/>
      <c r="D506" s="243"/>
      <c r="E506" s="243"/>
      <c r="F506" s="243"/>
      <c r="G506" s="243"/>
      <c r="H506" s="245"/>
      <c r="I506" s="245"/>
      <c r="J506" s="243"/>
      <c r="K506" s="243"/>
      <c r="L506" s="243"/>
      <c r="M506" s="243"/>
      <c r="N506" s="243"/>
      <c r="O506" s="244"/>
      <c r="P506" s="243"/>
      <c r="Q506" s="244"/>
      <c r="R506" s="243"/>
      <c r="S506" s="244"/>
      <c r="T506" s="243"/>
      <c r="U506" s="244"/>
      <c r="V506" s="246"/>
      <c r="W506" s="244"/>
      <c r="X506" s="243"/>
      <c r="Y506" s="244"/>
      <c r="Z506" s="243"/>
      <c r="AA506" s="243"/>
      <c r="AB506" s="243"/>
    </row>
    <row r="507">
      <c r="A507" s="243"/>
      <c r="B507" s="244"/>
      <c r="C507" s="243"/>
      <c r="D507" s="243"/>
      <c r="E507" s="243"/>
      <c r="F507" s="243"/>
      <c r="G507" s="243"/>
      <c r="H507" s="245"/>
      <c r="I507" s="245"/>
      <c r="J507" s="243"/>
      <c r="K507" s="243"/>
      <c r="L507" s="243"/>
      <c r="M507" s="243"/>
      <c r="N507" s="243"/>
      <c r="O507" s="244"/>
      <c r="P507" s="243"/>
      <c r="Q507" s="244"/>
      <c r="R507" s="243"/>
      <c r="S507" s="244"/>
      <c r="T507" s="243"/>
      <c r="U507" s="244"/>
      <c r="V507" s="246"/>
      <c r="W507" s="244"/>
      <c r="X507" s="243"/>
      <c r="Y507" s="244"/>
      <c r="Z507" s="243"/>
      <c r="AA507" s="243"/>
      <c r="AB507" s="243"/>
    </row>
    <row r="508">
      <c r="A508" s="243"/>
      <c r="B508" s="244"/>
      <c r="C508" s="243"/>
      <c r="D508" s="243"/>
      <c r="E508" s="243"/>
      <c r="F508" s="243"/>
      <c r="G508" s="243"/>
      <c r="H508" s="245"/>
      <c r="I508" s="245"/>
      <c r="J508" s="243"/>
      <c r="K508" s="243"/>
      <c r="L508" s="243"/>
      <c r="M508" s="243"/>
      <c r="N508" s="243"/>
      <c r="O508" s="244"/>
      <c r="P508" s="243"/>
      <c r="Q508" s="244"/>
      <c r="R508" s="243"/>
      <c r="S508" s="244"/>
      <c r="T508" s="243"/>
      <c r="U508" s="244"/>
      <c r="V508" s="246"/>
      <c r="W508" s="244"/>
      <c r="X508" s="243"/>
      <c r="Y508" s="244"/>
      <c r="Z508" s="243"/>
      <c r="AA508" s="243"/>
      <c r="AB508" s="243"/>
    </row>
    <row r="509">
      <c r="A509" s="243"/>
      <c r="B509" s="244"/>
      <c r="C509" s="243"/>
      <c r="D509" s="243"/>
      <c r="E509" s="243"/>
      <c r="F509" s="243"/>
      <c r="G509" s="243"/>
      <c r="H509" s="245"/>
      <c r="I509" s="245"/>
      <c r="J509" s="243"/>
      <c r="K509" s="243"/>
      <c r="L509" s="243"/>
      <c r="M509" s="243"/>
      <c r="N509" s="243"/>
      <c r="O509" s="244"/>
      <c r="P509" s="243"/>
      <c r="Q509" s="244"/>
      <c r="R509" s="243"/>
      <c r="S509" s="244"/>
      <c r="T509" s="243"/>
      <c r="U509" s="244"/>
      <c r="V509" s="246"/>
      <c r="W509" s="244"/>
      <c r="X509" s="243"/>
      <c r="Y509" s="244"/>
      <c r="Z509" s="243"/>
      <c r="AA509" s="243"/>
      <c r="AB509" s="243"/>
    </row>
    <row r="510">
      <c r="A510" s="243"/>
      <c r="B510" s="244"/>
      <c r="C510" s="243"/>
      <c r="D510" s="243"/>
      <c r="E510" s="243"/>
      <c r="F510" s="243"/>
      <c r="G510" s="243"/>
      <c r="H510" s="245"/>
      <c r="I510" s="245"/>
      <c r="J510" s="243"/>
      <c r="K510" s="243"/>
      <c r="L510" s="243"/>
      <c r="M510" s="243"/>
      <c r="N510" s="243"/>
      <c r="O510" s="244"/>
      <c r="P510" s="243"/>
      <c r="Q510" s="244"/>
      <c r="R510" s="243"/>
      <c r="S510" s="244"/>
      <c r="T510" s="243"/>
      <c r="U510" s="244"/>
      <c r="V510" s="246"/>
      <c r="W510" s="244"/>
      <c r="X510" s="243"/>
      <c r="Y510" s="244"/>
      <c r="Z510" s="243"/>
      <c r="AA510" s="243"/>
      <c r="AB510" s="243"/>
    </row>
    <row r="511">
      <c r="A511" s="243"/>
      <c r="B511" s="244"/>
      <c r="C511" s="243"/>
      <c r="D511" s="243"/>
      <c r="E511" s="243"/>
      <c r="F511" s="243"/>
      <c r="G511" s="243"/>
      <c r="H511" s="245"/>
      <c r="I511" s="245"/>
      <c r="J511" s="243"/>
      <c r="K511" s="243"/>
      <c r="L511" s="243"/>
      <c r="M511" s="243"/>
      <c r="N511" s="243"/>
      <c r="O511" s="244"/>
      <c r="P511" s="243"/>
      <c r="Q511" s="244"/>
      <c r="R511" s="243"/>
      <c r="S511" s="244"/>
      <c r="T511" s="243"/>
      <c r="U511" s="244"/>
      <c r="V511" s="246"/>
      <c r="W511" s="244"/>
      <c r="X511" s="243"/>
      <c r="Y511" s="244"/>
      <c r="Z511" s="243"/>
      <c r="AA511" s="243"/>
      <c r="AB511" s="243"/>
    </row>
    <row r="512">
      <c r="A512" s="243"/>
      <c r="B512" s="244"/>
      <c r="C512" s="243"/>
      <c r="D512" s="243"/>
      <c r="E512" s="243"/>
      <c r="F512" s="243"/>
      <c r="G512" s="243"/>
      <c r="H512" s="245"/>
      <c r="I512" s="245"/>
      <c r="J512" s="243"/>
      <c r="K512" s="243"/>
      <c r="L512" s="243"/>
      <c r="M512" s="243"/>
      <c r="N512" s="243"/>
      <c r="O512" s="244"/>
      <c r="P512" s="243"/>
      <c r="Q512" s="244"/>
      <c r="R512" s="243"/>
      <c r="S512" s="244"/>
      <c r="T512" s="243"/>
      <c r="U512" s="244"/>
      <c r="V512" s="246"/>
      <c r="W512" s="244"/>
      <c r="X512" s="243"/>
      <c r="Y512" s="244"/>
      <c r="Z512" s="243"/>
      <c r="AA512" s="243"/>
      <c r="AB512" s="243"/>
    </row>
    <row r="513">
      <c r="A513" s="243"/>
      <c r="B513" s="244"/>
      <c r="C513" s="243"/>
      <c r="D513" s="243"/>
      <c r="E513" s="243"/>
      <c r="F513" s="243"/>
      <c r="G513" s="243"/>
      <c r="H513" s="245"/>
      <c r="I513" s="245"/>
      <c r="J513" s="243"/>
      <c r="K513" s="243"/>
      <c r="L513" s="243"/>
      <c r="M513" s="243"/>
      <c r="N513" s="243"/>
      <c r="O513" s="244"/>
      <c r="P513" s="243"/>
      <c r="Q513" s="244"/>
      <c r="R513" s="243"/>
      <c r="S513" s="244"/>
      <c r="T513" s="243"/>
      <c r="U513" s="244"/>
      <c r="V513" s="246"/>
      <c r="W513" s="244"/>
      <c r="X513" s="243"/>
      <c r="Y513" s="244"/>
      <c r="Z513" s="243"/>
      <c r="AA513" s="243"/>
      <c r="AB513" s="243"/>
    </row>
    <row r="514">
      <c r="A514" s="243"/>
      <c r="B514" s="244"/>
      <c r="C514" s="243"/>
      <c r="D514" s="243"/>
      <c r="E514" s="243"/>
      <c r="F514" s="243"/>
      <c r="G514" s="243"/>
      <c r="H514" s="245"/>
      <c r="I514" s="245"/>
      <c r="J514" s="243"/>
      <c r="K514" s="243"/>
      <c r="L514" s="243"/>
      <c r="M514" s="243"/>
      <c r="N514" s="243"/>
      <c r="O514" s="244"/>
      <c r="P514" s="243"/>
      <c r="Q514" s="244"/>
      <c r="R514" s="243"/>
      <c r="S514" s="244"/>
      <c r="T514" s="243"/>
      <c r="U514" s="244"/>
      <c r="V514" s="246"/>
      <c r="W514" s="244"/>
      <c r="X514" s="243"/>
      <c r="Y514" s="244"/>
      <c r="Z514" s="243"/>
      <c r="AA514" s="243"/>
      <c r="AB514" s="243"/>
    </row>
    <row r="515">
      <c r="A515" s="243"/>
      <c r="B515" s="244"/>
      <c r="C515" s="243"/>
      <c r="D515" s="243"/>
      <c r="E515" s="243"/>
      <c r="F515" s="243"/>
      <c r="G515" s="243"/>
      <c r="H515" s="245"/>
      <c r="I515" s="245"/>
      <c r="J515" s="243"/>
      <c r="K515" s="243"/>
      <c r="L515" s="243"/>
      <c r="M515" s="243"/>
      <c r="N515" s="243"/>
      <c r="O515" s="244"/>
      <c r="P515" s="243"/>
      <c r="Q515" s="244"/>
      <c r="R515" s="243"/>
      <c r="S515" s="244"/>
      <c r="T515" s="243"/>
      <c r="U515" s="244"/>
      <c r="V515" s="246"/>
      <c r="W515" s="244"/>
      <c r="X515" s="243"/>
      <c r="Y515" s="244"/>
      <c r="Z515" s="243"/>
      <c r="AA515" s="243"/>
      <c r="AB515" s="243"/>
    </row>
    <row r="516">
      <c r="A516" s="243"/>
      <c r="B516" s="244"/>
      <c r="C516" s="243"/>
      <c r="D516" s="243"/>
      <c r="E516" s="243"/>
      <c r="F516" s="243"/>
      <c r="G516" s="243"/>
      <c r="H516" s="245"/>
      <c r="I516" s="245"/>
      <c r="J516" s="243"/>
      <c r="K516" s="243"/>
      <c r="L516" s="243"/>
      <c r="M516" s="243"/>
      <c r="N516" s="243"/>
      <c r="O516" s="244"/>
      <c r="P516" s="243"/>
      <c r="Q516" s="244"/>
      <c r="R516" s="243"/>
      <c r="S516" s="244"/>
      <c r="T516" s="243"/>
      <c r="U516" s="244"/>
      <c r="V516" s="246"/>
      <c r="W516" s="244"/>
      <c r="X516" s="243"/>
      <c r="Y516" s="244"/>
      <c r="Z516" s="243"/>
      <c r="AA516" s="243"/>
      <c r="AB516" s="243"/>
    </row>
    <row r="517">
      <c r="A517" s="243"/>
      <c r="B517" s="244"/>
      <c r="C517" s="243"/>
      <c r="D517" s="243"/>
      <c r="E517" s="243"/>
      <c r="F517" s="243"/>
      <c r="G517" s="243"/>
      <c r="H517" s="245"/>
      <c r="I517" s="245"/>
      <c r="J517" s="243"/>
      <c r="K517" s="243"/>
      <c r="L517" s="243"/>
      <c r="M517" s="243"/>
      <c r="N517" s="243"/>
      <c r="O517" s="244"/>
      <c r="P517" s="243"/>
      <c r="Q517" s="244"/>
      <c r="R517" s="243"/>
      <c r="S517" s="244"/>
      <c r="T517" s="243"/>
      <c r="U517" s="244"/>
      <c r="V517" s="246"/>
      <c r="W517" s="244"/>
      <c r="X517" s="243"/>
      <c r="Y517" s="244"/>
      <c r="Z517" s="243"/>
      <c r="AA517" s="243"/>
      <c r="AB517" s="243"/>
    </row>
    <row r="518">
      <c r="A518" s="243"/>
      <c r="B518" s="244"/>
      <c r="C518" s="243"/>
      <c r="D518" s="243"/>
      <c r="E518" s="243"/>
      <c r="F518" s="243"/>
      <c r="G518" s="243"/>
      <c r="H518" s="245"/>
      <c r="I518" s="245"/>
      <c r="J518" s="243"/>
      <c r="K518" s="243"/>
      <c r="L518" s="243"/>
      <c r="M518" s="243"/>
      <c r="N518" s="243"/>
      <c r="O518" s="244"/>
      <c r="P518" s="243"/>
      <c r="Q518" s="244"/>
      <c r="R518" s="243"/>
      <c r="S518" s="244"/>
      <c r="T518" s="243"/>
      <c r="U518" s="244"/>
      <c r="V518" s="246"/>
      <c r="W518" s="244"/>
      <c r="X518" s="243"/>
      <c r="Y518" s="244"/>
      <c r="Z518" s="243"/>
      <c r="AA518" s="243"/>
      <c r="AB518" s="243"/>
    </row>
    <row r="519">
      <c r="A519" s="243"/>
      <c r="B519" s="244"/>
      <c r="C519" s="243"/>
      <c r="D519" s="243"/>
      <c r="E519" s="243"/>
      <c r="F519" s="243"/>
      <c r="G519" s="243"/>
      <c r="H519" s="245"/>
      <c r="I519" s="245"/>
      <c r="J519" s="243"/>
      <c r="K519" s="243"/>
      <c r="L519" s="243"/>
      <c r="M519" s="243"/>
      <c r="N519" s="243"/>
      <c r="O519" s="244"/>
      <c r="P519" s="243"/>
      <c r="Q519" s="244"/>
      <c r="R519" s="243"/>
      <c r="S519" s="244"/>
      <c r="T519" s="243"/>
      <c r="U519" s="244"/>
      <c r="V519" s="246"/>
      <c r="W519" s="244"/>
      <c r="X519" s="243"/>
      <c r="Y519" s="244"/>
      <c r="Z519" s="243"/>
      <c r="AA519" s="243"/>
      <c r="AB519" s="243"/>
    </row>
    <row r="520">
      <c r="A520" s="243"/>
      <c r="B520" s="244"/>
      <c r="C520" s="243"/>
      <c r="D520" s="243"/>
      <c r="E520" s="243"/>
      <c r="F520" s="243"/>
      <c r="G520" s="243"/>
      <c r="H520" s="245"/>
      <c r="I520" s="245"/>
      <c r="J520" s="243"/>
      <c r="K520" s="243"/>
      <c r="L520" s="243"/>
      <c r="M520" s="243"/>
      <c r="N520" s="243"/>
      <c r="O520" s="244"/>
      <c r="P520" s="243"/>
      <c r="Q520" s="244"/>
      <c r="R520" s="243"/>
      <c r="S520" s="244"/>
      <c r="T520" s="243"/>
      <c r="U520" s="244"/>
      <c r="V520" s="246"/>
      <c r="W520" s="244"/>
      <c r="X520" s="243"/>
      <c r="Y520" s="244"/>
      <c r="Z520" s="243"/>
      <c r="AA520" s="243"/>
      <c r="AB520" s="243"/>
    </row>
    <row r="521">
      <c r="A521" s="243"/>
      <c r="B521" s="244"/>
      <c r="C521" s="243"/>
      <c r="D521" s="243"/>
      <c r="E521" s="243"/>
      <c r="F521" s="243"/>
      <c r="G521" s="243"/>
      <c r="H521" s="245"/>
      <c r="I521" s="245"/>
      <c r="J521" s="243"/>
      <c r="K521" s="243"/>
      <c r="L521" s="243"/>
      <c r="M521" s="243"/>
      <c r="N521" s="243"/>
      <c r="O521" s="244"/>
      <c r="P521" s="243"/>
      <c r="Q521" s="244"/>
      <c r="R521" s="243"/>
      <c r="S521" s="244"/>
      <c r="T521" s="243"/>
      <c r="U521" s="244"/>
      <c r="V521" s="246"/>
      <c r="W521" s="244"/>
      <c r="X521" s="243"/>
      <c r="Y521" s="244"/>
      <c r="Z521" s="243"/>
      <c r="AA521" s="243"/>
      <c r="AB521" s="243"/>
    </row>
    <row r="522">
      <c r="A522" s="243"/>
      <c r="B522" s="244"/>
      <c r="C522" s="243"/>
      <c r="D522" s="243"/>
      <c r="E522" s="243"/>
      <c r="F522" s="243"/>
      <c r="G522" s="243"/>
      <c r="H522" s="245"/>
      <c r="I522" s="245"/>
      <c r="J522" s="243"/>
      <c r="K522" s="243"/>
      <c r="L522" s="243"/>
      <c r="M522" s="243"/>
      <c r="N522" s="243"/>
      <c r="O522" s="244"/>
      <c r="P522" s="243"/>
      <c r="Q522" s="244"/>
      <c r="R522" s="243"/>
      <c r="S522" s="244"/>
      <c r="T522" s="243"/>
      <c r="U522" s="244"/>
      <c r="V522" s="246"/>
      <c r="W522" s="244"/>
      <c r="X522" s="243"/>
      <c r="Y522" s="244"/>
      <c r="Z522" s="243"/>
      <c r="AA522" s="243"/>
      <c r="AB522" s="243"/>
    </row>
    <row r="523">
      <c r="A523" s="243"/>
      <c r="B523" s="244"/>
      <c r="C523" s="243"/>
      <c r="D523" s="243"/>
      <c r="E523" s="243"/>
      <c r="F523" s="243"/>
      <c r="G523" s="243"/>
      <c r="H523" s="245"/>
      <c r="I523" s="245"/>
      <c r="J523" s="243"/>
      <c r="K523" s="243"/>
      <c r="L523" s="243"/>
      <c r="M523" s="243"/>
      <c r="N523" s="243"/>
      <c r="O523" s="244"/>
      <c r="P523" s="243"/>
      <c r="Q523" s="244"/>
      <c r="R523" s="243"/>
      <c r="S523" s="244"/>
      <c r="T523" s="243"/>
      <c r="U523" s="244"/>
      <c r="V523" s="246"/>
      <c r="W523" s="244"/>
      <c r="X523" s="243"/>
      <c r="Y523" s="244"/>
      <c r="Z523" s="243"/>
      <c r="AA523" s="243"/>
      <c r="AB523" s="243"/>
    </row>
    <row r="524">
      <c r="A524" s="243"/>
      <c r="B524" s="244"/>
      <c r="C524" s="243"/>
      <c r="D524" s="243"/>
      <c r="E524" s="243"/>
      <c r="F524" s="243"/>
      <c r="G524" s="243"/>
      <c r="H524" s="245"/>
      <c r="I524" s="245"/>
      <c r="J524" s="243"/>
      <c r="K524" s="243"/>
      <c r="L524" s="243"/>
      <c r="M524" s="243"/>
      <c r="N524" s="243"/>
      <c r="O524" s="244"/>
      <c r="P524" s="243"/>
      <c r="Q524" s="244"/>
      <c r="R524" s="243"/>
      <c r="S524" s="244"/>
      <c r="T524" s="243"/>
      <c r="U524" s="244"/>
      <c r="V524" s="246"/>
      <c r="W524" s="244"/>
      <c r="X524" s="243"/>
      <c r="Y524" s="244"/>
      <c r="Z524" s="243"/>
      <c r="AA524" s="243"/>
      <c r="AB524" s="243"/>
    </row>
    <row r="525">
      <c r="A525" s="243"/>
      <c r="B525" s="244"/>
      <c r="C525" s="243"/>
      <c r="D525" s="243"/>
      <c r="E525" s="243"/>
      <c r="F525" s="243"/>
      <c r="G525" s="243"/>
      <c r="H525" s="245"/>
      <c r="I525" s="245"/>
      <c r="J525" s="243"/>
      <c r="K525" s="243"/>
      <c r="L525" s="243"/>
      <c r="M525" s="243"/>
      <c r="N525" s="243"/>
      <c r="O525" s="244"/>
      <c r="P525" s="243"/>
      <c r="Q525" s="244"/>
      <c r="R525" s="243"/>
      <c r="S525" s="244"/>
      <c r="T525" s="243"/>
      <c r="U525" s="244"/>
      <c r="V525" s="246"/>
      <c r="W525" s="244"/>
      <c r="X525" s="243"/>
      <c r="Y525" s="244"/>
      <c r="Z525" s="243"/>
      <c r="AA525" s="243"/>
      <c r="AB525" s="243"/>
    </row>
    <row r="526">
      <c r="A526" s="243"/>
      <c r="B526" s="244"/>
      <c r="C526" s="243"/>
      <c r="D526" s="243"/>
      <c r="E526" s="243"/>
      <c r="F526" s="243"/>
      <c r="G526" s="243"/>
      <c r="H526" s="245"/>
      <c r="I526" s="245"/>
      <c r="J526" s="243"/>
      <c r="K526" s="243"/>
      <c r="L526" s="243"/>
      <c r="M526" s="243"/>
      <c r="N526" s="243"/>
      <c r="O526" s="244"/>
      <c r="P526" s="243"/>
      <c r="Q526" s="244"/>
      <c r="R526" s="243"/>
      <c r="S526" s="244"/>
      <c r="T526" s="243"/>
      <c r="U526" s="244"/>
      <c r="V526" s="246"/>
      <c r="W526" s="244"/>
      <c r="X526" s="243"/>
      <c r="Y526" s="244"/>
      <c r="Z526" s="243"/>
      <c r="AA526" s="243"/>
      <c r="AB526" s="243"/>
    </row>
    <row r="527">
      <c r="A527" s="243"/>
      <c r="B527" s="244"/>
      <c r="C527" s="243"/>
      <c r="D527" s="243"/>
      <c r="E527" s="243"/>
      <c r="F527" s="243"/>
      <c r="G527" s="243"/>
      <c r="H527" s="245"/>
      <c r="I527" s="245"/>
      <c r="J527" s="243"/>
      <c r="K527" s="243"/>
      <c r="L527" s="243"/>
      <c r="M527" s="243"/>
      <c r="N527" s="243"/>
      <c r="O527" s="244"/>
      <c r="P527" s="243"/>
      <c r="Q527" s="244"/>
      <c r="R527" s="243"/>
      <c r="S527" s="244"/>
      <c r="T527" s="243"/>
      <c r="U527" s="244"/>
      <c r="V527" s="246"/>
      <c r="W527" s="244"/>
      <c r="X527" s="243"/>
      <c r="Y527" s="244"/>
      <c r="Z527" s="243"/>
      <c r="AA527" s="243"/>
      <c r="AB527" s="243"/>
    </row>
    <row r="528">
      <c r="A528" s="243"/>
      <c r="B528" s="244"/>
      <c r="C528" s="243"/>
      <c r="D528" s="243"/>
      <c r="E528" s="243"/>
      <c r="F528" s="243"/>
      <c r="G528" s="243"/>
      <c r="H528" s="245"/>
      <c r="I528" s="245"/>
      <c r="J528" s="243"/>
      <c r="K528" s="243"/>
      <c r="L528" s="243"/>
      <c r="M528" s="243"/>
      <c r="N528" s="243"/>
      <c r="O528" s="244"/>
      <c r="P528" s="243"/>
      <c r="Q528" s="244"/>
      <c r="R528" s="243"/>
      <c r="S528" s="244"/>
      <c r="T528" s="243"/>
      <c r="U528" s="244"/>
      <c r="V528" s="246"/>
      <c r="W528" s="244"/>
      <c r="X528" s="243"/>
      <c r="Y528" s="244"/>
      <c r="Z528" s="243"/>
      <c r="AA528" s="243"/>
      <c r="AB528" s="243"/>
    </row>
    <row r="529">
      <c r="A529" s="243"/>
      <c r="B529" s="244"/>
      <c r="C529" s="243"/>
      <c r="D529" s="243"/>
      <c r="E529" s="243"/>
      <c r="F529" s="243"/>
      <c r="G529" s="243"/>
      <c r="H529" s="245"/>
      <c r="I529" s="245"/>
      <c r="J529" s="243"/>
      <c r="K529" s="243"/>
      <c r="L529" s="243"/>
      <c r="M529" s="243"/>
      <c r="N529" s="243"/>
      <c r="O529" s="244"/>
      <c r="P529" s="243"/>
      <c r="Q529" s="244"/>
      <c r="R529" s="243"/>
      <c r="S529" s="244"/>
      <c r="T529" s="243"/>
      <c r="U529" s="244"/>
      <c r="V529" s="246"/>
      <c r="W529" s="244"/>
      <c r="X529" s="243"/>
      <c r="Y529" s="244"/>
      <c r="Z529" s="243"/>
      <c r="AA529" s="243"/>
      <c r="AB529" s="243"/>
    </row>
    <row r="530">
      <c r="A530" s="243"/>
      <c r="B530" s="244"/>
      <c r="C530" s="243"/>
      <c r="D530" s="243"/>
      <c r="E530" s="243"/>
      <c r="F530" s="243"/>
      <c r="G530" s="243"/>
      <c r="H530" s="245"/>
      <c r="I530" s="245"/>
      <c r="J530" s="243"/>
      <c r="K530" s="243"/>
      <c r="L530" s="243"/>
      <c r="M530" s="243"/>
      <c r="N530" s="243"/>
      <c r="O530" s="244"/>
      <c r="P530" s="243"/>
      <c r="Q530" s="244"/>
      <c r="R530" s="243"/>
      <c r="S530" s="244"/>
      <c r="T530" s="243"/>
      <c r="U530" s="244"/>
      <c r="V530" s="246"/>
      <c r="W530" s="244"/>
      <c r="X530" s="243"/>
      <c r="Y530" s="244"/>
      <c r="Z530" s="243"/>
      <c r="AA530" s="243"/>
      <c r="AB530" s="243"/>
    </row>
    <row r="531">
      <c r="A531" s="243"/>
      <c r="B531" s="244"/>
      <c r="C531" s="243"/>
      <c r="D531" s="243"/>
      <c r="E531" s="243"/>
      <c r="F531" s="243"/>
      <c r="G531" s="243"/>
      <c r="H531" s="245"/>
      <c r="I531" s="245"/>
      <c r="J531" s="243"/>
      <c r="K531" s="243"/>
      <c r="L531" s="243"/>
      <c r="M531" s="243"/>
      <c r="N531" s="243"/>
      <c r="O531" s="244"/>
      <c r="P531" s="243"/>
      <c r="Q531" s="244"/>
      <c r="R531" s="243"/>
      <c r="S531" s="244"/>
      <c r="T531" s="243"/>
      <c r="U531" s="244"/>
      <c r="V531" s="246"/>
      <c r="W531" s="244"/>
      <c r="X531" s="243"/>
      <c r="Y531" s="244"/>
      <c r="Z531" s="243"/>
      <c r="AA531" s="243"/>
      <c r="AB531" s="243"/>
    </row>
    <row r="532">
      <c r="A532" s="243"/>
      <c r="B532" s="244"/>
      <c r="C532" s="243"/>
      <c r="D532" s="243"/>
      <c r="E532" s="243"/>
      <c r="F532" s="243"/>
      <c r="G532" s="243"/>
      <c r="H532" s="245"/>
      <c r="I532" s="245"/>
      <c r="J532" s="243"/>
      <c r="K532" s="243"/>
      <c r="L532" s="243"/>
      <c r="M532" s="243"/>
      <c r="N532" s="243"/>
      <c r="O532" s="244"/>
      <c r="P532" s="243"/>
      <c r="Q532" s="244"/>
      <c r="R532" s="243"/>
      <c r="S532" s="244"/>
      <c r="T532" s="243"/>
      <c r="U532" s="244"/>
      <c r="V532" s="246"/>
      <c r="W532" s="244"/>
      <c r="X532" s="243"/>
      <c r="Y532" s="244"/>
      <c r="Z532" s="243"/>
      <c r="AA532" s="243"/>
      <c r="AB532" s="243"/>
    </row>
    <row r="533">
      <c r="A533" s="243"/>
      <c r="B533" s="244"/>
      <c r="C533" s="243"/>
      <c r="D533" s="243"/>
      <c r="E533" s="243"/>
      <c r="F533" s="243"/>
      <c r="G533" s="243"/>
      <c r="H533" s="245"/>
      <c r="I533" s="245"/>
      <c r="J533" s="243"/>
      <c r="K533" s="243"/>
      <c r="L533" s="243"/>
      <c r="M533" s="243"/>
      <c r="N533" s="243"/>
      <c r="O533" s="244"/>
      <c r="P533" s="243"/>
      <c r="Q533" s="244"/>
      <c r="R533" s="243"/>
      <c r="S533" s="244"/>
      <c r="T533" s="243"/>
      <c r="U533" s="244"/>
      <c r="V533" s="246"/>
      <c r="W533" s="244"/>
      <c r="X533" s="243"/>
      <c r="Y533" s="244"/>
      <c r="Z533" s="243"/>
      <c r="AA533" s="243"/>
      <c r="AB533" s="243"/>
    </row>
    <row r="534">
      <c r="A534" s="243"/>
      <c r="B534" s="244"/>
      <c r="C534" s="243"/>
      <c r="D534" s="243"/>
      <c r="E534" s="243"/>
      <c r="F534" s="243"/>
      <c r="G534" s="243"/>
      <c r="H534" s="245"/>
      <c r="I534" s="245"/>
      <c r="J534" s="243"/>
      <c r="K534" s="243"/>
      <c r="L534" s="243"/>
      <c r="M534" s="243"/>
      <c r="N534" s="243"/>
      <c r="O534" s="244"/>
      <c r="P534" s="243"/>
      <c r="Q534" s="244"/>
      <c r="R534" s="243"/>
      <c r="S534" s="244"/>
      <c r="T534" s="243"/>
      <c r="U534" s="244"/>
      <c r="V534" s="246"/>
      <c r="W534" s="244"/>
      <c r="X534" s="243"/>
      <c r="Y534" s="244"/>
      <c r="Z534" s="243"/>
      <c r="AA534" s="243"/>
      <c r="AB534" s="243"/>
    </row>
    <row r="535">
      <c r="A535" s="243"/>
      <c r="B535" s="244"/>
      <c r="C535" s="243"/>
      <c r="D535" s="243"/>
      <c r="E535" s="243"/>
      <c r="F535" s="243"/>
      <c r="G535" s="243"/>
      <c r="H535" s="245"/>
      <c r="I535" s="245"/>
      <c r="J535" s="243"/>
      <c r="K535" s="243"/>
      <c r="L535" s="243"/>
      <c r="M535" s="243"/>
      <c r="N535" s="243"/>
      <c r="O535" s="244"/>
      <c r="P535" s="243"/>
      <c r="Q535" s="244"/>
      <c r="R535" s="243"/>
      <c r="S535" s="244"/>
      <c r="T535" s="243"/>
      <c r="U535" s="244"/>
      <c r="V535" s="246"/>
      <c r="W535" s="244"/>
      <c r="X535" s="243"/>
      <c r="Y535" s="244"/>
      <c r="Z535" s="243"/>
      <c r="AA535" s="243"/>
      <c r="AB535" s="243"/>
    </row>
    <row r="536">
      <c r="A536" s="243"/>
      <c r="B536" s="244"/>
      <c r="C536" s="243"/>
      <c r="D536" s="243"/>
      <c r="E536" s="243"/>
      <c r="F536" s="243"/>
      <c r="G536" s="243"/>
      <c r="H536" s="245"/>
      <c r="I536" s="245"/>
      <c r="J536" s="243"/>
      <c r="K536" s="243"/>
      <c r="L536" s="243"/>
      <c r="M536" s="243"/>
      <c r="N536" s="243"/>
      <c r="O536" s="244"/>
      <c r="P536" s="243"/>
      <c r="Q536" s="244"/>
      <c r="R536" s="243"/>
      <c r="S536" s="244"/>
      <c r="T536" s="243"/>
      <c r="U536" s="244"/>
      <c r="V536" s="246"/>
      <c r="W536" s="244"/>
      <c r="X536" s="243"/>
      <c r="Y536" s="244"/>
      <c r="Z536" s="243"/>
      <c r="AA536" s="243"/>
      <c r="AB536" s="243"/>
    </row>
    <row r="537">
      <c r="A537" s="243"/>
      <c r="B537" s="244"/>
      <c r="C537" s="243"/>
      <c r="D537" s="243"/>
      <c r="E537" s="243"/>
      <c r="F537" s="243"/>
      <c r="G537" s="243"/>
      <c r="H537" s="245"/>
      <c r="I537" s="245"/>
      <c r="J537" s="243"/>
      <c r="K537" s="243"/>
      <c r="L537" s="243"/>
      <c r="M537" s="243"/>
      <c r="N537" s="243"/>
      <c r="O537" s="244"/>
      <c r="P537" s="243"/>
      <c r="Q537" s="244"/>
      <c r="R537" s="243"/>
      <c r="S537" s="244"/>
      <c r="T537" s="243"/>
      <c r="U537" s="244"/>
      <c r="V537" s="246"/>
      <c r="W537" s="244"/>
      <c r="X537" s="243"/>
      <c r="Y537" s="244"/>
      <c r="Z537" s="243"/>
      <c r="AA537" s="243"/>
      <c r="AB537" s="243"/>
    </row>
    <row r="538">
      <c r="A538" s="243"/>
      <c r="B538" s="244"/>
      <c r="C538" s="243"/>
      <c r="D538" s="243"/>
      <c r="E538" s="243"/>
      <c r="F538" s="243"/>
      <c r="G538" s="243"/>
      <c r="H538" s="245"/>
      <c r="I538" s="245"/>
      <c r="J538" s="243"/>
      <c r="K538" s="243"/>
      <c r="L538" s="243"/>
      <c r="M538" s="243"/>
      <c r="N538" s="243"/>
      <c r="O538" s="244"/>
      <c r="P538" s="243"/>
      <c r="Q538" s="244"/>
      <c r="R538" s="243"/>
      <c r="S538" s="244"/>
      <c r="T538" s="243"/>
      <c r="U538" s="244"/>
      <c r="V538" s="246"/>
      <c r="W538" s="244"/>
      <c r="X538" s="243"/>
      <c r="Y538" s="244"/>
      <c r="Z538" s="243"/>
      <c r="AA538" s="243"/>
      <c r="AB538" s="243"/>
    </row>
    <row r="539">
      <c r="A539" s="243"/>
      <c r="B539" s="244"/>
      <c r="C539" s="243"/>
      <c r="D539" s="243"/>
      <c r="E539" s="243"/>
      <c r="F539" s="243"/>
      <c r="G539" s="243"/>
      <c r="H539" s="245"/>
      <c r="I539" s="245"/>
      <c r="J539" s="243"/>
      <c r="K539" s="243"/>
      <c r="L539" s="243"/>
      <c r="M539" s="243"/>
      <c r="N539" s="243"/>
      <c r="O539" s="244"/>
      <c r="P539" s="243"/>
      <c r="Q539" s="244"/>
      <c r="R539" s="243"/>
      <c r="S539" s="244"/>
      <c r="T539" s="243"/>
      <c r="U539" s="244"/>
      <c r="V539" s="246"/>
      <c r="W539" s="244"/>
      <c r="X539" s="243"/>
      <c r="Y539" s="244"/>
      <c r="Z539" s="243"/>
      <c r="AA539" s="243"/>
      <c r="AB539" s="243"/>
    </row>
    <row r="540">
      <c r="A540" s="243"/>
      <c r="B540" s="244"/>
      <c r="C540" s="243"/>
      <c r="D540" s="243"/>
      <c r="E540" s="243"/>
      <c r="F540" s="243"/>
      <c r="G540" s="243"/>
      <c r="H540" s="245"/>
      <c r="I540" s="245"/>
      <c r="J540" s="243"/>
      <c r="K540" s="243"/>
      <c r="L540" s="243"/>
      <c r="M540" s="243"/>
      <c r="N540" s="243"/>
      <c r="O540" s="244"/>
      <c r="P540" s="243"/>
      <c r="Q540" s="244"/>
      <c r="R540" s="243"/>
      <c r="S540" s="244"/>
      <c r="T540" s="243"/>
      <c r="U540" s="244"/>
      <c r="V540" s="246"/>
      <c r="W540" s="244"/>
      <c r="X540" s="243"/>
      <c r="Y540" s="244"/>
      <c r="Z540" s="243"/>
      <c r="AA540" s="243"/>
      <c r="AB540" s="243"/>
    </row>
    <row r="541">
      <c r="A541" s="243"/>
      <c r="B541" s="244"/>
      <c r="C541" s="243"/>
      <c r="D541" s="243"/>
      <c r="E541" s="243"/>
      <c r="F541" s="243"/>
      <c r="G541" s="243"/>
      <c r="H541" s="245"/>
      <c r="I541" s="245"/>
      <c r="J541" s="243"/>
      <c r="K541" s="243"/>
      <c r="L541" s="243"/>
      <c r="M541" s="243"/>
      <c r="N541" s="243"/>
      <c r="O541" s="244"/>
      <c r="P541" s="243"/>
      <c r="Q541" s="244"/>
      <c r="R541" s="243"/>
      <c r="S541" s="244"/>
      <c r="T541" s="243"/>
      <c r="U541" s="244"/>
      <c r="V541" s="246"/>
      <c r="W541" s="244"/>
      <c r="X541" s="243"/>
      <c r="Y541" s="244"/>
      <c r="Z541" s="243"/>
      <c r="AA541" s="243"/>
      <c r="AB541" s="243"/>
    </row>
    <row r="542">
      <c r="A542" s="243"/>
      <c r="B542" s="244"/>
      <c r="C542" s="243"/>
      <c r="D542" s="243"/>
      <c r="E542" s="243"/>
      <c r="F542" s="243"/>
      <c r="G542" s="243"/>
      <c r="H542" s="245"/>
      <c r="I542" s="245"/>
      <c r="J542" s="243"/>
      <c r="K542" s="243"/>
      <c r="L542" s="243"/>
      <c r="M542" s="243"/>
      <c r="N542" s="243"/>
      <c r="O542" s="244"/>
      <c r="P542" s="243"/>
      <c r="Q542" s="244"/>
      <c r="R542" s="243"/>
      <c r="S542" s="244"/>
      <c r="T542" s="243"/>
      <c r="U542" s="244"/>
      <c r="V542" s="246"/>
      <c r="W542" s="244"/>
      <c r="X542" s="243"/>
      <c r="Y542" s="244"/>
      <c r="Z542" s="243"/>
      <c r="AA542" s="243"/>
      <c r="AB542" s="243"/>
    </row>
    <row r="543">
      <c r="A543" s="243"/>
      <c r="B543" s="244"/>
      <c r="C543" s="243"/>
      <c r="D543" s="243"/>
      <c r="E543" s="243"/>
      <c r="F543" s="243"/>
      <c r="G543" s="243"/>
      <c r="H543" s="245"/>
      <c r="I543" s="245"/>
      <c r="J543" s="243"/>
      <c r="K543" s="243"/>
      <c r="L543" s="243"/>
      <c r="M543" s="243"/>
      <c r="N543" s="243"/>
      <c r="O543" s="244"/>
      <c r="P543" s="243"/>
      <c r="Q543" s="244"/>
      <c r="R543" s="243"/>
      <c r="S543" s="244"/>
      <c r="T543" s="243"/>
      <c r="U543" s="244"/>
      <c r="V543" s="246"/>
      <c r="W543" s="244"/>
      <c r="X543" s="243"/>
      <c r="Y543" s="244"/>
      <c r="Z543" s="243"/>
      <c r="AA543" s="243"/>
      <c r="AB543" s="243"/>
    </row>
    <row r="544">
      <c r="A544" s="243"/>
      <c r="B544" s="244"/>
      <c r="C544" s="243"/>
      <c r="D544" s="243"/>
      <c r="E544" s="243"/>
      <c r="F544" s="243"/>
      <c r="G544" s="243"/>
      <c r="H544" s="245"/>
      <c r="I544" s="245"/>
      <c r="J544" s="243"/>
      <c r="K544" s="243"/>
      <c r="L544" s="243"/>
      <c r="M544" s="243"/>
      <c r="N544" s="243"/>
      <c r="O544" s="244"/>
      <c r="P544" s="243"/>
      <c r="Q544" s="244"/>
      <c r="R544" s="243"/>
      <c r="S544" s="244"/>
      <c r="T544" s="243"/>
      <c r="U544" s="244"/>
      <c r="V544" s="246"/>
      <c r="W544" s="244"/>
      <c r="X544" s="243"/>
      <c r="Y544" s="244"/>
      <c r="Z544" s="243"/>
      <c r="AA544" s="243"/>
      <c r="AB544" s="243"/>
    </row>
    <row r="545">
      <c r="A545" s="243"/>
      <c r="B545" s="244"/>
      <c r="C545" s="243"/>
      <c r="D545" s="243"/>
      <c r="E545" s="243"/>
      <c r="F545" s="243"/>
      <c r="G545" s="243"/>
      <c r="H545" s="245"/>
      <c r="I545" s="245"/>
      <c r="J545" s="243"/>
      <c r="K545" s="243"/>
      <c r="L545" s="243"/>
      <c r="M545" s="243"/>
      <c r="N545" s="243"/>
      <c r="O545" s="244"/>
      <c r="P545" s="243"/>
      <c r="Q545" s="244"/>
      <c r="R545" s="243"/>
      <c r="S545" s="244"/>
      <c r="T545" s="243"/>
      <c r="U545" s="244"/>
      <c r="V545" s="246"/>
      <c r="W545" s="244"/>
      <c r="X545" s="243"/>
      <c r="Y545" s="244"/>
      <c r="Z545" s="243"/>
      <c r="AA545" s="243"/>
      <c r="AB545" s="243"/>
    </row>
    <row r="546">
      <c r="A546" s="243"/>
      <c r="B546" s="244"/>
      <c r="C546" s="243"/>
      <c r="D546" s="243"/>
      <c r="E546" s="243"/>
      <c r="F546" s="243"/>
      <c r="G546" s="243"/>
      <c r="H546" s="245"/>
      <c r="I546" s="245"/>
      <c r="J546" s="243"/>
      <c r="K546" s="243"/>
      <c r="L546" s="243"/>
      <c r="M546" s="243"/>
      <c r="N546" s="243"/>
      <c r="O546" s="244"/>
      <c r="P546" s="243"/>
      <c r="Q546" s="244"/>
      <c r="R546" s="243"/>
      <c r="S546" s="244"/>
      <c r="T546" s="243"/>
      <c r="U546" s="244"/>
      <c r="V546" s="246"/>
      <c r="W546" s="244"/>
      <c r="X546" s="243"/>
      <c r="Y546" s="244"/>
      <c r="Z546" s="243"/>
      <c r="AA546" s="243"/>
      <c r="AB546" s="243"/>
    </row>
    <row r="547">
      <c r="A547" s="243"/>
      <c r="B547" s="244"/>
      <c r="C547" s="243"/>
      <c r="D547" s="243"/>
      <c r="E547" s="243"/>
      <c r="F547" s="243"/>
      <c r="G547" s="243"/>
      <c r="H547" s="245"/>
      <c r="I547" s="245"/>
      <c r="J547" s="243"/>
      <c r="K547" s="243"/>
      <c r="L547" s="243"/>
      <c r="M547" s="243"/>
      <c r="N547" s="243"/>
      <c r="O547" s="244"/>
      <c r="P547" s="243"/>
      <c r="Q547" s="244"/>
      <c r="R547" s="243"/>
      <c r="S547" s="244"/>
      <c r="T547" s="243"/>
      <c r="U547" s="244"/>
      <c r="V547" s="246"/>
      <c r="W547" s="244"/>
      <c r="X547" s="243"/>
      <c r="Y547" s="244"/>
      <c r="Z547" s="243"/>
      <c r="AA547" s="243"/>
      <c r="AB547" s="243"/>
    </row>
    <row r="548">
      <c r="A548" s="243"/>
      <c r="B548" s="244"/>
      <c r="C548" s="243"/>
      <c r="D548" s="243"/>
      <c r="E548" s="243"/>
      <c r="F548" s="243"/>
      <c r="G548" s="243"/>
      <c r="H548" s="245"/>
      <c r="I548" s="245"/>
      <c r="J548" s="243"/>
      <c r="K548" s="243"/>
      <c r="L548" s="243"/>
      <c r="M548" s="243"/>
      <c r="N548" s="243"/>
      <c r="O548" s="244"/>
      <c r="P548" s="243"/>
      <c r="Q548" s="244"/>
      <c r="R548" s="243"/>
      <c r="S548" s="244"/>
      <c r="T548" s="243"/>
      <c r="U548" s="244"/>
      <c r="V548" s="246"/>
      <c r="W548" s="244"/>
      <c r="X548" s="243"/>
      <c r="Y548" s="244"/>
      <c r="Z548" s="243"/>
      <c r="AA548" s="243"/>
      <c r="AB548" s="243"/>
    </row>
    <row r="549">
      <c r="A549" s="243"/>
      <c r="B549" s="244"/>
      <c r="C549" s="243"/>
      <c r="D549" s="243"/>
      <c r="E549" s="243"/>
      <c r="F549" s="243"/>
      <c r="G549" s="243"/>
      <c r="H549" s="245"/>
      <c r="I549" s="245"/>
      <c r="J549" s="243"/>
      <c r="K549" s="243"/>
      <c r="L549" s="243"/>
      <c r="M549" s="243"/>
      <c r="N549" s="243"/>
      <c r="O549" s="244"/>
      <c r="P549" s="243"/>
      <c r="Q549" s="244"/>
      <c r="R549" s="243"/>
      <c r="S549" s="244"/>
      <c r="T549" s="243"/>
      <c r="U549" s="244"/>
      <c r="V549" s="246"/>
      <c r="W549" s="244"/>
      <c r="X549" s="243"/>
      <c r="Y549" s="244"/>
      <c r="Z549" s="243"/>
      <c r="AA549" s="243"/>
      <c r="AB549" s="243"/>
    </row>
    <row r="550">
      <c r="A550" s="243"/>
      <c r="B550" s="244"/>
      <c r="C550" s="243"/>
      <c r="D550" s="243"/>
      <c r="E550" s="243"/>
      <c r="F550" s="243"/>
      <c r="G550" s="243"/>
      <c r="H550" s="245"/>
      <c r="I550" s="245"/>
      <c r="J550" s="243"/>
      <c r="K550" s="243"/>
      <c r="L550" s="243"/>
      <c r="M550" s="243"/>
      <c r="N550" s="243"/>
      <c r="O550" s="244"/>
      <c r="P550" s="243"/>
      <c r="Q550" s="244"/>
      <c r="R550" s="243"/>
      <c r="S550" s="244"/>
      <c r="T550" s="243"/>
      <c r="U550" s="244"/>
      <c r="V550" s="246"/>
      <c r="W550" s="244"/>
      <c r="X550" s="243"/>
      <c r="Y550" s="244"/>
      <c r="Z550" s="243"/>
      <c r="AA550" s="243"/>
      <c r="AB550" s="243"/>
    </row>
    <row r="551">
      <c r="A551" s="243"/>
      <c r="B551" s="244"/>
      <c r="C551" s="243"/>
      <c r="D551" s="243"/>
      <c r="E551" s="243"/>
      <c r="F551" s="243"/>
      <c r="G551" s="243"/>
      <c r="H551" s="245"/>
      <c r="I551" s="245"/>
      <c r="J551" s="243"/>
      <c r="K551" s="243"/>
      <c r="L551" s="243"/>
      <c r="M551" s="243"/>
      <c r="N551" s="243"/>
      <c r="O551" s="244"/>
      <c r="P551" s="243"/>
      <c r="Q551" s="244"/>
      <c r="R551" s="243"/>
      <c r="S551" s="244"/>
      <c r="T551" s="243"/>
      <c r="U551" s="244"/>
      <c r="V551" s="246"/>
      <c r="W551" s="244"/>
      <c r="X551" s="243"/>
      <c r="Y551" s="244"/>
      <c r="Z551" s="243"/>
      <c r="AA551" s="243"/>
      <c r="AB551" s="243"/>
    </row>
    <row r="552">
      <c r="A552" s="243"/>
      <c r="B552" s="244"/>
      <c r="C552" s="243"/>
      <c r="D552" s="243"/>
      <c r="E552" s="243"/>
      <c r="F552" s="243"/>
      <c r="G552" s="243"/>
      <c r="H552" s="245"/>
      <c r="I552" s="245"/>
      <c r="J552" s="243"/>
      <c r="K552" s="243"/>
      <c r="L552" s="243"/>
      <c r="M552" s="243"/>
      <c r="N552" s="243"/>
      <c r="O552" s="244"/>
      <c r="P552" s="243"/>
      <c r="Q552" s="244"/>
      <c r="R552" s="243"/>
      <c r="S552" s="244"/>
      <c r="T552" s="243"/>
      <c r="U552" s="244"/>
      <c r="V552" s="246"/>
      <c r="W552" s="244"/>
      <c r="X552" s="243"/>
      <c r="Y552" s="244"/>
      <c r="Z552" s="243"/>
      <c r="AA552" s="243"/>
      <c r="AB552" s="243"/>
    </row>
    <row r="553">
      <c r="A553" s="243"/>
      <c r="B553" s="244"/>
      <c r="C553" s="243"/>
      <c r="D553" s="243"/>
      <c r="E553" s="243"/>
      <c r="F553" s="243"/>
      <c r="G553" s="243"/>
      <c r="H553" s="245"/>
      <c r="I553" s="245"/>
      <c r="J553" s="243"/>
      <c r="K553" s="243"/>
      <c r="L553" s="243"/>
      <c r="M553" s="243"/>
      <c r="N553" s="243"/>
      <c r="O553" s="244"/>
      <c r="P553" s="243"/>
      <c r="Q553" s="244"/>
      <c r="R553" s="243"/>
      <c r="S553" s="244"/>
      <c r="T553" s="243"/>
      <c r="U553" s="244"/>
      <c r="V553" s="246"/>
      <c r="W553" s="244"/>
      <c r="X553" s="243"/>
      <c r="Y553" s="244"/>
      <c r="Z553" s="243"/>
      <c r="AA553" s="243"/>
      <c r="AB553" s="243"/>
    </row>
    <row r="554">
      <c r="A554" s="243"/>
      <c r="B554" s="244"/>
      <c r="C554" s="243"/>
      <c r="D554" s="243"/>
      <c r="E554" s="243"/>
      <c r="F554" s="243"/>
      <c r="G554" s="243"/>
      <c r="H554" s="245"/>
      <c r="I554" s="245"/>
      <c r="J554" s="243"/>
      <c r="K554" s="243"/>
      <c r="L554" s="243"/>
      <c r="M554" s="243"/>
      <c r="N554" s="243"/>
      <c r="O554" s="244"/>
      <c r="P554" s="243"/>
      <c r="Q554" s="244"/>
      <c r="R554" s="243"/>
      <c r="S554" s="244"/>
      <c r="T554" s="243"/>
      <c r="U554" s="244"/>
      <c r="V554" s="246"/>
      <c r="W554" s="244"/>
      <c r="X554" s="243"/>
      <c r="Y554" s="244"/>
      <c r="Z554" s="243"/>
      <c r="AA554" s="243"/>
      <c r="AB554" s="243"/>
    </row>
    <row r="555">
      <c r="A555" s="243"/>
      <c r="B555" s="244"/>
      <c r="C555" s="243"/>
      <c r="D555" s="243"/>
      <c r="E555" s="243"/>
      <c r="F555" s="243"/>
      <c r="G555" s="243"/>
      <c r="H555" s="245"/>
      <c r="I555" s="245"/>
      <c r="J555" s="243"/>
      <c r="K555" s="243"/>
      <c r="L555" s="243"/>
      <c r="M555" s="243"/>
      <c r="N555" s="243"/>
      <c r="O555" s="244"/>
      <c r="P555" s="243"/>
      <c r="Q555" s="244"/>
      <c r="R555" s="243"/>
      <c r="S555" s="244"/>
      <c r="T555" s="243"/>
      <c r="U555" s="244"/>
      <c r="V555" s="246"/>
      <c r="W555" s="244"/>
      <c r="X555" s="243"/>
      <c r="Y555" s="244"/>
      <c r="Z555" s="243"/>
      <c r="AA555" s="243"/>
      <c r="AB555" s="243"/>
    </row>
    <row r="556">
      <c r="A556" s="243"/>
      <c r="B556" s="244"/>
      <c r="C556" s="243"/>
      <c r="D556" s="243"/>
      <c r="E556" s="243"/>
      <c r="F556" s="243"/>
      <c r="G556" s="243"/>
      <c r="H556" s="245"/>
      <c r="I556" s="245"/>
      <c r="J556" s="243"/>
      <c r="K556" s="243"/>
      <c r="L556" s="243"/>
      <c r="M556" s="243"/>
      <c r="N556" s="243"/>
      <c r="O556" s="244"/>
      <c r="P556" s="243"/>
      <c r="Q556" s="244"/>
      <c r="R556" s="243"/>
      <c r="S556" s="244"/>
      <c r="T556" s="243"/>
      <c r="U556" s="244"/>
      <c r="V556" s="246"/>
      <c r="W556" s="244"/>
      <c r="X556" s="243"/>
      <c r="Y556" s="244"/>
      <c r="Z556" s="243"/>
      <c r="AA556" s="243"/>
      <c r="AB556" s="243"/>
    </row>
    <row r="557">
      <c r="A557" s="243"/>
      <c r="B557" s="244"/>
      <c r="C557" s="243"/>
      <c r="D557" s="243"/>
      <c r="E557" s="243"/>
      <c r="F557" s="243"/>
      <c r="G557" s="243"/>
      <c r="H557" s="245"/>
      <c r="I557" s="245"/>
      <c r="J557" s="243"/>
      <c r="K557" s="243"/>
      <c r="L557" s="243"/>
      <c r="M557" s="243"/>
      <c r="N557" s="243"/>
      <c r="O557" s="244"/>
      <c r="P557" s="243"/>
      <c r="Q557" s="244"/>
      <c r="R557" s="243"/>
      <c r="S557" s="244"/>
      <c r="T557" s="243"/>
      <c r="U557" s="244"/>
      <c r="V557" s="246"/>
      <c r="W557" s="244"/>
      <c r="X557" s="243"/>
      <c r="Y557" s="244"/>
      <c r="Z557" s="243"/>
      <c r="AA557" s="243"/>
      <c r="AB557" s="243"/>
    </row>
    <row r="558">
      <c r="A558" s="243"/>
      <c r="B558" s="244"/>
      <c r="C558" s="243"/>
      <c r="D558" s="243"/>
      <c r="E558" s="243"/>
      <c r="F558" s="243"/>
      <c r="G558" s="243"/>
      <c r="H558" s="245"/>
      <c r="I558" s="245"/>
      <c r="J558" s="243"/>
      <c r="K558" s="243"/>
      <c r="L558" s="243"/>
      <c r="M558" s="243"/>
      <c r="N558" s="243"/>
      <c r="O558" s="244"/>
      <c r="P558" s="243"/>
      <c r="Q558" s="244"/>
      <c r="R558" s="243"/>
      <c r="S558" s="244"/>
      <c r="T558" s="243"/>
      <c r="U558" s="244"/>
      <c r="V558" s="246"/>
      <c r="W558" s="244"/>
      <c r="X558" s="243"/>
      <c r="Y558" s="244"/>
      <c r="Z558" s="243"/>
      <c r="AA558" s="243"/>
      <c r="AB558" s="243"/>
    </row>
    <row r="559">
      <c r="A559" s="243"/>
      <c r="B559" s="244"/>
      <c r="C559" s="243"/>
      <c r="D559" s="243"/>
      <c r="E559" s="243"/>
      <c r="F559" s="243"/>
      <c r="G559" s="243"/>
      <c r="H559" s="245"/>
      <c r="I559" s="245"/>
      <c r="J559" s="243"/>
      <c r="K559" s="243"/>
      <c r="L559" s="243"/>
      <c r="M559" s="243"/>
      <c r="N559" s="243"/>
      <c r="O559" s="244"/>
      <c r="P559" s="243"/>
      <c r="Q559" s="244"/>
      <c r="R559" s="243"/>
      <c r="S559" s="244"/>
      <c r="T559" s="243"/>
      <c r="U559" s="244"/>
      <c r="V559" s="246"/>
      <c r="W559" s="244"/>
      <c r="X559" s="243"/>
      <c r="Y559" s="244"/>
      <c r="Z559" s="243"/>
      <c r="AA559" s="243"/>
      <c r="AB559" s="243"/>
    </row>
    <row r="560">
      <c r="A560" s="243"/>
      <c r="B560" s="244"/>
      <c r="C560" s="243"/>
      <c r="D560" s="243"/>
      <c r="E560" s="243"/>
      <c r="F560" s="243"/>
      <c r="G560" s="243"/>
      <c r="H560" s="245"/>
      <c r="I560" s="245"/>
      <c r="J560" s="243"/>
      <c r="K560" s="243"/>
      <c r="L560" s="243"/>
      <c r="M560" s="243"/>
      <c r="N560" s="243"/>
      <c r="O560" s="244"/>
      <c r="P560" s="243"/>
      <c r="Q560" s="244"/>
      <c r="R560" s="243"/>
      <c r="S560" s="244"/>
      <c r="T560" s="243"/>
      <c r="U560" s="244"/>
      <c r="V560" s="246"/>
      <c r="W560" s="244"/>
      <c r="X560" s="243"/>
      <c r="Y560" s="244"/>
      <c r="Z560" s="243"/>
      <c r="AA560" s="243"/>
      <c r="AB560" s="243"/>
    </row>
    <row r="561">
      <c r="A561" s="243"/>
      <c r="B561" s="244"/>
      <c r="C561" s="243"/>
      <c r="D561" s="243"/>
      <c r="E561" s="243"/>
      <c r="F561" s="243"/>
      <c r="G561" s="243"/>
      <c r="H561" s="245"/>
      <c r="I561" s="245"/>
      <c r="J561" s="243"/>
      <c r="K561" s="243"/>
      <c r="L561" s="243"/>
      <c r="M561" s="243"/>
      <c r="N561" s="243"/>
      <c r="O561" s="244"/>
      <c r="P561" s="243"/>
      <c r="Q561" s="244"/>
      <c r="R561" s="243"/>
      <c r="S561" s="244"/>
      <c r="T561" s="243"/>
      <c r="U561" s="244"/>
      <c r="V561" s="246"/>
      <c r="W561" s="244"/>
      <c r="X561" s="243"/>
      <c r="Y561" s="244"/>
      <c r="Z561" s="243"/>
      <c r="AA561" s="243"/>
      <c r="AB561" s="243"/>
    </row>
    <row r="562">
      <c r="A562" s="243"/>
      <c r="B562" s="244"/>
      <c r="C562" s="243"/>
      <c r="D562" s="243"/>
      <c r="E562" s="243"/>
      <c r="F562" s="243"/>
      <c r="G562" s="243"/>
      <c r="H562" s="245"/>
      <c r="I562" s="245"/>
      <c r="J562" s="243"/>
      <c r="K562" s="243"/>
      <c r="L562" s="243"/>
      <c r="M562" s="243"/>
      <c r="N562" s="243"/>
      <c r="O562" s="244"/>
      <c r="P562" s="243"/>
      <c r="Q562" s="244"/>
      <c r="R562" s="243"/>
      <c r="S562" s="244"/>
      <c r="T562" s="243"/>
      <c r="U562" s="244"/>
      <c r="V562" s="246"/>
      <c r="W562" s="244"/>
      <c r="X562" s="243"/>
      <c r="Y562" s="244"/>
      <c r="Z562" s="243"/>
      <c r="AA562" s="243"/>
      <c r="AB562" s="243"/>
    </row>
    <row r="563">
      <c r="A563" s="243"/>
      <c r="B563" s="244"/>
      <c r="C563" s="243"/>
      <c r="D563" s="243"/>
      <c r="E563" s="243"/>
      <c r="F563" s="243"/>
      <c r="G563" s="243"/>
      <c r="H563" s="245"/>
      <c r="I563" s="245"/>
      <c r="J563" s="243"/>
      <c r="K563" s="243"/>
      <c r="L563" s="243"/>
      <c r="M563" s="243"/>
      <c r="N563" s="243"/>
      <c r="O563" s="244"/>
      <c r="P563" s="243"/>
      <c r="Q563" s="244"/>
      <c r="R563" s="243"/>
      <c r="S563" s="244"/>
      <c r="T563" s="243"/>
      <c r="U563" s="244"/>
      <c r="V563" s="246"/>
      <c r="W563" s="244"/>
      <c r="X563" s="243"/>
      <c r="Y563" s="244"/>
      <c r="Z563" s="243"/>
      <c r="AA563" s="243"/>
      <c r="AB563" s="243"/>
    </row>
    <row r="564">
      <c r="A564" s="243"/>
      <c r="B564" s="244"/>
      <c r="C564" s="243"/>
      <c r="D564" s="243"/>
      <c r="E564" s="243"/>
      <c r="F564" s="243"/>
      <c r="G564" s="243"/>
      <c r="H564" s="245"/>
      <c r="I564" s="245"/>
      <c r="J564" s="243"/>
      <c r="K564" s="243"/>
      <c r="L564" s="243"/>
      <c r="M564" s="243"/>
      <c r="N564" s="243"/>
      <c r="O564" s="244"/>
      <c r="P564" s="243"/>
      <c r="Q564" s="244"/>
      <c r="R564" s="243"/>
      <c r="S564" s="244"/>
      <c r="T564" s="243"/>
      <c r="U564" s="244"/>
      <c r="V564" s="246"/>
      <c r="W564" s="244"/>
      <c r="X564" s="243"/>
      <c r="Y564" s="244"/>
      <c r="Z564" s="243"/>
      <c r="AA564" s="243"/>
      <c r="AB564" s="243"/>
    </row>
    <row r="565">
      <c r="A565" s="243"/>
      <c r="B565" s="244"/>
      <c r="C565" s="243"/>
      <c r="D565" s="243"/>
      <c r="E565" s="243"/>
      <c r="F565" s="243"/>
      <c r="G565" s="243"/>
      <c r="H565" s="245"/>
      <c r="I565" s="245"/>
      <c r="J565" s="243"/>
      <c r="K565" s="243"/>
      <c r="L565" s="243"/>
      <c r="M565" s="243"/>
      <c r="N565" s="243"/>
      <c r="O565" s="244"/>
      <c r="P565" s="243"/>
      <c r="Q565" s="244"/>
      <c r="R565" s="243"/>
      <c r="S565" s="244"/>
      <c r="T565" s="243"/>
      <c r="U565" s="244"/>
      <c r="V565" s="246"/>
      <c r="W565" s="244"/>
      <c r="X565" s="243"/>
      <c r="Y565" s="244"/>
      <c r="Z565" s="243"/>
      <c r="AA565" s="243"/>
      <c r="AB565" s="243"/>
    </row>
    <row r="566">
      <c r="A566" s="243"/>
      <c r="B566" s="244"/>
      <c r="C566" s="243"/>
      <c r="D566" s="243"/>
      <c r="E566" s="243"/>
      <c r="F566" s="243"/>
      <c r="G566" s="243"/>
      <c r="H566" s="245"/>
      <c r="I566" s="245"/>
      <c r="J566" s="243"/>
      <c r="K566" s="243"/>
      <c r="L566" s="243"/>
      <c r="M566" s="243"/>
      <c r="N566" s="243"/>
      <c r="O566" s="244"/>
      <c r="P566" s="243"/>
      <c r="Q566" s="244"/>
      <c r="R566" s="243"/>
      <c r="S566" s="244"/>
      <c r="T566" s="243"/>
      <c r="U566" s="244"/>
      <c r="V566" s="246"/>
      <c r="W566" s="244"/>
      <c r="X566" s="243"/>
      <c r="Y566" s="244"/>
      <c r="Z566" s="243"/>
      <c r="AA566" s="243"/>
      <c r="AB566" s="243"/>
    </row>
    <row r="567">
      <c r="A567" s="243"/>
      <c r="B567" s="244"/>
      <c r="C567" s="243"/>
      <c r="D567" s="243"/>
      <c r="E567" s="243"/>
      <c r="F567" s="243"/>
      <c r="G567" s="243"/>
      <c r="H567" s="245"/>
      <c r="I567" s="245"/>
      <c r="J567" s="243"/>
      <c r="K567" s="243"/>
      <c r="L567" s="243"/>
      <c r="M567" s="243"/>
      <c r="N567" s="243"/>
      <c r="O567" s="244"/>
      <c r="P567" s="243"/>
      <c r="Q567" s="244"/>
      <c r="R567" s="243"/>
      <c r="S567" s="244"/>
      <c r="T567" s="243"/>
      <c r="U567" s="244"/>
      <c r="V567" s="246"/>
      <c r="W567" s="244"/>
      <c r="X567" s="243"/>
      <c r="Y567" s="244"/>
      <c r="Z567" s="243"/>
      <c r="AA567" s="243"/>
      <c r="AB567" s="243"/>
    </row>
    <row r="568">
      <c r="A568" s="243"/>
      <c r="B568" s="244"/>
      <c r="C568" s="243"/>
      <c r="D568" s="243"/>
      <c r="E568" s="243"/>
      <c r="F568" s="243"/>
      <c r="G568" s="243"/>
      <c r="H568" s="245"/>
      <c r="I568" s="245"/>
      <c r="J568" s="243"/>
      <c r="K568" s="243"/>
      <c r="L568" s="243"/>
      <c r="M568" s="243"/>
      <c r="N568" s="243"/>
      <c r="O568" s="244"/>
      <c r="P568" s="243"/>
      <c r="Q568" s="244"/>
      <c r="R568" s="243"/>
      <c r="S568" s="244"/>
      <c r="T568" s="243"/>
      <c r="U568" s="244"/>
      <c r="V568" s="246"/>
      <c r="W568" s="244"/>
      <c r="X568" s="243"/>
      <c r="Y568" s="244"/>
      <c r="Z568" s="243"/>
      <c r="AA568" s="243"/>
      <c r="AB568" s="243"/>
    </row>
    <row r="569">
      <c r="A569" s="243"/>
      <c r="B569" s="244"/>
      <c r="C569" s="243"/>
      <c r="D569" s="243"/>
      <c r="E569" s="243"/>
      <c r="F569" s="243"/>
      <c r="G569" s="243"/>
      <c r="H569" s="245"/>
      <c r="I569" s="245"/>
      <c r="J569" s="243"/>
      <c r="K569" s="243"/>
      <c r="L569" s="243"/>
      <c r="M569" s="243"/>
      <c r="N569" s="243"/>
      <c r="O569" s="244"/>
      <c r="P569" s="243"/>
      <c r="Q569" s="244"/>
      <c r="R569" s="243"/>
      <c r="S569" s="244"/>
      <c r="T569" s="243"/>
      <c r="U569" s="244"/>
      <c r="V569" s="246"/>
      <c r="W569" s="244"/>
      <c r="X569" s="243"/>
      <c r="Y569" s="244"/>
      <c r="Z569" s="243"/>
      <c r="AA569" s="243"/>
      <c r="AB569" s="243"/>
    </row>
    <row r="570">
      <c r="A570" s="243"/>
      <c r="B570" s="244"/>
      <c r="C570" s="243"/>
      <c r="D570" s="243"/>
      <c r="E570" s="243"/>
      <c r="F570" s="243"/>
      <c r="G570" s="243"/>
      <c r="H570" s="245"/>
      <c r="I570" s="245"/>
      <c r="J570" s="243"/>
      <c r="K570" s="243"/>
      <c r="L570" s="243"/>
      <c r="M570" s="243"/>
      <c r="N570" s="243"/>
      <c r="O570" s="244"/>
      <c r="P570" s="243"/>
      <c r="Q570" s="244"/>
      <c r="R570" s="243"/>
      <c r="S570" s="244"/>
      <c r="T570" s="243"/>
      <c r="U570" s="244"/>
      <c r="V570" s="246"/>
      <c r="W570" s="244"/>
      <c r="X570" s="243"/>
      <c r="Y570" s="244"/>
      <c r="Z570" s="243"/>
      <c r="AA570" s="243"/>
      <c r="AB570" s="243"/>
    </row>
    <row r="571">
      <c r="A571" s="243"/>
      <c r="B571" s="244"/>
      <c r="C571" s="243"/>
      <c r="D571" s="243"/>
      <c r="E571" s="243"/>
      <c r="F571" s="243"/>
      <c r="G571" s="243"/>
      <c r="H571" s="245"/>
      <c r="I571" s="245"/>
      <c r="J571" s="243"/>
      <c r="K571" s="243"/>
      <c r="L571" s="243"/>
      <c r="M571" s="243"/>
      <c r="N571" s="243"/>
      <c r="O571" s="244"/>
      <c r="P571" s="243"/>
      <c r="Q571" s="244"/>
      <c r="R571" s="243"/>
      <c r="S571" s="244"/>
      <c r="T571" s="243"/>
      <c r="U571" s="244"/>
      <c r="V571" s="246"/>
      <c r="W571" s="244"/>
      <c r="X571" s="243"/>
      <c r="Y571" s="244"/>
      <c r="Z571" s="243"/>
      <c r="AA571" s="243"/>
      <c r="AB571" s="243"/>
    </row>
    <row r="572">
      <c r="A572" s="243"/>
      <c r="B572" s="244"/>
      <c r="C572" s="243"/>
      <c r="D572" s="243"/>
      <c r="E572" s="243"/>
      <c r="F572" s="243"/>
      <c r="G572" s="243"/>
      <c r="H572" s="245"/>
      <c r="I572" s="245"/>
      <c r="J572" s="243"/>
      <c r="K572" s="243"/>
      <c r="L572" s="243"/>
      <c r="M572" s="243"/>
      <c r="N572" s="243"/>
      <c r="O572" s="244"/>
      <c r="P572" s="243"/>
      <c r="Q572" s="244"/>
      <c r="R572" s="243"/>
      <c r="S572" s="244"/>
      <c r="T572" s="243"/>
      <c r="U572" s="244"/>
      <c r="V572" s="246"/>
      <c r="W572" s="244"/>
      <c r="X572" s="243"/>
      <c r="Y572" s="244"/>
      <c r="Z572" s="243"/>
      <c r="AA572" s="243"/>
      <c r="AB572" s="243"/>
    </row>
    <row r="573">
      <c r="A573" s="243"/>
      <c r="B573" s="244"/>
      <c r="C573" s="243"/>
      <c r="D573" s="243"/>
      <c r="E573" s="243"/>
      <c r="F573" s="243"/>
      <c r="G573" s="243"/>
      <c r="H573" s="245"/>
      <c r="I573" s="245"/>
      <c r="J573" s="243"/>
      <c r="K573" s="243"/>
      <c r="L573" s="243"/>
      <c r="M573" s="243"/>
      <c r="N573" s="243"/>
      <c r="O573" s="244"/>
      <c r="P573" s="243"/>
      <c r="Q573" s="244"/>
      <c r="R573" s="243"/>
      <c r="S573" s="244"/>
      <c r="T573" s="243"/>
      <c r="U573" s="244"/>
      <c r="V573" s="246"/>
      <c r="W573" s="244"/>
      <c r="X573" s="243"/>
      <c r="Y573" s="244"/>
      <c r="Z573" s="243"/>
      <c r="AA573" s="243"/>
      <c r="AB573" s="243"/>
    </row>
    <row r="574">
      <c r="A574" s="243"/>
      <c r="B574" s="244"/>
      <c r="C574" s="243"/>
      <c r="D574" s="243"/>
      <c r="E574" s="243"/>
      <c r="F574" s="243"/>
      <c r="G574" s="243"/>
      <c r="H574" s="245"/>
      <c r="I574" s="245"/>
      <c r="J574" s="243"/>
      <c r="K574" s="243"/>
      <c r="L574" s="243"/>
      <c r="M574" s="243"/>
      <c r="N574" s="243"/>
      <c r="O574" s="244"/>
      <c r="P574" s="243"/>
      <c r="Q574" s="244"/>
      <c r="R574" s="243"/>
      <c r="S574" s="244"/>
      <c r="T574" s="243"/>
      <c r="U574" s="244"/>
      <c r="V574" s="246"/>
      <c r="W574" s="244"/>
      <c r="X574" s="243"/>
      <c r="Y574" s="244"/>
      <c r="Z574" s="243"/>
      <c r="AA574" s="243"/>
      <c r="AB574" s="243"/>
    </row>
    <row r="575">
      <c r="A575" s="243"/>
      <c r="B575" s="244"/>
      <c r="C575" s="243"/>
      <c r="D575" s="243"/>
      <c r="E575" s="243"/>
      <c r="F575" s="243"/>
      <c r="G575" s="243"/>
      <c r="H575" s="245"/>
      <c r="I575" s="245"/>
      <c r="J575" s="243"/>
      <c r="K575" s="243"/>
      <c r="L575" s="243"/>
      <c r="M575" s="243"/>
      <c r="N575" s="243"/>
      <c r="O575" s="244"/>
      <c r="P575" s="243"/>
      <c r="Q575" s="244"/>
      <c r="R575" s="243"/>
      <c r="S575" s="244"/>
      <c r="T575" s="243"/>
      <c r="U575" s="244"/>
      <c r="V575" s="246"/>
      <c r="W575" s="244"/>
      <c r="X575" s="243"/>
      <c r="Y575" s="244"/>
      <c r="Z575" s="243"/>
      <c r="AA575" s="243"/>
      <c r="AB575" s="243"/>
    </row>
    <row r="576">
      <c r="A576" s="243"/>
      <c r="B576" s="244"/>
      <c r="C576" s="243"/>
      <c r="D576" s="243"/>
      <c r="E576" s="243"/>
      <c r="F576" s="243"/>
      <c r="G576" s="243"/>
      <c r="H576" s="245"/>
      <c r="I576" s="245"/>
      <c r="J576" s="243"/>
      <c r="K576" s="243"/>
      <c r="L576" s="243"/>
      <c r="M576" s="243"/>
      <c r="N576" s="243"/>
      <c r="O576" s="244"/>
      <c r="P576" s="243"/>
      <c r="Q576" s="244"/>
      <c r="R576" s="243"/>
      <c r="S576" s="244"/>
      <c r="T576" s="243"/>
      <c r="U576" s="244"/>
      <c r="V576" s="246"/>
      <c r="W576" s="244"/>
      <c r="X576" s="243"/>
      <c r="Y576" s="244"/>
      <c r="Z576" s="243"/>
      <c r="AA576" s="243"/>
      <c r="AB576" s="243"/>
    </row>
    <row r="577">
      <c r="A577" s="243"/>
      <c r="B577" s="244"/>
      <c r="C577" s="243"/>
      <c r="D577" s="243"/>
      <c r="E577" s="243"/>
      <c r="F577" s="243"/>
      <c r="G577" s="243"/>
      <c r="H577" s="245"/>
      <c r="I577" s="245"/>
      <c r="J577" s="243"/>
      <c r="K577" s="243"/>
      <c r="L577" s="243"/>
      <c r="M577" s="243"/>
      <c r="N577" s="243"/>
      <c r="O577" s="244"/>
      <c r="P577" s="243"/>
      <c r="Q577" s="244"/>
      <c r="R577" s="243"/>
      <c r="S577" s="244"/>
      <c r="T577" s="243"/>
      <c r="U577" s="244"/>
      <c r="V577" s="246"/>
      <c r="W577" s="244"/>
      <c r="X577" s="243"/>
      <c r="Y577" s="244"/>
      <c r="Z577" s="243"/>
      <c r="AA577" s="243"/>
      <c r="AB577" s="243"/>
    </row>
    <row r="578">
      <c r="A578" s="243"/>
      <c r="B578" s="244"/>
      <c r="C578" s="243"/>
      <c r="D578" s="243"/>
      <c r="E578" s="243"/>
      <c r="F578" s="243"/>
      <c r="G578" s="243"/>
      <c r="H578" s="245"/>
      <c r="I578" s="245"/>
      <c r="J578" s="243"/>
      <c r="K578" s="243"/>
      <c r="L578" s="243"/>
      <c r="M578" s="243"/>
      <c r="N578" s="243"/>
      <c r="O578" s="244"/>
      <c r="P578" s="243"/>
      <c r="Q578" s="244"/>
      <c r="R578" s="243"/>
      <c r="S578" s="244"/>
      <c r="T578" s="243"/>
      <c r="U578" s="244"/>
      <c r="V578" s="246"/>
      <c r="W578" s="244"/>
      <c r="X578" s="243"/>
      <c r="Y578" s="244"/>
      <c r="Z578" s="243"/>
      <c r="AA578" s="243"/>
      <c r="AB578" s="243"/>
    </row>
    <row r="579">
      <c r="A579" s="243"/>
      <c r="B579" s="244"/>
      <c r="C579" s="243"/>
      <c r="D579" s="243"/>
      <c r="E579" s="243"/>
      <c r="F579" s="243"/>
      <c r="G579" s="243"/>
      <c r="H579" s="245"/>
      <c r="I579" s="245"/>
      <c r="J579" s="243"/>
      <c r="K579" s="243"/>
      <c r="L579" s="243"/>
      <c r="M579" s="243"/>
      <c r="N579" s="243"/>
      <c r="O579" s="244"/>
      <c r="P579" s="243"/>
      <c r="Q579" s="244"/>
      <c r="R579" s="243"/>
      <c r="S579" s="244"/>
      <c r="T579" s="243"/>
      <c r="U579" s="244"/>
      <c r="V579" s="246"/>
      <c r="W579" s="244"/>
      <c r="X579" s="243"/>
      <c r="Y579" s="244"/>
      <c r="Z579" s="243"/>
      <c r="AA579" s="243"/>
      <c r="AB579" s="243"/>
    </row>
    <row r="580">
      <c r="A580" s="243"/>
      <c r="B580" s="244"/>
      <c r="C580" s="243"/>
      <c r="D580" s="243"/>
      <c r="E580" s="243"/>
      <c r="F580" s="243"/>
      <c r="G580" s="243"/>
      <c r="H580" s="245"/>
      <c r="I580" s="245"/>
      <c r="J580" s="243"/>
      <c r="K580" s="243"/>
      <c r="L580" s="243"/>
      <c r="M580" s="243"/>
      <c r="N580" s="243"/>
      <c r="O580" s="244"/>
      <c r="P580" s="243"/>
      <c r="Q580" s="244"/>
      <c r="R580" s="243"/>
      <c r="S580" s="244"/>
      <c r="T580" s="243"/>
      <c r="U580" s="244"/>
      <c r="V580" s="246"/>
      <c r="W580" s="244"/>
      <c r="X580" s="243"/>
      <c r="Y580" s="244"/>
      <c r="Z580" s="243"/>
      <c r="AA580" s="243"/>
      <c r="AB580" s="243"/>
    </row>
    <row r="581">
      <c r="A581" s="243"/>
      <c r="B581" s="244"/>
      <c r="C581" s="243"/>
      <c r="D581" s="243"/>
      <c r="E581" s="243"/>
      <c r="F581" s="243"/>
      <c r="G581" s="243"/>
      <c r="H581" s="245"/>
      <c r="I581" s="245"/>
      <c r="J581" s="243"/>
      <c r="K581" s="243"/>
      <c r="L581" s="243"/>
      <c r="M581" s="243"/>
      <c r="N581" s="243"/>
      <c r="O581" s="244"/>
      <c r="P581" s="243"/>
      <c r="Q581" s="244"/>
      <c r="R581" s="243"/>
      <c r="S581" s="244"/>
      <c r="T581" s="243"/>
      <c r="U581" s="244"/>
      <c r="V581" s="246"/>
      <c r="W581" s="244"/>
      <c r="X581" s="243"/>
      <c r="Y581" s="244"/>
      <c r="Z581" s="243"/>
      <c r="AA581" s="243"/>
      <c r="AB581" s="243"/>
    </row>
    <row r="582">
      <c r="A582" s="243"/>
      <c r="B582" s="244"/>
      <c r="C582" s="243"/>
      <c r="D582" s="243"/>
      <c r="E582" s="243"/>
      <c r="F582" s="243"/>
      <c r="G582" s="243"/>
      <c r="H582" s="245"/>
      <c r="I582" s="245"/>
      <c r="J582" s="243"/>
      <c r="K582" s="243"/>
      <c r="L582" s="243"/>
      <c r="M582" s="243"/>
      <c r="N582" s="243"/>
      <c r="O582" s="244"/>
      <c r="P582" s="243"/>
      <c r="Q582" s="244"/>
      <c r="R582" s="243"/>
      <c r="S582" s="244"/>
      <c r="T582" s="243"/>
      <c r="U582" s="244"/>
      <c r="V582" s="246"/>
      <c r="W582" s="244"/>
      <c r="X582" s="243"/>
      <c r="Y582" s="244"/>
      <c r="Z582" s="243"/>
      <c r="AA582" s="243"/>
      <c r="AB582" s="243"/>
    </row>
    <row r="583">
      <c r="A583" s="243"/>
      <c r="B583" s="244"/>
      <c r="C583" s="243"/>
      <c r="D583" s="243"/>
      <c r="E583" s="243"/>
      <c r="F583" s="243"/>
      <c r="G583" s="243"/>
      <c r="H583" s="245"/>
      <c r="I583" s="245"/>
      <c r="J583" s="243"/>
      <c r="K583" s="243"/>
      <c r="L583" s="243"/>
      <c r="M583" s="243"/>
      <c r="N583" s="243"/>
      <c r="O583" s="244"/>
      <c r="P583" s="243"/>
      <c r="Q583" s="244"/>
      <c r="R583" s="243"/>
      <c r="S583" s="244"/>
      <c r="T583" s="243"/>
      <c r="U583" s="244"/>
      <c r="V583" s="246"/>
      <c r="W583" s="244"/>
      <c r="X583" s="243"/>
      <c r="Y583" s="244"/>
      <c r="Z583" s="243"/>
      <c r="AA583" s="243"/>
      <c r="AB583" s="243"/>
    </row>
    <row r="584">
      <c r="A584" s="243"/>
      <c r="B584" s="244"/>
      <c r="C584" s="243"/>
      <c r="D584" s="243"/>
      <c r="E584" s="243"/>
      <c r="F584" s="243"/>
      <c r="G584" s="243"/>
      <c r="H584" s="245"/>
      <c r="I584" s="245"/>
      <c r="J584" s="243"/>
      <c r="K584" s="243"/>
      <c r="L584" s="243"/>
      <c r="M584" s="243"/>
      <c r="N584" s="243"/>
      <c r="O584" s="244"/>
      <c r="P584" s="243"/>
      <c r="Q584" s="244"/>
      <c r="R584" s="243"/>
      <c r="S584" s="244"/>
      <c r="T584" s="243"/>
      <c r="U584" s="244"/>
      <c r="V584" s="246"/>
      <c r="W584" s="244"/>
      <c r="X584" s="243"/>
      <c r="Y584" s="244"/>
      <c r="Z584" s="243"/>
      <c r="AA584" s="243"/>
      <c r="AB584" s="243"/>
    </row>
    <row r="585">
      <c r="A585" s="243"/>
      <c r="B585" s="244"/>
      <c r="C585" s="243"/>
      <c r="D585" s="243"/>
      <c r="E585" s="243"/>
      <c r="F585" s="243"/>
      <c r="G585" s="243"/>
      <c r="H585" s="245"/>
      <c r="I585" s="245"/>
      <c r="J585" s="243"/>
      <c r="K585" s="243"/>
      <c r="L585" s="243"/>
      <c r="M585" s="243"/>
      <c r="N585" s="243"/>
      <c r="O585" s="244"/>
      <c r="P585" s="243"/>
      <c r="Q585" s="244"/>
      <c r="R585" s="243"/>
      <c r="S585" s="244"/>
      <c r="T585" s="243"/>
      <c r="U585" s="244"/>
      <c r="V585" s="246"/>
      <c r="W585" s="244"/>
      <c r="X585" s="243"/>
      <c r="Y585" s="244"/>
      <c r="Z585" s="243"/>
      <c r="AA585" s="243"/>
      <c r="AB585" s="243"/>
    </row>
    <row r="586">
      <c r="A586" s="243"/>
      <c r="B586" s="244"/>
      <c r="C586" s="243"/>
      <c r="D586" s="243"/>
      <c r="E586" s="243"/>
      <c r="F586" s="243"/>
      <c r="G586" s="243"/>
      <c r="H586" s="245"/>
      <c r="I586" s="245"/>
      <c r="J586" s="243"/>
      <c r="K586" s="243"/>
      <c r="L586" s="243"/>
      <c r="M586" s="243"/>
      <c r="N586" s="243"/>
      <c r="O586" s="244"/>
      <c r="P586" s="243"/>
      <c r="Q586" s="244"/>
      <c r="R586" s="243"/>
      <c r="S586" s="244"/>
      <c r="T586" s="243"/>
      <c r="U586" s="244"/>
      <c r="V586" s="246"/>
      <c r="W586" s="244"/>
      <c r="X586" s="243"/>
      <c r="Y586" s="244"/>
      <c r="Z586" s="243"/>
      <c r="AA586" s="243"/>
      <c r="AB586" s="243"/>
    </row>
    <row r="587">
      <c r="A587" s="243"/>
      <c r="B587" s="244"/>
      <c r="C587" s="243"/>
      <c r="D587" s="243"/>
      <c r="E587" s="243"/>
      <c r="F587" s="243"/>
      <c r="G587" s="243"/>
      <c r="H587" s="245"/>
      <c r="I587" s="245"/>
      <c r="J587" s="243"/>
      <c r="K587" s="243"/>
      <c r="L587" s="243"/>
      <c r="M587" s="243"/>
      <c r="N587" s="243"/>
      <c r="O587" s="244"/>
      <c r="P587" s="243"/>
      <c r="Q587" s="244"/>
      <c r="R587" s="243"/>
      <c r="S587" s="244"/>
      <c r="T587" s="243"/>
      <c r="U587" s="244"/>
      <c r="V587" s="246"/>
      <c r="W587" s="244"/>
      <c r="X587" s="243"/>
      <c r="Y587" s="244"/>
      <c r="Z587" s="243"/>
      <c r="AA587" s="243"/>
      <c r="AB587" s="243"/>
    </row>
    <row r="588">
      <c r="A588" s="243"/>
      <c r="B588" s="244"/>
      <c r="C588" s="243"/>
      <c r="D588" s="243"/>
      <c r="E588" s="243"/>
      <c r="F588" s="243"/>
      <c r="G588" s="243"/>
      <c r="H588" s="245"/>
      <c r="I588" s="245"/>
      <c r="J588" s="243"/>
      <c r="K588" s="243"/>
      <c r="L588" s="243"/>
      <c r="M588" s="243"/>
      <c r="N588" s="243"/>
      <c r="O588" s="244"/>
      <c r="P588" s="243"/>
      <c r="Q588" s="244"/>
      <c r="R588" s="243"/>
      <c r="S588" s="244"/>
      <c r="T588" s="243"/>
      <c r="U588" s="244"/>
      <c r="V588" s="246"/>
      <c r="W588" s="244"/>
      <c r="X588" s="243"/>
      <c r="Y588" s="244"/>
      <c r="Z588" s="243"/>
      <c r="AA588" s="243"/>
      <c r="AB588" s="243"/>
    </row>
    <row r="589">
      <c r="A589" s="243"/>
      <c r="B589" s="244"/>
      <c r="C589" s="243"/>
      <c r="D589" s="243"/>
      <c r="E589" s="243"/>
      <c r="F589" s="243"/>
      <c r="G589" s="243"/>
      <c r="H589" s="245"/>
      <c r="I589" s="245"/>
      <c r="J589" s="243"/>
      <c r="K589" s="243"/>
      <c r="L589" s="243"/>
      <c r="M589" s="243"/>
      <c r="N589" s="243"/>
      <c r="O589" s="244"/>
      <c r="P589" s="243"/>
      <c r="Q589" s="244"/>
      <c r="R589" s="243"/>
      <c r="S589" s="244"/>
      <c r="T589" s="243"/>
      <c r="U589" s="244"/>
      <c r="V589" s="246"/>
      <c r="W589" s="244"/>
      <c r="X589" s="243"/>
      <c r="Y589" s="244"/>
      <c r="Z589" s="243"/>
      <c r="AA589" s="243"/>
      <c r="AB589" s="243"/>
    </row>
    <row r="590">
      <c r="A590" s="243"/>
      <c r="B590" s="244"/>
      <c r="C590" s="243"/>
      <c r="D590" s="243"/>
      <c r="E590" s="243"/>
      <c r="F590" s="243"/>
      <c r="G590" s="243"/>
      <c r="H590" s="245"/>
      <c r="I590" s="245"/>
      <c r="J590" s="243"/>
      <c r="K590" s="243"/>
      <c r="L590" s="243"/>
      <c r="M590" s="243"/>
      <c r="N590" s="243"/>
      <c r="O590" s="244"/>
      <c r="P590" s="243"/>
      <c r="Q590" s="244"/>
      <c r="R590" s="243"/>
      <c r="S590" s="244"/>
      <c r="T590" s="243"/>
      <c r="U590" s="244"/>
      <c r="V590" s="246"/>
      <c r="W590" s="244"/>
      <c r="X590" s="243"/>
      <c r="Y590" s="244"/>
      <c r="Z590" s="243"/>
      <c r="AA590" s="243"/>
      <c r="AB590" s="243"/>
    </row>
    <row r="591">
      <c r="A591" s="243"/>
      <c r="B591" s="244"/>
      <c r="C591" s="243"/>
      <c r="D591" s="243"/>
      <c r="E591" s="243"/>
      <c r="F591" s="243"/>
      <c r="G591" s="243"/>
      <c r="H591" s="245"/>
      <c r="I591" s="245"/>
      <c r="J591" s="243"/>
      <c r="K591" s="243"/>
      <c r="L591" s="243"/>
      <c r="M591" s="243"/>
      <c r="N591" s="243"/>
      <c r="O591" s="244"/>
      <c r="P591" s="243"/>
      <c r="Q591" s="244"/>
      <c r="R591" s="243"/>
      <c r="S591" s="244"/>
      <c r="T591" s="243"/>
      <c r="U591" s="244"/>
      <c r="V591" s="246"/>
      <c r="W591" s="244"/>
      <c r="X591" s="243"/>
      <c r="Y591" s="244"/>
      <c r="Z591" s="243"/>
      <c r="AA591" s="243"/>
      <c r="AB591" s="243"/>
    </row>
    <row r="592">
      <c r="A592" s="243"/>
      <c r="B592" s="244"/>
      <c r="C592" s="243"/>
      <c r="D592" s="243"/>
      <c r="E592" s="243"/>
      <c r="F592" s="243"/>
      <c r="G592" s="243"/>
      <c r="H592" s="245"/>
      <c r="I592" s="245"/>
      <c r="J592" s="243"/>
      <c r="K592" s="243"/>
      <c r="L592" s="243"/>
      <c r="M592" s="243"/>
      <c r="N592" s="243"/>
      <c r="O592" s="244"/>
      <c r="P592" s="243"/>
      <c r="Q592" s="244"/>
      <c r="R592" s="243"/>
      <c r="S592" s="244"/>
      <c r="T592" s="243"/>
      <c r="U592" s="244"/>
      <c r="V592" s="246"/>
      <c r="W592" s="244"/>
      <c r="X592" s="243"/>
      <c r="Y592" s="244"/>
      <c r="Z592" s="243"/>
      <c r="AA592" s="243"/>
      <c r="AB592" s="243"/>
    </row>
    <row r="593">
      <c r="A593" s="243"/>
      <c r="B593" s="244"/>
      <c r="C593" s="243"/>
      <c r="D593" s="243"/>
      <c r="E593" s="243"/>
      <c r="F593" s="243"/>
      <c r="G593" s="243"/>
      <c r="H593" s="245"/>
      <c r="I593" s="245"/>
      <c r="J593" s="243"/>
      <c r="K593" s="243"/>
      <c r="L593" s="243"/>
      <c r="M593" s="243"/>
      <c r="N593" s="243"/>
      <c r="O593" s="244"/>
      <c r="P593" s="243"/>
      <c r="Q593" s="244"/>
      <c r="R593" s="243"/>
      <c r="S593" s="244"/>
      <c r="T593" s="243"/>
      <c r="U593" s="244"/>
      <c r="V593" s="246"/>
      <c r="W593" s="244"/>
      <c r="X593" s="243"/>
      <c r="Y593" s="244"/>
      <c r="Z593" s="243"/>
      <c r="AA593" s="243"/>
      <c r="AB593" s="243"/>
    </row>
    <row r="594">
      <c r="A594" s="243"/>
      <c r="B594" s="244"/>
      <c r="C594" s="243"/>
      <c r="D594" s="243"/>
      <c r="E594" s="243"/>
      <c r="F594" s="243"/>
      <c r="G594" s="243"/>
      <c r="H594" s="245"/>
      <c r="I594" s="245"/>
      <c r="J594" s="243"/>
      <c r="K594" s="243"/>
      <c r="L594" s="243"/>
      <c r="M594" s="243"/>
      <c r="N594" s="243"/>
      <c r="O594" s="244"/>
      <c r="P594" s="243"/>
      <c r="Q594" s="244"/>
      <c r="R594" s="243"/>
      <c r="S594" s="244"/>
      <c r="T594" s="243"/>
      <c r="U594" s="244"/>
      <c r="V594" s="246"/>
      <c r="W594" s="244"/>
      <c r="X594" s="243"/>
      <c r="Y594" s="244"/>
      <c r="Z594" s="243"/>
      <c r="AA594" s="243"/>
      <c r="AB594" s="243"/>
    </row>
    <row r="595">
      <c r="A595" s="243"/>
      <c r="B595" s="244"/>
      <c r="C595" s="243"/>
      <c r="D595" s="243"/>
      <c r="E595" s="243"/>
      <c r="F595" s="243"/>
      <c r="G595" s="243"/>
      <c r="H595" s="245"/>
      <c r="I595" s="245"/>
      <c r="J595" s="243"/>
      <c r="K595" s="243"/>
      <c r="L595" s="243"/>
      <c r="M595" s="243"/>
      <c r="N595" s="243"/>
      <c r="O595" s="244"/>
      <c r="P595" s="243"/>
      <c r="Q595" s="244"/>
      <c r="R595" s="243"/>
      <c r="S595" s="244"/>
      <c r="T595" s="243"/>
      <c r="U595" s="244"/>
      <c r="V595" s="246"/>
      <c r="W595" s="244"/>
      <c r="X595" s="243"/>
      <c r="Y595" s="244"/>
      <c r="Z595" s="243"/>
      <c r="AA595" s="243"/>
      <c r="AB595" s="243"/>
    </row>
    <row r="596">
      <c r="A596" s="243"/>
      <c r="B596" s="244"/>
      <c r="C596" s="243"/>
      <c r="D596" s="243"/>
      <c r="E596" s="243"/>
      <c r="F596" s="243"/>
      <c r="G596" s="243"/>
      <c r="H596" s="245"/>
      <c r="I596" s="245"/>
      <c r="J596" s="243"/>
      <c r="K596" s="243"/>
      <c r="L596" s="243"/>
      <c r="M596" s="243"/>
      <c r="N596" s="243"/>
      <c r="O596" s="244"/>
      <c r="P596" s="243"/>
      <c r="Q596" s="244"/>
      <c r="R596" s="243"/>
      <c r="S596" s="244"/>
      <c r="T596" s="243"/>
      <c r="U596" s="244"/>
      <c r="V596" s="246"/>
      <c r="W596" s="244"/>
      <c r="X596" s="243"/>
      <c r="Y596" s="244"/>
      <c r="Z596" s="243"/>
      <c r="AA596" s="243"/>
      <c r="AB596" s="243"/>
    </row>
    <row r="597">
      <c r="A597" s="243"/>
      <c r="B597" s="244"/>
      <c r="C597" s="243"/>
      <c r="D597" s="243"/>
      <c r="E597" s="243"/>
      <c r="F597" s="243"/>
      <c r="G597" s="243"/>
      <c r="H597" s="245"/>
      <c r="I597" s="245"/>
      <c r="J597" s="243"/>
      <c r="K597" s="243"/>
      <c r="L597" s="243"/>
      <c r="M597" s="243"/>
      <c r="N597" s="243"/>
      <c r="O597" s="244"/>
      <c r="P597" s="243"/>
      <c r="Q597" s="244"/>
      <c r="R597" s="243"/>
      <c r="S597" s="244"/>
      <c r="T597" s="243"/>
      <c r="U597" s="244"/>
      <c r="V597" s="246"/>
      <c r="W597" s="244"/>
      <c r="X597" s="243"/>
      <c r="Y597" s="244"/>
      <c r="Z597" s="243"/>
      <c r="AA597" s="243"/>
      <c r="AB597" s="243"/>
    </row>
    <row r="598">
      <c r="A598" s="243"/>
      <c r="B598" s="244"/>
      <c r="C598" s="243"/>
      <c r="D598" s="243"/>
      <c r="E598" s="243"/>
      <c r="F598" s="243"/>
      <c r="G598" s="243"/>
      <c r="H598" s="245"/>
      <c r="I598" s="245"/>
      <c r="J598" s="243"/>
      <c r="K598" s="243"/>
      <c r="L598" s="243"/>
      <c r="M598" s="243"/>
      <c r="N598" s="243"/>
      <c r="O598" s="244"/>
      <c r="P598" s="243"/>
      <c r="Q598" s="244"/>
      <c r="R598" s="243"/>
      <c r="S598" s="244"/>
      <c r="T598" s="243"/>
      <c r="U598" s="244"/>
      <c r="V598" s="246"/>
      <c r="W598" s="244"/>
      <c r="X598" s="243"/>
      <c r="Y598" s="244"/>
      <c r="Z598" s="243"/>
      <c r="AA598" s="243"/>
      <c r="AB598" s="243"/>
    </row>
    <row r="599">
      <c r="A599" s="243"/>
      <c r="B599" s="244"/>
      <c r="C599" s="243"/>
      <c r="D599" s="243"/>
      <c r="E599" s="243"/>
      <c r="F599" s="243"/>
      <c r="G599" s="243"/>
      <c r="H599" s="245"/>
      <c r="I599" s="245"/>
      <c r="J599" s="243"/>
      <c r="K599" s="243"/>
      <c r="L599" s="243"/>
      <c r="M599" s="243"/>
      <c r="N599" s="243"/>
      <c r="O599" s="244"/>
      <c r="P599" s="243"/>
      <c r="Q599" s="244"/>
      <c r="R599" s="243"/>
      <c r="S599" s="244"/>
      <c r="T599" s="243"/>
      <c r="U599" s="244"/>
      <c r="V599" s="246"/>
      <c r="W599" s="244"/>
      <c r="X599" s="243"/>
      <c r="Y599" s="244"/>
      <c r="Z599" s="243"/>
      <c r="AA599" s="243"/>
      <c r="AB599" s="243"/>
    </row>
    <row r="600">
      <c r="A600" s="243"/>
      <c r="B600" s="244"/>
      <c r="C600" s="243"/>
      <c r="D600" s="243"/>
      <c r="E600" s="243"/>
      <c r="F600" s="243"/>
      <c r="G600" s="243"/>
      <c r="H600" s="245"/>
      <c r="I600" s="245"/>
      <c r="J600" s="243"/>
      <c r="K600" s="243"/>
      <c r="L600" s="243"/>
      <c r="M600" s="243"/>
      <c r="N600" s="243"/>
      <c r="O600" s="244"/>
      <c r="P600" s="243"/>
      <c r="Q600" s="244"/>
      <c r="R600" s="243"/>
      <c r="S600" s="244"/>
      <c r="T600" s="243"/>
      <c r="U600" s="244"/>
      <c r="V600" s="246"/>
      <c r="W600" s="244"/>
      <c r="X600" s="243"/>
      <c r="Y600" s="244"/>
      <c r="Z600" s="243"/>
      <c r="AA600" s="243"/>
      <c r="AB600" s="243"/>
    </row>
    <row r="601">
      <c r="A601" s="243"/>
      <c r="B601" s="244"/>
      <c r="C601" s="243"/>
      <c r="D601" s="243"/>
      <c r="E601" s="243"/>
      <c r="F601" s="243"/>
      <c r="G601" s="243"/>
      <c r="H601" s="245"/>
      <c r="I601" s="245"/>
      <c r="J601" s="243"/>
      <c r="K601" s="243"/>
      <c r="L601" s="243"/>
      <c r="M601" s="243"/>
      <c r="N601" s="243"/>
      <c r="O601" s="244"/>
      <c r="P601" s="243"/>
      <c r="Q601" s="244"/>
      <c r="R601" s="243"/>
      <c r="S601" s="244"/>
      <c r="T601" s="243"/>
      <c r="U601" s="244"/>
      <c r="V601" s="246"/>
      <c r="W601" s="244"/>
      <c r="X601" s="243"/>
      <c r="Y601" s="244"/>
      <c r="Z601" s="243"/>
      <c r="AA601" s="243"/>
      <c r="AB601" s="243"/>
    </row>
    <row r="602">
      <c r="A602" s="243"/>
      <c r="B602" s="244"/>
      <c r="C602" s="243"/>
      <c r="D602" s="243"/>
      <c r="E602" s="243"/>
      <c r="F602" s="243"/>
      <c r="G602" s="243"/>
      <c r="H602" s="245"/>
      <c r="I602" s="245"/>
      <c r="J602" s="243"/>
      <c r="K602" s="243"/>
      <c r="L602" s="243"/>
      <c r="M602" s="243"/>
      <c r="N602" s="243"/>
      <c r="O602" s="244"/>
      <c r="P602" s="243"/>
      <c r="Q602" s="244"/>
      <c r="R602" s="243"/>
      <c r="S602" s="244"/>
      <c r="T602" s="243"/>
      <c r="U602" s="244"/>
      <c r="V602" s="246"/>
      <c r="W602" s="244"/>
      <c r="X602" s="243"/>
      <c r="Y602" s="244"/>
      <c r="Z602" s="243"/>
      <c r="AA602" s="243"/>
      <c r="AB602" s="243"/>
    </row>
    <row r="603">
      <c r="A603" s="243"/>
      <c r="B603" s="244"/>
      <c r="C603" s="243"/>
      <c r="D603" s="243"/>
      <c r="E603" s="243"/>
      <c r="F603" s="243"/>
      <c r="G603" s="243"/>
      <c r="H603" s="245"/>
      <c r="I603" s="245"/>
      <c r="J603" s="243"/>
      <c r="K603" s="243"/>
      <c r="L603" s="243"/>
      <c r="M603" s="243"/>
      <c r="N603" s="243"/>
      <c r="O603" s="244"/>
      <c r="P603" s="243"/>
      <c r="Q603" s="244"/>
      <c r="R603" s="243"/>
      <c r="S603" s="244"/>
      <c r="T603" s="243"/>
      <c r="U603" s="244"/>
      <c r="V603" s="246"/>
      <c r="W603" s="244"/>
      <c r="X603" s="243"/>
      <c r="Y603" s="244"/>
      <c r="Z603" s="243"/>
      <c r="AA603" s="243"/>
      <c r="AB603" s="243"/>
    </row>
    <row r="604">
      <c r="A604" s="243"/>
      <c r="B604" s="244"/>
      <c r="C604" s="243"/>
      <c r="D604" s="243"/>
      <c r="E604" s="243"/>
      <c r="F604" s="243"/>
      <c r="G604" s="243"/>
      <c r="H604" s="245"/>
      <c r="I604" s="245"/>
      <c r="J604" s="243"/>
      <c r="K604" s="243"/>
      <c r="L604" s="243"/>
      <c r="M604" s="243"/>
      <c r="N604" s="243"/>
      <c r="O604" s="244"/>
      <c r="P604" s="243"/>
      <c r="Q604" s="244"/>
      <c r="R604" s="243"/>
      <c r="S604" s="244"/>
      <c r="T604" s="243"/>
      <c r="U604" s="244"/>
      <c r="V604" s="246"/>
      <c r="W604" s="244"/>
      <c r="X604" s="243"/>
      <c r="Y604" s="244"/>
      <c r="Z604" s="243"/>
      <c r="AA604" s="243"/>
      <c r="AB604" s="243"/>
    </row>
    <row r="605">
      <c r="A605" s="243"/>
      <c r="B605" s="244"/>
      <c r="C605" s="243"/>
      <c r="D605" s="243"/>
      <c r="E605" s="243"/>
      <c r="F605" s="243"/>
      <c r="G605" s="243"/>
      <c r="H605" s="245"/>
      <c r="I605" s="245"/>
      <c r="J605" s="243"/>
      <c r="K605" s="243"/>
      <c r="L605" s="243"/>
      <c r="M605" s="243"/>
      <c r="N605" s="243"/>
      <c r="O605" s="244"/>
      <c r="P605" s="243"/>
      <c r="Q605" s="244"/>
      <c r="R605" s="243"/>
      <c r="S605" s="244"/>
      <c r="T605" s="243"/>
      <c r="U605" s="244"/>
      <c r="V605" s="246"/>
      <c r="W605" s="244"/>
      <c r="X605" s="243"/>
      <c r="Y605" s="244"/>
      <c r="Z605" s="243"/>
      <c r="AA605" s="243"/>
      <c r="AB605" s="243"/>
    </row>
    <row r="606">
      <c r="A606" s="243"/>
      <c r="B606" s="244"/>
      <c r="C606" s="243"/>
      <c r="D606" s="243"/>
      <c r="E606" s="243"/>
      <c r="F606" s="243"/>
      <c r="G606" s="243"/>
      <c r="H606" s="245"/>
      <c r="I606" s="245"/>
      <c r="J606" s="243"/>
      <c r="K606" s="243"/>
      <c r="L606" s="243"/>
      <c r="M606" s="243"/>
      <c r="N606" s="243"/>
      <c r="O606" s="244"/>
      <c r="P606" s="243"/>
      <c r="Q606" s="244"/>
      <c r="R606" s="243"/>
      <c r="S606" s="244"/>
      <c r="T606" s="243"/>
      <c r="U606" s="244"/>
      <c r="V606" s="246"/>
      <c r="W606" s="244"/>
      <c r="X606" s="243"/>
      <c r="Y606" s="244"/>
      <c r="Z606" s="243"/>
      <c r="AA606" s="243"/>
      <c r="AB606" s="243"/>
    </row>
    <row r="607">
      <c r="A607" s="243"/>
      <c r="B607" s="244"/>
      <c r="C607" s="243"/>
      <c r="D607" s="243"/>
      <c r="E607" s="243"/>
      <c r="F607" s="243"/>
      <c r="G607" s="243"/>
      <c r="H607" s="245"/>
      <c r="I607" s="245"/>
      <c r="J607" s="243"/>
      <c r="K607" s="243"/>
      <c r="L607" s="243"/>
      <c r="M607" s="243"/>
      <c r="N607" s="243"/>
      <c r="O607" s="244"/>
      <c r="P607" s="243"/>
      <c r="Q607" s="244"/>
      <c r="R607" s="243"/>
      <c r="S607" s="244"/>
      <c r="T607" s="243"/>
      <c r="U607" s="244"/>
      <c r="V607" s="246"/>
      <c r="W607" s="244"/>
      <c r="X607" s="243"/>
      <c r="Y607" s="244"/>
      <c r="Z607" s="243"/>
      <c r="AA607" s="243"/>
      <c r="AB607" s="243"/>
    </row>
    <row r="608">
      <c r="A608" s="243"/>
      <c r="B608" s="244"/>
      <c r="C608" s="243"/>
      <c r="D608" s="243"/>
      <c r="E608" s="243"/>
      <c r="F608" s="243"/>
      <c r="G608" s="243"/>
      <c r="H608" s="245"/>
      <c r="I608" s="245"/>
      <c r="J608" s="243"/>
      <c r="K608" s="243"/>
      <c r="L608" s="243"/>
      <c r="M608" s="243"/>
      <c r="N608" s="243"/>
      <c r="O608" s="244"/>
      <c r="P608" s="243"/>
      <c r="Q608" s="244"/>
      <c r="R608" s="243"/>
      <c r="S608" s="244"/>
      <c r="T608" s="243"/>
      <c r="U608" s="244"/>
      <c r="V608" s="246"/>
      <c r="W608" s="244"/>
      <c r="X608" s="243"/>
      <c r="Y608" s="244"/>
      <c r="Z608" s="243"/>
      <c r="AA608" s="243"/>
      <c r="AB608" s="243"/>
    </row>
    <row r="609">
      <c r="A609" s="243"/>
      <c r="B609" s="244"/>
      <c r="C609" s="243"/>
      <c r="D609" s="243"/>
      <c r="E609" s="243"/>
      <c r="F609" s="243"/>
      <c r="G609" s="243"/>
      <c r="H609" s="245"/>
      <c r="I609" s="245"/>
      <c r="J609" s="243"/>
      <c r="K609" s="243"/>
      <c r="L609" s="243"/>
      <c r="M609" s="243"/>
      <c r="N609" s="243"/>
      <c r="O609" s="244"/>
      <c r="P609" s="243"/>
      <c r="Q609" s="244"/>
      <c r="R609" s="243"/>
      <c r="S609" s="244"/>
      <c r="T609" s="243"/>
      <c r="U609" s="244"/>
      <c r="V609" s="246"/>
      <c r="W609" s="244"/>
      <c r="X609" s="243"/>
      <c r="Y609" s="244"/>
      <c r="Z609" s="243"/>
      <c r="AA609" s="243"/>
      <c r="AB609" s="243"/>
    </row>
    <row r="610">
      <c r="A610" s="243"/>
      <c r="B610" s="244"/>
      <c r="C610" s="243"/>
      <c r="D610" s="243"/>
      <c r="E610" s="243"/>
      <c r="F610" s="243"/>
      <c r="G610" s="243"/>
      <c r="H610" s="245"/>
      <c r="I610" s="245"/>
      <c r="J610" s="243"/>
      <c r="K610" s="243"/>
      <c r="L610" s="243"/>
      <c r="M610" s="243"/>
      <c r="N610" s="243"/>
      <c r="O610" s="244"/>
      <c r="P610" s="243"/>
      <c r="Q610" s="244"/>
      <c r="R610" s="243"/>
      <c r="S610" s="244"/>
      <c r="T610" s="243"/>
      <c r="U610" s="244"/>
      <c r="V610" s="246"/>
      <c r="W610" s="244"/>
      <c r="X610" s="243"/>
      <c r="Y610" s="244"/>
      <c r="Z610" s="243"/>
      <c r="AA610" s="243"/>
      <c r="AB610" s="243"/>
    </row>
    <row r="611">
      <c r="A611" s="243"/>
      <c r="B611" s="244"/>
      <c r="C611" s="243"/>
      <c r="D611" s="243"/>
      <c r="E611" s="243"/>
      <c r="F611" s="243"/>
      <c r="G611" s="243"/>
      <c r="H611" s="245"/>
      <c r="I611" s="245"/>
      <c r="J611" s="243"/>
      <c r="K611" s="243"/>
      <c r="L611" s="243"/>
      <c r="M611" s="243"/>
      <c r="N611" s="243"/>
      <c r="O611" s="244"/>
      <c r="P611" s="243"/>
      <c r="Q611" s="244"/>
      <c r="R611" s="243"/>
      <c r="S611" s="244"/>
      <c r="T611" s="243"/>
      <c r="U611" s="244"/>
      <c r="V611" s="246"/>
      <c r="W611" s="244"/>
      <c r="X611" s="243"/>
      <c r="Y611" s="244"/>
      <c r="Z611" s="243"/>
      <c r="AA611" s="243"/>
      <c r="AB611" s="243"/>
    </row>
    <row r="612">
      <c r="A612" s="243"/>
      <c r="B612" s="244"/>
      <c r="C612" s="243"/>
      <c r="D612" s="243"/>
      <c r="E612" s="243"/>
      <c r="F612" s="243"/>
      <c r="G612" s="243"/>
      <c r="H612" s="245"/>
      <c r="I612" s="245"/>
      <c r="J612" s="243"/>
      <c r="K612" s="243"/>
      <c r="L612" s="243"/>
      <c r="M612" s="243"/>
      <c r="N612" s="243"/>
      <c r="O612" s="244"/>
      <c r="P612" s="243"/>
      <c r="Q612" s="244"/>
      <c r="R612" s="243"/>
      <c r="S612" s="244"/>
      <c r="T612" s="243"/>
      <c r="U612" s="244"/>
      <c r="V612" s="246"/>
      <c r="W612" s="244"/>
      <c r="X612" s="243"/>
      <c r="Y612" s="244"/>
      <c r="Z612" s="243"/>
      <c r="AA612" s="243"/>
      <c r="AB612" s="243"/>
    </row>
    <row r="613">
      <c r="A613" s="243"/>
      <c r="B613" s="244"/>
      <c r="C613" s="243"/>
      <c r="D613" s="243"/>
      <c r="E613" s="243"/>
      <c r="F613" s="243"/>
      <c r="G613" s="243"/>
      <c r="H613" s="245"/>
      <c r="I613" s="245"/>
      <c r="J613" s="243"/>
      <c r="K613" s="243"/>
      <c r="L613" s="243"/>
      <c r="M613" s="243"/>
      <c r="N613" s="243"/>
      <c r="O613" s="244"/>
      <c r="P613" s="243"/>
      <c r="Q613" s="244"/>
      <c r="R613" s="243"/>
      <c r="S613" s="244"/>
      <c r="T613" s="243"/>
      <c r="U613" s="244"/>
      <c r="V613" s="246"/>
      <c r="W613" s="244"/>
      <c r="X613" s="243"/>
      <c r="Y613" s="244"/>
      <c r="Z613" s="243"/>
      <c r="AA613" s="243"/>
      <c r="AB613" s="243"/>
    </row>
    <row r="614">
      <c r="A614" s="243"/>
      <c r="B614" s="244"/>
      <c r="C614" s="243"/>
      <c r="D614" s="243"/>
      <c r="E614" s="243"/>
      <c r="F614" s="243"/>
      <c r="G614" s="243"/>
      <c r="H614" s="245"/>
      <c r="I614" s="245"/>
      <c r="J614" s="243"/>
      <c r="K614" s="243"/>
      <c r="L614" s="243"/>
      <c r="M614" s="243"/>
      <c r="N614" s="243"/>
      <c r="O614" s="244"/>
      <c r="P614" s="243"/>
      <c r="Q614" s="244"/>
      <c r="R614" s="243"/>
      <c r="S614" s="244"/>
      <c r="T614" s="243"/>
      <c r="U614" s="244"/>
      <c r="V614" s="246"/>
      <c r="W614" s="244"/>
      <c r="X614" s="243"/>
      <c r="Y614" s="244"/>
      <c r="Z614" s="243"/>
      <c r="AA614" s="243"/>
      <c r="AB614" s="243"/>
    </row>
    <row r="615">
      <c r="A615" s="243"/>
      <c r="B615" s="244"/>
      <c r="C615" s="243"/>
      <c r="D615" s="243"/>
      <c r="E615" s="243"/>
      <c r="F615" s="243"/>
      <c r="G615" s="243"/>
      <c r="H615" s="245"/>
      <c r="I615" s="245"/>
      <c r="J615" s="243"/>
      <c r="K615" s="243"/>
      <c r="L615" s="243"/>
      <c r="M615" s="243"/>
      <c r="N615" s="243"/>
      <c r="O615" s="244"/>
      <c r="P615" s="243"/>
      <c r="Q615" s="244"/>
      <c r="R615" s="243"/>
      <c r="S615" s="244"/>
      <c r="T615" s="243"/>
      <c r="U615" s="244"/>
      <c r="V615" s="246"/>
      <c r="W615" s="244"/>
      <c r="X615" s="243"/>
      <c r="Y615" s="244"/>
      <c r="Z615" s="243"/>
      <c r="AA615" s="243"/>
      <c r="AB615" s="243"/>
    </row>
    <row r="616">
      <c r="A616" s="243"/>
      <c r="B616" s="244"/>
      <c r="C616" s="243"/>
      <c r="D616" s="243"/>
      <c r="E616" s="243"/>
      <c r="F616" s="243"/>
      <c r="G616" s="243"/>
      <c r="H616" s="245"/>
      <c r="I616" s="245"/>
      <c r="J616" s="243"/>
      <c r="K616" s="243"/>
      <c r="L616" s="243"/>
      <c r="M616" s="243"/>
      <c r="N616" s="243"/>
      <c r="O616" s="244"/>
      <c r="P616" s="243"/>
      <c r="Q616" s="244"/>
      <c r="R616" s="243"/>
      <c r="S616" s="244"/>
      <c r="T616" s="243"/>
      <c r="U616" s="244"/>
      <c r="V616" s="246"/>
      <c r="W616" s="244"/>
      <c r="X616" s="243"/>
      <c r="Y616" s="244"/>
      <c r="Z616" s="243"/>
      <c r="AA616" s="243"/>
      <c r="AB616" s="243"/>
    </row>
    <row r="617">
      <c r="A617" s="243"/>
      <c r="B617" s="244"/>
      <c r="C617" s="243"/>
      <c r="D617" s="243"/>
      <c r="E617" s="243"/>
      <c r="F617" s="243"/>
      <c r="G617" s="243"/>
      <c r="H617" s="245"/>
      <c r="I617" s="245"/>
      <c r="J617" s="243"/>
      <c r="K617" s="243"/>
      <c r="L617" s="243"/>
      <c r="M617" s="243"/>
      <c r="N617" s="243"/>
      <c r="O617" s="244"/>
      <c r="P617" s="243"/>
      <c r="Q617" s="244"/>
      <c r="R617" s="243"/>
      <c r="S617" s="244"/>
      <c r="T617" s="243"/>
      <c r="U617" s="244"/>
      <c r="V617" s="246"/>
      <c r="W617" s="244"/>
      <c r="X617" s="243"/>
      <c r="Y617" s="244"/>
      <c r="Z617" s="243"/>
      <c r="AA617" s="243"/>
      <c r="AB617" s="243"/>
    </row>
    <row r="618">
      <c r="A618" s="243"/>
      <c r="B618" s="244"/>
      <c r="C618" s="243"/>
      <c r="D618" s="243"/>
      <c r="E618" s="243"/>
      <c r="F618" s="243"/>
      <c r="G618" s="243"/>
      <c r="H618" s="245"/>
      <c r="I618" s="245"/>
      <c r="J618" s="243"/>
      <c r="K618" s="243"/>
      <c r="L618" s="243"/>
      <c r="M618" s="243"/>
      <c r="N618" s="243"/>
      <c r="O618" s="244"/>
      <c r="P618" s="243"/>
      <c r="Q618" s="244"/>
      <c r="R618" s="243"/>
      <c r="S618" s="244"/>
      <c r="T618" s="243"/>
      <c r="U618" s="244"/>
      <c r="V618" s="246"/>
      <c r="W618" s="244"/>
      <c r="X618" s="243"/>
      <c r="Y618" s="244"/>
      <c r="Z618" s="243"/>
      <c r="AA618" s="243"/>
      <c r="AB618" s="243"/>
    </row>
    <row r="619">
      <c r="A619" s="243"/>
      <c r="B619" s="244"/>
      <c r="C619" s="243"/>
      <c r="D619" s="243"/>
      <c r="E619" s="243"/>
      <c r="F619" s="243"/>
      <c r="G619" s="243"/>
      <c r="H619" s="245"/>
      <c r="I619" s="245"/>
      <c r="J619" s="243"/>
      <c r="K619" s="243"/>
      <c r="L619" s="243"/>
      <c r="M619" s="243"/>
      <c r="N619" s="243"/>
      <c r="O619" s="244"/>
      <c r="P619" s="243"/>
      <c r="Q619" s="244"/>
      <c r="R619" s="243"/>
      <c r="S619" s="244"/>
      <c r="T619" s="243"/>
      <c r="U619" s="244"/>
      <c r="V619" s="246"/>
      <c r="W619" s="244"/>
      <c r="X619" s="243"/>
      <c r="Y619" s="244"/>
      <c r="Z619" s="243"/>
      <c r="AA619" s="243"/>
      <c r="AB619" s="243"/>
    </row>
    <row r="620">
      <c r="A620" s="243"/>
      <c r="B620" s="244"/>
      <c r="C620" s="243"/>
      <c r="D620" s="243"/>
      <c r="E620" s="243"/>
      <c r="F620" s="243"/>
      <c r="G620" s="243"/>
      <c r="H620" s="245"/>
      <c r="I620" s="245"/>
      <c r="J620" s="243"/>
      <c r="K620" s="243"/>
      <c r="L620" s="243"/>
      <c r="M620" s="243"/>
      <c r="N620" s="243"/>
      <c r="O620" s="244"/>
      <c r="P620" s="243"/>
      <c r="Q620" s="244"/>
      <c r="R620" s="243"/>
      <c r="S620" s="244"/>
      <c r="T620" s="243"/>
      <c r="U620" s="244"/>
      <c r="V620" s="246"/>
      <c r="W620" s="244"/>
      <c r="X620" s="243"/>
      <c r="Y620" s="244"/>
      <c r="Z620" s="243"/>
      <c r="AA620" s="243"/>
      <c r="AB620" s="243"/>
    </row>
    <row r="621">
      <c r="A621" s="243"/>
      <c r="B621" s="244"/>
      <c r="C621" s="243"/>
      <c r="D621" s="243"/>
      <c r="E621" s="243"/>
      <c r="F621" s="243"/>
      <c r="G621" s="243"/>
      <c r="H621" s="245"/>
      <c r="I621" s="245"/>
      <c r="J621" s="243"/>
      <c r="K621" s="243"/>
      <c r="L621" s="243"/>
      <c r="M621" s="243"/>
      <c r="N621" s="243"/>
      <c r="O621" s="244"/>
      <c r="P621" s="243"/>
      <c r="Q621" s="244"/>
      <c r="R621" s="243"/>
      <c r="S621" s="244"/>
      <c r="T621" s="243"/>
      <c r="U621" s="244"/>
      <c r="V621" s="246"/>
      <c r="W621" s="244"/>
      <c r="X621" s="243"/>
      <c r="Y621" s="244"/>
      <c r="Z621" s="243"/>
      <c r="AA621" s="243"/>
      <c r="AB621" s="243"/>
    </row>
    <row r="622">
      <c r="A622" s="243"/>
      <c r="B622" s="244"/>
      <c r="C622" s="243"/>
      <c r="D622" s="243"/>
      <c r="E622" s="243"/>
      <c r="F622" s="243"/>
      <c r="G622" s="243"/>
      <c r="H622" s="245"/>
      <c r="I622" s="245"/>
      <c r="J622" s="243"/>
      <c r="K622" s="243"/>
      <c r="L622" s="243"/>
      <c r="M622" s="243"/>
      <c r="N622" s="243"/>
      <c r="O622" s="244"/>
      <c r="P622" s="243"/>
      <c r="Q622" s="244"/>
      <c r="R622" s="243"/>
      <c r="S622" s="244"/>
      <c r="T622" s="243"/>
      <c r="U622" s="244"/>
      <c r="V622" s="246"/>
      <c r="W622" s="244"/>
      <c r="X622" s="243"/>
      <c r="Y622" s="244"/>
      <c r="Z622" s="243"/>
      <c r="AA622" s="243"/>
      <c r="AB622" s="243"/>
    </row>
    <row r="623">
      <c r="A623" s="243"/>
      <c r="B623" s="244"/>
      <c r="C623" s="243"/>
      <c r="D623" s="243"/>
      <c r="E623" s="243"/>
      <c r="F623" s="243"/>
      <c r="G623" s="243"/>
      <c r="H623" s="245"/>
      <c r="I623" s="245"/>
      <c r="J623" s="243"/>
      <c r="K623" s="243"/>
      <c r="L623" s="243"/>
      <c r="M623" s="243"/>
      <c r="N623" s="243"/>
      <c r="O623" s="244"/>
      <c r="P623" s="243"/>
      <c r="Q623" s="244"/>
      <c r="R623" s="243"/>
      <c r="S623" s="244"/>
      <c r="T623" s="243"/>
      <c r="U623" s="244"/>
      <c r="V623" s="246"/>
      <c r="W623" s="244"/>
      <c r="X623" s="243"/>
      <c r="Y623" s="244"/>
      <c r="Z623" s="243"/>
      <c r="AA623" s="243"/>
      <c r="AB623" s="243"/>
    </row>
    <row r="624">
      <c r="A624" s="243"/>
      <c r="B624" s="244"/>
      <c r="C624" s="243"/>
      <c r="D624" s="243"/>
      <c r="E624" s="243"/>
      <c r="F624" s="243"/>
      <c r="G624" s="243"/>
      <c r="H624" s="245"/>
      <c r="I624" s="245"/>
      <c r="J624" s="243"/>
      <c r="K624" s="243"/>
      <c r="L624" s="243"/>
      <c r="M624" s="243"/>
      <c r="N624" s="243"/>
      <c r="O624" s="244"/>
      <c r="P624" s="243"/>
      <c r="Q624" s="244"/>
      <c r="R624" s="243"/>
      <c r="S624" s="244"/>
      <c r="T624" s="243"/>
      <c r="U624" s="244"/>
      <c r="V624" s="246"/>
      <c r="W624" s="244"/>
      <c r="X624" s="243"/>
      <c r="Y624" s="244"/>
      <c r="Z624" s="243"/>
      <c r="AA624" s="243"/>
      <c r="AB624" s="243"/>
    </row>
    <row r="625">
      <c r="A625" s="243"/>
      <c r="B625" s="244"/>
      <c r="C625" s="243"/>
      <c r="D625" s="243"/>
      <c r="E625" s="243"/>
      <c r="F625" s="243"/>
      <c r="G625" s="243"/>
      <c r="H625" s="245"/>
      <c r="I625" s="245"/>
      <c r="J625" s="243"/>
      <c r="K625" s="243"/>
      <c r="L625" s="243"/>
      <c r="M625" s="243"/>
      <c r="N625" s="243"/>
      <c r="O625" s="244"/>
      <c r="P625" s="243"/>
      <c r="Q625" s="244"/>
      <c r="R625" s="243"/>
      <c r="S625" s="244"/>
      <c r="T625" s="243"/>
      <c r="U625" s="244"/>
      <c r="V625" s="246"/>
      <c r="W625" s="244"/>
      <c r="X625" s="243"/>
      <c r="Y625" s="244"/>
      <c r="Z625" s="243"/>
      <c r="AA625" s="243"/>
      <c r="AB625" s="243"/>
    </row>
    <row r="626">
      <c r="A626" s="243"/>
      <c r="B626" s="244"/>
      <c r="C626" s="243"/>
      <c r="D626" s="243"/>
      <c r="E626" s="243"/>
      <c r="F626" s="243"/>
      <c r="G626" s="243"/>
      <c r="H626" s="245"/>
      <c r="I626" s="245"/>
      <c r="J626" s="243"/>
      <c r="K626" s="243"/>
      <c r="L626" s="243"/>
      <c r="M626" s="243"/>
      <c r="N626" s="243"/>
      <c r="O626" s="244"/>
      <c r="P626" s="243"/>
      <c r="Q626" s="244"/>
      <c r="R626" s="243"/>
      <c r="S626" s="244"/>
      <c r="T626" s="243"/>
      <c r="U626" s="244"/>
      <c r="V626" s="246"/>
      <c r="W626" s="244"/>
      <c r="X626" s="243"/>
      <c r="Y626" s="244"/>
      <c r="Z626" s="243"/>
      <c r="AA626" s="243"/>
      <c r="AB626" s="243"/>
    </row>
    <row r="627">
      <c r="A627" s="243"/>
      <c r="B627" s="244"/>
      <c r="C627" s="243"/>
      <c r="D627" s="243"/>
      <c r="E627" s="243"/>
      <c r="F627" s="243"/>
      <c r="G627" s="243"/>
      <c r="H627" s="245"/>
      <c r="I627" s="245"/>
      <c r="J627" s="243"/>
      <c r="K627" s="243"/>
      <c r="L627" s="243"/>
      <c r="M627" s="243"/>
      <c r="N627" s="243"/>
      <c r="O627" s="244"/>
      <c r="P627" s="243"/>
      <c r="Q627" s="244"/>
      <c r="R627" s="243"/>
      <c r="S627" s="244"/>
      <c r="T627" s="243"/>
      <c r="U627" s="244"/>
      <c r="V627" s="246"/>
      <c r="W627" s="244"/>
      <c r="X627" s="243"/>
      <c r="Y627" s="244"/>
      <c r="Z627" s="243"/>
      <c r="AA627" s="243"/>
      <c r="AB627" s="243"/>
    </row>
    <row r="628">
      <c r="A628" s="243"/>
      <c r="B628" s="244"/>
      <c r="C628" s="243"/>
      <c r="D628" s="243"/>
      <c r="E628" s="243"/>
      <c r="F628" s="243"/>
      <c r="G628" s="243"/>
      <c r="H628" s="245"/>
      <c r="I628" s="245"/>
      <c r="J628" s="243"/>
      <c r="K628" s="243"/>
      <c r="L628" s="243"/>
      <c r="M628" s="243"/>
      <c r="N628" s="243"/>
      <c r="O628" s="244"/>
      <c r="P628" s="243"/>
      <c r="Q628" s="244"/>
      <c r="R628" s="243"/>
      <c r="S628" s="244"/>
      <c r="T628" s="243"/>
      <c r="U628" s="244"/>
      <c r="V628" s="246"/>
      <c r="W628" s="244"/>
      <c r="X628" s="243"/>
      <c r="Y628" s="244"/>
      <c r="Z628" s="243"/>
      <c r="AA628" s="243"/>
      <c r="AB628" s="243"/>
    </row>
    <row r="629">
      <c r="A629" s="243"/>
      <c r="B629" s="244"/>
      <c r="C629" s="243"/>
      <c r="D629" s="243"/>
      <c r="E629" s="243"/>
      <c r="F629" s="243"/>
      <c r="G629" s="243"/>
      <c r="H629" s="245"/>
      <c r="I629" s="245"/>
      <c r="J629" s="243"/>
      <c r="K629" s="243"/>
      <c r="L629" s="243"/>
      <c r="M629" s="243"/>
      <c r="N629" s="243"/>
      <c r="O629" s="244"/>
      <c r="P629" s="243"/>
      <c r="Q629" s="244"/>
      <c r="R629" s="243"/>
      <c r="S629" s="244"/>
      <c r="T629" s="243"/>
      <c r="U629" s="244"/>
      <c r="V629" s="246"/>
      <c r="W629" s="244"/>
      <c r="X629" s="243"/>
      <c r="Y629" s="244"/>
      <c r="Z629" s="243"/>
      <c r="AA629" s="243"/>
      <c r="AB629" s="243"/>
    </row>
    <row r="630">
      <c r="A630" s="243"/>
      <c r="B630" s="244"/>
      <c r="C630" s="243"/>
      <c r="D630" s="243"/>
      <c r="E630" s="243"/>
      <c r="F630" s="243"/>
      <c r="G630" s="243"/>
      <c r="H630" s="245"/>
      <c r="I630" s="245"/>
      <c r="J630" s="243"/>
      <c r="K630" s="243"/>
      <c r="L630" s="243"/>
      <c r="M630" s="243"/>
      <c r="N630" s="243"/>
      <c r="O630" s="244"/>
      <c r="P630" s="243"/>
      <c r="Q630" s="244"/>
      <c r="R630" s="243"/>
      <c r="S630" s="244"/>
      <c r="T630" s="243"/>
      <c r="U630" s="244"/>
      <c r="V630" s="246"/>
      <c r="W630" s="244"/>
      <c r="X630" s="243"/>
      <c r="Y630" s="244"/>
      <c r="Z630" s="243"/>
      <c r="AA630" s="243"/>
      <c r="AB630" s="243"/>
    </row>
    <row r="631">
      <c r="A631" s="243"/>
      <c r="B631" s="244"/>
      <c r="C631" s="243"/>
      <c r="D631" s="243"/>
      <c r="E631" s="243"/>
      <c r="F631" s="243"/>
      <c r="G631" s="243"/>
      <c r="H631" s="245"/>
      <c r="I631" s="245"/>
      <c r="J631" s="243"/>
      <c r="K631" s="243"/>
      <c r="L631" s="243"/>
      <c r="M631" s="243"/>
      <c r="N631" s="243"/>
      <c r="O631" s="244"/>
      <c r="P631" s="243"/>
      <c r="Q631" s="244"/>
      <c r="R631" s="243"/>
      <c r="S631" s="244"/>
      <c r="T631" s="243"/>
      <c r="U631" s="244"/>
      <c r="V631" s="246"/>
      <c r="W631" s="244"/>
      <c r="X631" s="243"/>
      <c r="Y631" s="244"/>
      <c r="Z631" s="243"/>
      <c r="AA631" s="243"/>
      <c r="AB631" s="243"/>
    </row>
    <row r="632">
      <c r="A632" s="243"/>
      <c r="B632" s="244"/>
      <c r="C632" s="243"/>
      <c r="D632" s="243"/>
      <c r="E632" s="243"/>
      <c r="F632" s="243"/>
      <c r="G632" s="243"/>
      <c r="H632" s="245"/>
      <c r="I632" s="245"/>
      <c r="J632" s="243"/>
      <c r="K632" s="243"/>
      <c r="L632" s="243"/>
      <c r="M632" s="243"/>
      <c r="N632" s="243"/>
      <c r="O632" s="244"/>
      <c r="P632" s="243"/>
      <c r="Q632" s="244"/>
      <c r="R632" s="243"/>
      <c r="S632" s="244"/>
      <c r="T632" s="243"/>
      <c r="U632" s="244"/>
      <c r="V632" s="246"/>
      <c r="W632" s="244"/>
      <c r="X632" s="243"/>
      <c r="Y632" s="244"/>
      <c r="Z632" s="243"/>
      <c r="AA632" s="243"/>
      <c r="AB632" s="243"/>
    </row>
    <row r="633">
      <c r="A633" s="243"/>
      <c r="B633" s="244"/>
      <c r="C633" s="243"/>
      <c r="D633" s="243"/>
      <c r="E633" s="243"/>
      <c r="F633" s="243"/>
      <c r="G633" s="243"/>
      <c r="H633" s="245"/>
      <c r="I633" s="245"/>
      <c r="J633" s="243"/>
      <c r="K633" s="243"/>
      <c r="L633" s="243"/>
      <c r="M633" s="243"/>
      <c r="N633" s="243"/>
      <c r="O633" s="244"/>
      <c r="P633" s="243"/>
      <c r="Q633" s="244"/>
      <c r="R633" s="243"/>
      <c r="S633" s="244"/>
      <c r="T633" s="243"/>
      <c r="U633" s="244"/>
      <c r="V633" s="246"/>
      <c r="W633" s="244"/>
      <c r="X633" s="243"/>
      <c r="Y633" s="244"/>
      <c r="Z633" s="243"/>
      <c r="AA633" s="243"/>
      <c r="AB633" s="243"/>
    </row>
    <row r="634">
      <c r="A634" s="243"/>
      <c r="B634" s="244"/>
      <c r="C634" s="243"/>
      <c r="D634" s="243"/>
      <c r="E634" s="243"/>
      <c r="F634" s="243"/>
      <c r="G634" s="243"/>
      <c r="H634" s="245"/>
      <c r="I634" s="245"/>
      <c r="J634" s="243"/>
      <c r="K634" s="243"/>
      <c r="L634" s="243"/>
      <c r="M634" s="243"/>
      <c r="N634" s="243"/>
      <c r="O634" s="244"/>
      <c r="P634" s="243"/>
      <c r="Q634" s="244"/>
      <c r="R634" s="243"/>
      <c r="S634" s="244"/>
      <c r="T634" s="243"/>
      <c r="U634" s="244"/>
      <c r="V634" s="246"/>
      <c r="W634" s="244"/>
      <c r="X634" s="243"/>
      <c r="Y634" s="244"/>
      <c r="Z634" s="243"/>
      <c r="AA634" s="243"/>
      <c r="AB634" s="243"/>
    </row>
    <row r="635">
      <c r="A635" s="243"/>
      <c r="B635" s="244"/>
      <c r="C635" s="243"/>
      <c r="D635" s="243"/>
      <c r="E635" s="243"/>
      <c r="F635" s="243"/>
      <c r="G635" s="243"/>
      <c r="H635" s="245"/>
      <c r="I635" s="245"/>
      <c r="J635" s="243"/>
      <c r="K635" s="243"/>
      <c r="L635" s="243"/>
      <c r="M635" s="243"/>
      <c r="N635" s="243"/>
      <c r="O635" s="244"/>
      <c r="P635" s="243"/>
      <c r="Q635" s="244"/>
      <c r="R635" s="243"/>
      <c r="S635" s="244"/>
      <c r="T635" s="243"/>
      <c r="U635" s="244"/>
      <c r="V635" s="246"/>
      <c r="W635" s="244"/>
      <c r="X635" s="243"/>
      <c r="Y635" s="244"/>
      <c r="Z635" s="243"/>
      <c r="AA635" s="243"/>
      <c r="AB635" s="243"/>
    </row>
    <row r="636">
      <c r="A636" s="243"/>
      <c r="B636" s="244"/>
      <c r="C636" s="243"/>
      <c r="D636" s="243"/>
      <c r="E636" s="243"/>
      <c r="F636" s="243"/>
      <c r="G636" s="243"/>
      <c r="H636" s="245"/>
      <c r="I636" s="245"/>
      <c r="J636" s="243"/>
      <c r="K636" s="243"/>
      <c r="L636" s="243"/>
      <c r="M636" s="243"/>
      <c r="N636" s="243"/>
      <c r="O636" s="244"/>
      <c r="P636" s="243"/>
      <c r="Q636" s="244"/>
      <c r="R636" s="243"/>
      <c r="S636" s="244"/>
      <c r="T636" s="243"/>
      <c r="U636" s="244"/>
      <c r="V636" s="246"/>
      <c r="W636" s="244"/>
      <c r="X636" s="243"/>
      <c r="Y636" s="244"/>
      <c r="Z636" s="243"/>
      <c r="AA636" s="243"/>
      <c r="AB636" s="243"/>
    </row>
    <row r="637">
      <c r="A637" s="243"/>
      <c r="B637" s="244"/>
      <c r="C637" s="243"/>
      <c r="D637" s="243"/>
      <c r="E637" s="243"/>
      <c r="F637" s="243"/>
      <c r="G637" s="243"/>
      <c r="H637" s="245"/>
      <c r="I637" s="245"/>
      <c r="J637" s="243"/>
      <c r="K637" s="243"/>
      <c r="L637" s="243"/>
      <c r="M637" s="243"/>
      <c r="N637" s="243"/>
      <c r="O637" s="244"/>
      <c r="P637" s="243"/>
      <c r="Q637" s="244"/>
      <c r="R637" s="243"/>
      <c r="S637" s="244"/>
      <c r="T637" s="243"/>
      <c r="U637" s="244"/>
      <c r="V637" s="246"/>
      <c r="W637" s="244"/>
      <c r="X637" s="243"/>
      <c r="Y637" s="244"/>
      <c r="Z637" s="243"/>
      <c r="AA637" s="243"/>
      <c r="AB637" s="243"/>
    </row>
    <row r="638">
      <c r="A638" s="243"/>
      <c r="B638" s="244"/>
      <c r="C638" s="243"/>
      <c r="D638" s="243"/>
      <c r="E638" s="243"/>
      <c r="F638" s="243"/>
      <c r="G638" s="243"/>
      <c r="H638" s="245"/>
      <c r="I638" s="245"/>
      <c r="J638" s="243"/>
      <c r="K638" s="243"/>
      <c r="L638" s="243"/>
      <c r="M638" s="243"/>
      <c r="N638" s="243"/>
      <c r="O638" s="244"/>
      <c r="P638" s="243"/>
      <c r="Q638" s="244"/>
      <c r="R638" s="243"/>
      <c r="S638" s="244"/>
      <c r="T638" s="243"/>
      <c r="U638" s="244"/>
      <c r="V638" s="246"/>
      <c r="W638" s="244"/>
      <c r="X638" s="243"/>
      <c r="Y638" s="244"/>
      <c r="Z638" s="243"/>
      <c r="AA638" s="243"/>
      <c r="AB638" s="243"/>
    </row>
    <row r="639">
      <c r="A639" s="243"/>
      <c r="B639" s="244"/>
      <c r="C639" s="243"/>
      <c r="D639" s="243"/>
      <c r="E639" s="243"/>
      <c r="F639" s="243"/>
      <c r="G639" s="243"/>
      <c r="H639" s="245"/>
      <c r="I639" s="245"/>
      <c r="J639" s="243"/>
      <c r="K639" s="243"/>
      <c r="L639" s="243"/>
      <c r="M639" s="243"/>
      <c r="N639" s="243"/>
      <c r="O639" s="244"/>
      <c r="P639" s="243"/>
      <c r="Q639" s="244"/>
      <c r="R639" s="243"/>
      <c r="S639" s="244"/>
      <c r="T639" s="243"/>
      <c r="U639" s="244"/>
      <c r="V639" s="246"/>
      <c r="W639" s="244"/>
      <c r="X639" s="243"/>
      <c r="Y639" s="244"/>
      <c r="Z639" s="243"/>
      <c r="AA639" s="243"/>
      <c r="AB639" s="243"/>
    </row>
    <row r="640">
      <c r="A640" s="243"/>
      <c r="B640" s="244"/>
      <c r="C640" s="243"/>
      <c r="D640" s="243"/>
      <c r="E640" s="243"/>
      <c r="F640" s="243"/>
      <c r="G640" s="243"/>
      <c r="H640" s="245"/>
      <c r="I640" s="245"/>
      <c r="J640" s="243"/>
      <c r="K640" s="243"/>
      <c r="L640" s="243"/>
      <c r="M640" s="243"/>
      <c r="N640" s="243"/>
      <c r="O640" s="244"/>
      <c r="P640" s="243"/>
      <c r="Q640" s="244"/>
      <c r="R640" s="243"/>
      <c r="S640" s="244"/>
      <c r="T640" s="243"/>
      <c r="U640" s="244"/>
      <c r="V640" s="246"/>
      <c r="W640" s="244"/>
      <c r="X640" s="243"/>
      <c r="Y640" s="244"/>
      <c r="Z640" s="243"/>
      <c r="AA640" s="243"/>
      <c r="AB640" s="243"/>
    </row>
    <row r="641">
      <c r="A641" s="243"/>
      <c r="B641" s="244"/>
      <c r="C641" s="243"/>
      <c r="D641" s="243"/>
      <c r="E641" s="243"/>
      <c r="F641" s="243"/>
      <c r="G641" s="243"/>
      <c r="H641" s="245"/>
      <c r="I641" s="245"/>
      <c r="J641" s="243"/>
      <c r="K641" s="243"/>
      <c r="L641" s="243"/>
      <c r="M641" s="243"/>
      <c r="N641" s="243"/>
      <c r="O641" s="244"/>
      <c r="P641" s="243"/>
      <c r="Q641" s="244"/>
      <c r="R641" s="243"/>
      <c r="S641" s="244"/>
      <c r="T641" s="243"/>
      <c r="U641" s="244"/>
      <c r="V641" s="246"/>
      <c r="W641" s="244"/>
      <c r="X641" s="243"/>
      <c r="Y641" s="244"/>
      <c r="Z641" s="243"/>
      <c r="AA641" s="243"/>
      <c r="AB641" s="243"/>
    </row>
    <row r="642">
      <c r="A642" s="243"/>
      <c r="B642" s="244"/>
      <c r="C642" s="243"/>
      <c r="D642" s="243"/>
      <c r="E642" s="243"/>
      <c r="F642" s="243"/>
      <c r="G642" s="243"/>
      <c r="H642" s="245"/>
      <c r="I642" s="245"/>
      <c r="J642" s="243"/>
      <c r="K642" s="243"/>
      <c r="L642" s="243"/>
      <c r="M642" s="243"/>
      <c r="N642" s="243"/>
      <c r="O642" s="244"/>
      <c r="P642" s="243"/>
      <c r="Q642" s="244"/>
      <c r="R642" s="243"/>
      <c r="S642" s="244"/>
      <c r="T642" s="243"/>
      <c r="U642" s="244"/>
      <c r="V642" s="246"/>
      <c r="W642" s="244"/>
      <c r="X642" s="243"/>
      <c r="Y642" s="244"/>
      <c r="Z642" s="243"/>
      <c r="AA642" s="243"/>
      <c r="AB642" s="243"/>
    </row>
    <row r="643">
      <c r="A643" s="243"/>
      <c r="B643" s="244"/>
      <c r="C643" s="243"/>
      <c r="D643" s="243"/>
      <c r="E643" s="243"/>
      <c r="F643" s="243"/>
      <c r="G643" s="243"/>
      <c r="H643" s="245"/>
      <c r="I643" s="245"/>
      <c r="J643" s="243"/>
      <c r="K643" s="243"/>
      <c r="L643" s="243"/>
      <c r="M643" s="243"/>
      <c r="N643" s="243"/>
      <c r="O643" s="244"/>
      <c r="P643" s="243"/>
      <c r="Q643" s="244"/>
      <c r="R643" s="243"/>
      <c r="S643" s="244"/>
      <c r="T643" s="243"/>
      <c r="U643" s="244"/>
      <c r="V643" s="246"/>
      <c r="W643" s="244"/>
      <c r="X643" s="243"/>
      <c r="Y643" s="244"/>
      <c r="Z643" s="243"/>
      <c r="AA643" s="243"/>
      <c r="AB643" s="243"/>
    </row>
    <row r="644">
      <c r="A644" s="243"/>
      <c r="B644" s="244"/>
      <c r="C644" s="243"/>
      <c r="D644" s="243"/>
      <c r="E644" s="243"/>
      <c r="F644" s="243"/>
      <c r="G644" s="243"/>
      <c r="H644" s="245"/>
      <c r="I644" s="245"/>
      <c r="J644" s="243"/>
      <c r="K644" s="243"/>
      <c r="L644" s="243"/>
      <c r="M644" s="243"/>
      <c r="N644" s="243"/>
      <c r="O644" s="244"/>
      <c r="P644" s="243"/>
      <c r="Q644" s="244"/>
      <c r="R644" s="243"/>
      <c r="S644" s="244"/>
      <c r="T644" s="243"/>
      <c r="U644" s="244"/>
      <c r="V644" s="246"/>
      <c r="W644" s="244"/>
      <c r="X644" s="243"/>
      <c r="Y644" s="244"/>
      <c r="Z644" s="243"/>
      <c r="AA644" s="243"/>
      <c r="AB644" s="243"/>
    </row>
    <row r="645">
      <c r="A645" s="243"/>
      <c r="B645" s="244"/>
      <c r="C645" s="243"/>
      <c r="D645" s="243"/>
      <c r="E645" s="243"/>
      <c r="F645" s="243"/>
      <c r="G645" s="243"/>
      <c r="H645" s="245"/>
      <c r="I645" s="245"/>
      <c r="J645" s="243"/>
      <c r="K645" s="243"/>
      <c r="L645" s="243"/>
      <c r="M645" s="243"/>
      <c r="N645" s="243"/>
      <c r="O645" s="244"/>
      <c r="P645" s="243"/>
      <c r="Q645" s="244"/>
      <c r="R645" s="243"/>
      <c r="S645" s="244"/>
      <c r="T645" s="243"/>
      <c r="U645" s="244"/>
      <c r="V645" s="246"/>
      <c r="W645" s="244"/>
      <c r="X645" s="243"/>
      <c r="Y645" s="244"/>
      <c r="Z645" s="243"/>
      <c r="AA645" s="243"/>
      <c r="AB645" s="243"/>
    </row>
    <row r="646">
      <c r="A646" s="243"/>
      <c r="B646" s="244"/>
      <c r="C646" s="243"/>
      <c r="D646" s="243"/>
      <c r="E646" s="243"/>
      <c r="F646" s="243"/>
      <c r="G646" s="243"/>
      <c r="H646" s="245"/>
      <c r="I646" s="245"/>
      <c r="J646" s="243"/>
      <c r="K646" s="243"/>
      <c r="L646" s="243"/>
      <c r="M646" s="243"/>
      <c r="N646" s="243"/>
      <c r="O646" s="244"/>
      <c r="P646" s="243"/>
      <c r="Q646" s="244"/>
      <c r="R646" s="243"/>
      <c r="S646" s="244"/>
      <c r="T646" s="243"/>
      <c r="U646" s="244"/>
      <c r="V646" s="246"/>
      <c r="W646" s="244"/>
      <c r="X646" s="243"/>
      <c r="Y646" s="244"/>
      <c r="Z646" s="243"/>
      <c r="AA646" s="243"/>
      <c r="AB646" s="243"/>
    </row>
    <row r="647">
      <c r="A647" s="243"/>
      <c r="B647" s="244"/>
      <c r="C647" s="243"/>
      <c r="D647" s="243"/>
      <c r="E647" s="243"/>
      <c r="F647" s="243"/>
      <c r="G647" s="243"/>
      <c r="H647" s="245"/>
      <c r="I647" s="245"/>
      <c r="J647" s="243"/>
      <c r="K647" s="243"/>
      <c r="L647" s="243"/>
      <c r="M647" s="243"/>
      <c r="N647" s="243"/>
      <c r="O647" s="244"/>
      <c r="P647" s="243"/>
      <c r="Q647" s="244"/>
      <c r="R647" s="243"/>
      <c r="S647" s="244"/>
      <c r="T647" s="243"/>
      <c r="U647" s="244"/>
      <c r="V647" s="246"/>
      <c r="W647" s="244"/>
      <c r="X647" s="243"/>
      <c r="Y647" s="244"/>
      <c r="Z647" s="243"/>
      <c r="AA647" s="243"/>
      <c r="AB647" s="243"/>
    </row>
    <row r="648">
      <c r="A648" s="243"/>
      <c r="B648" s="244"/>
      <c r="C648" s="243"/>
      <c r="D648" s="243"/>
      <c r="E648" s="243"/>
      <c r="F648" s="243"/>
      <c r="G648" s="243"/>
      <c r="H648" s="245"/>
      <c r="I648" s="245"/>
      <c r="J648" s="243"/>
      <c r="K648" s="243"/>
      <c r="L648" s="243"/>
      <c r="M648" s="243"/>
      <c r="N648" s="243"/>
      <c r="O648" s="244"/>
      <c r="P648" s="243"/>
      <c r="Q648" s="244"/>
      <c r="R648" s="243"/>
      <c r="S648" s="244"/>
      <c r="T648" s="243"/>
      <c r="U648" s="244"/>
      <c r="V648" s="246"/>
      <c r="W648" s="244"/>
      <c r="X648" s="243"/>
      <c r="Y648" s="244"/>
      <c r="Z648" s="243"/>
      <c r="AA648" s="243"/>
      <c r="AB648" s="243"/>
    </row>
    <row r="649">
      <c r="A649" s="243"/>
      <c r="B649" s="244"/>
      <c r="C649" s="243"/>
      <c r="D649" s="243"/>
      <c r="E649" s="243"/>
      <c r="F649" s="243"/>
      <c r="G649" s="243"/>
      <c r="H649" s="245"/>
      <c r="I649" s="245"/>
      <c r="J649" s="243"/>
      <c r="K649" s="243"/>
      <c r="L649" s="243"/>
      <c r="M649" s="243"/>
      <c r="N649" s="243"/>
      <c r="O649" s="244"/>
      <c r="P649" s="243"/>
      <c r="Q649" s="244"/>
      <c r="R649" s="243"/>
      <c r="S649" s="244"/>
      <c r="T649" s="243"/>
      <c r="U649" s="244"/>
      <c r="V649" s="246"/>
      <c r="W649" s="244"/>
      <c r="X649" s="243"/>
      <c r="Y649" s="244"/>
      <c r="Z649" s="243"/>
      <c r="AA649" s="243"/>
      <c r="AB649" s="243"/>
    </row>
    <row r="650">
      <c r="A650" s="243"/>
      <c r="B650" s="244"/>
      <c r="C650" s="243"/>
      <c r="D650" s="243"/>
      <c r="E650" s="243"/>
      <c r="F650" s="243"/>
      <c r="G650" s="243"/>
      <c r="H650" s="245"/>
      <c r="I650" s="245"/>
      <c r="J650" s="243"/>
      <c r="K650" s="243"/>
      <c r="L650" s="243"/>
      <c r="M650" s="243"/>
      <c r="N650" s="243"/>
      <c r="O650" s="244"/>
      <c r="P650" s="243"/>
      <c r="Q650" s="244"/>
      <c r="R650" s="243"/>
      <c r="S650" s="244"/>
      <c r="T650" s="243"/>
      <c r="U650" s="244"/>
      <c r="V650" s="246"/>
      <c r="W650" s="244"/>
      <c r="X650" s="243"/>
      <c r="Y650" s="244"/>
      <c r="Z650" s="243"/>
      <c r="AA650" s="243"/>
      <c r="AB650" s="243"/>
    </row>
    <row r="651">
      <c r="A651" s="243"/>
      <c r="B651" s="244"/>
      <c r="C651" s="243"/>
      <c r="D651" s="243"/>
      <c r="E651" s="243"/>
      <c r="F651" s="243"/>
      <c r="G651" s="243"/>
      <c r="H651" s="245"/>
      <c r="I651" s="245"/>
      <c r="J651" s="243"/>
      <c r="K651" s="243"/>
      <c r="L651" s="243"/>
      <c r="M651" s="243"/>
      <c r="N651" s="243"/>
      <c r="O651" s="244"/>
      <c r="P651" s="243"/>
      <c r="Q651" s="244"/>
      <c r="R651" s="243"/>
      <c r="S651" s="244"/>
      <c r="T651" s="243"/>
      <c r="U651" s="244"/>
      <c r="V651" s="246"/>
      <c r="W651" s="244"/>
      <c r="X651" s="243"/>
      <c r="Y651" s="244"/>
      <c r="Z651" s="243"/>
      <c r="AA651" s="243"/>
      <c r="AB651" s="243"/>
    </row>
    <row r="652">
      <c r="A652" s="243"/>
      <c r="B652" s="244"/>
      <c r="C652" s="243"/>
      <c r="D652" s="243"/>
      <c r="E652" s="243"/>
      <c r="F652" s="243"/>
      <c r="G652" s="243"/>
      <c r="H652" s="245"/>
      <c r="I652" s="245"/>
      <c r="J652" s="243"/>
      <c r="K652" s="243"/>
      <c r="L652" s="243"/>
      <c r="M652" s="243"/>
      <c r="N652" s="243"/>
      <c r="O652" s="244"/>
      <c r="P652" s="243"/>
      <c r="Q652" s="244"/>
      <c r="R652" s="243"/>
      <c r="S652" s="244"/>
      <c r="T652" s="243"/>
      <c r="U652" s="244"/>
      <c r="V652" s="246"/>
      <c r="W652" s="244"/>
      <c r="X652" s="243"/>
      <c r="Y652" s="244"/>
      <c r="Z652" s="243"/>
      <c r="AA652" s="243"/>
      <c r="AB652" s="243"/>
    </row>
    <row r="653">
      <c r="A653" s="243"/>
      <c r="B653" s="244"/>
      <c r="C653" s="243"/>
      <c r="D653" s="243"/>
      <c r="E653" s="243"/>
      <c r="F653" s="243"/>
      <c r="G653" s="243"/>
      <c r="H653" s="245"/>
      <c r="I653" s="245"/>
      <c r="J653" s="243"/>
      <c r="K653" s="243"/>
      <c r="L653" s="243"/>
      <c r="M653" s="243"/>
      <c r="N653" s="243"/>
      <c r="O653" s="244"/>
      <c r="P653" s="243"/>
      <c r="Q653" s="244"/>
      <c r="R653" s="243"/>
      <c r="S653" s="244"/>
      <c r="T653" s="243"/>
      <c r="U653" s="244"/>
      <c r="V653" s="246"/>
      <c r="W653" s="244"/>
      <c r="X653" s="243"/>
      <c r="Y653" s="244"/>
      <c r="Z653" s="243"/>
      <c r="AA653" s="243"/>
      <c r="AB653" s="243"/>
    </row>
    <row r="654">
      <c r="A654" s="243"/>
      <c r="B654" s="244"/>
      <c r="C654" s="243"/>
      <c r="D654" s="243"/>
      <c r="E654" s="243"/>
      <c r="F654" s="243"/>
      <c r="G654" s="243"/>
      <c r="H654" s="245"/>
      <c r="I654" s="245"/>
      <c r="J654" s="243"/>
      <c r="K654" s="243"/>
      <c r="L654" s="243"/>
      <c r="M654" s="243"/>
      <c r="N654" s="243"/>
      <c r="O654" s="244"/>
      <c r="P654" s="243"/>
      <c r="Q654" s="244"/>
      <c r="R654" s="243"/>
      <c r="S654" s="244"/>
      <c r="T654" s="243"/>
      <c r="U654" s="244"/>
      <c r="V654" s="246"/>
      <c r="W654" s="244"/>
      <c r="X654" s="243"/>
      <c r="Y654" s="244"/>
      <c r="Z654" s="243"/>
      <c r="AA654" s="243"/>
      <c r="AB654" s="243"/>
    </row>
    <row r="655">
      <c r="A655" s="243"/>
      <c r="B655" s="244"/>
      <c r="C655" s="243"/>
      <c r="D655" s="243"/>
      <c r="E655" s="243"/>
      <c r="F655" s="243"/>
      <c r="G655" s="243"/>
      <c r="H655" s="245"/>
      <c r="I655" s="245"/>
      <c r="J655" s="243"/>
      <c r="K655" s="243"/>
      <c r="L655" s="243"/>
      <c r="M655" s="243"/>
      <c r="N655" s="243"/>
      <c r="O655" s="244"/>
      <c r="P655" s="243"/>
      <c r="Q655" s="244"/>
      <c r="R655" s="243"/>
      <c r="S655" s="244"/>
      <c r="T655" s="243"/>
      <c r="U655" s="244"/>
      <c r="V655" s="246"/>
      <c r="W655" s="244"/>
      <c r="X655" s="243"/>
      <c r="Y655" s="244"/>
      <c r="Z655" s="243"/>
      <c r="AA655" s="243"/>
      <c r="AB655" s="243"/>
    </row>
    <row r="656">
      <c r="A656" s="243"/>
      <c r="B656" s="244"/>
      <c r="C656" s="243"/>
      <c r="D656" s="243"/>
      <c r="E656" s="243"/>
      <c r="F656" s="243"/>
      <c r="G656" s="243"/>
      <c r="H656" s="245"/>
      <c r="I656" s="245"/>
      <c r="J656" s="243"/>
      <c r="K656" s="243"/>
      <c r="L656" s="243"/>
      <c r="M656" s="243"/>
      <c r="N656" s="243"/>
      <c r="O656" s="244"/>
      <c r="P656" s="243"/>
      <c r="Q656" s="244"/>
      <c r="R656" s="243"/>
      <c r="S656" s="244"/>
      <c r="T656" s="243"/>
      <c r="U656" s="244"/>
      <c r="V656" s="246"/>
      <c r="W656" s="244"/>
      <c r="X656" s="243"/>
      <c r="Y656" s="244"/>
      <c r="Z656" s="243"/>
      <c r="AA656" s="243"/>
      <c r="AB656" s="243"/>
    </row>
    <row r="657">
      <c r="A657" s="243"/>
      <c r="B657" s="244"/>
      <c r="C657" s="243"/>
      <c r="D657" s="243"/>
      <c r="E657" s="243"/>
      <c r="F657" s="243"/>
      <c r="G657" s="243"/>
      <c r="H657" s="245"/>
      <c r="I657" s="245"/>
      <c r="J657" s="243"/>
      <c r="K657" s="243"/>
      <c r="L657" s="243"/>
      <c r="M657" s="243"/>
      <c r="N657" s="243"/>
      <c r="O657" s="244"/>
      <c r="P657" s="243"/>
      <c r="Q657" s="244"/>
      <c r="R657" s="243"/>
      <c r="S657" s="244"/>
      <c r="T657" s="243"/>
      <c r="U657" s="244"/>
      <c r="V657" s="246"/>
      <c r="W657" s="244"/>
      <c r="X657" s="243"/>
      <c r="Y657" s="244"/>
      <c r="Z657" s="243"/>
      <c r="AA657" s="243"/>
      <c r="AB657" s="243"/>
    </row>
    <row r="658">
      <c r="A658" s="243"/>
      <c r="B658" s="244"/>
      <c r="C658" s="243"/>
      <c r="D658" s="243"/>
      <c r="E658" s="243"/>
      <c r="F658" s="243"/>
      <c r="G658" s="243"/>
      <c r="H658" s="245"/>
      <c r="I658" s="245"/>
      <c r="J658" s="243"/>
      <c r="K658" s="243"/>
      <c r="L658" s="243"/>
      <c r="M658" s="243"/>
      <c r="N658" s="243"/>
      <c r="O658" s="244"/>
      <c r="P658" s="243"/>
      <c r="Q658" s="244"/>
      <c r="R658" s="243"/>
      <c r="S658" s="244"/>
      <c r="T658" s="243"/>
      <c r="U658" s="244"/>
      <c r="V658" s="246"/>
      <c r="W658" s="244"/>
      <c r="X658" s="243"/>
      <c r="Y658" s="244"/>
      <c r="Z658" s="243"/>
      <c r="AA658" s="243"/>
      <c r="AB658" s="243"/>
    </row>
    <row r="659">
      <c r="A659" s="243"/>
      <c r="B659" s="244"/>
      <c r="C659" s="243"/>
      <c r="D659" s="243"/>
      <c r="E659" s="243"/>
      <c r="F659" s="243"/>
      <c r="G659" s="243"/>
      <c r="H659" s="245"/>
      <c r="I659" s="245"/>
      <c r="J659" s="243"/>
      <c r="K659" s="243"/>
      <c r="L659" s="243"/>
      <c r="M659" s="243"/>
      <c r="N659" s="243"/>
      <c r="O659" s="244"/>
      <c r="P659" s="243"/>
      <c r="Q659" s="244"/>
      <c r="R659" s="243"/>
      <c r="S659" s="244"/>
      <c r="T659" s="243"/>
      <c r="U659" s="244"/>
      <c r="V659" s="246"/>
      <c r="W659" s="244"/>
      <c r="X659" s="243"/>
      <c r="Y659" s="244"/>
      <c r="Z659" s="243"/>
      <c r="AA659" s="243"/>
      <c r="AB659" s="243"/>
    </row>
    <row r="660">
      <c r="A660" s="243"/>
      <c r="B660" s="244"/>
      <c r="C660" s="243"/>
      <c r="D660" s="243"/>
      <c r="E660" s="243"/>
      <c r="F660" s="243"/>
      <c r="G660" s="243"/>
      <c r="H660" s="245"/>
      <c r="I660" s="245"/>
      <c r="J660" s="243"/>
      <c r="K660" s="243"/>
      <c r="L660" s="243"/>
      <c r="M660" s="243"/>
      <c r="N660" s="243"/>
      <c r="O660" s="244"/>
      <c r="P660" s="243"/>
      <c r="Q660" s="244"/>
      <c r="R660" s="243"/>
      <c r="S660" s="244"/>
      <c r="T660" s="243"/>
      <c r="U660" s="244"/>
      <c r="V660" s="246"/>
      <c r="W660" s="244"/>
      <c r="X660" s="243"/>
      <c r="Y660" s="244"/>
      <c r="Z660" s="243"/>
      <c r="AA660" s="243"/>
      <c r="AB660" s="243"/>
    </row>
    <row r="661">
      <c r="A661" s="243"/>
      <c r="B661" s="244"/>
      <c r="C661" s="243"/>
      <c r="D661" s="243"/>
      <c r="E661" s="243"/>
      <c r="F661" s="243"/>
      <c r="G661" s="243"/>
      <c r="H661" s="245"/>
      <c r="I661" s="245"/>
      <c r="J661" s="243"/>
      <c r="K661" s="243"/>
      <c r="L661" s="243"/>
      <c r="M661" s="243"/>
      <c r="N661" s="243"/>
      <c r="O661" s="244"/>
      <c r="P661" s="243"/>
      <c r="Q661" s="244"/>
      <c r="R661" s="243"/>
      <c r="S661" s="244"/>
      <c r="T661" s="243"/>
      <c r="U661" s="244"/>
      <c r="V661" s="246"/>
      <c r="W661" s="244"/>
      <c r="X661" s="243"/>
      <c r="Y661" s="244"/>
      <c r="Z661" s="243"/>
      <c r="AA661" s="243"/>
      <c r="AB661" s="243"/>
    </row>
    <row r="662">
      <c r="A662" s="243"/>
      <c r="B662" s="244"/>
      <c r="C662" s="243"/>
      <c r="D662" s="243"/>
      <c r="E662" s="243"/>
      <c r="F662" s="243"/>
      <c r="G662" s="243"/>
      <c r="H662" s="245"/>
      <c r="I662" s="245"/>
      <c r="J662" s="243"/>
      <c r="K662" s="243"/>
      <c r="L662" s="243"/>
      <c r="M662" s="243"/>
      <c r="N662" s="243"/>
      <c r="O662" s="244"/>
      <c r="P662" s="243"/>
      <c r="Q662" s="244"/>
      <c r="R662" s="243"/>
      <c r="S662" s="244"/>
      <c r="T662" s="243"/>
      <c r="U662" s="244"/>
      <c r="V662" s="246"/>
      <c r="W662" s="244"/>
      <c r="X662" s="243"/>
      <c r="Y662" s="244"/>
      <c r="Z662" s="243"/>
      <c r="AA662" s="243"/>
      <c r="AB662" s="243"/>
    </row>
    <row r="663">
      <c r="A663" s="243"/>
      <c r="B663" s="244"/>
      <c r="C663" s="243"/>
      <c r="D663" s="243"/>
      <c r="E663" s="243"/>
      <c r="F663" s="243"/>
      <c r="G663" s="243"/>
      <c r="H663" s="245"/>
      <c r="I663" s="245"/>
      <c r="J663" s="243"/>
      <c r="K663" s="243"/>
      <c r="L663" s="243"/>
      <c r="M663" s="243"/>
      <c r="N663" s="243"/>
      <c r="O663" s="244"/>
      <c r="P663" s="243"/>
      <c r="Q663" s="244"/>
      <c r="R663" s="243"/>
      <c r="S663" s="244"/>
      <c r="T663" s="243"/>
      <c r="U663" s="244"/>
      <c r="V663" s="246"/>
      <c r="W663" s="244"/>
      <c r="X663" s="243"/>
      <c r="Y663" s="244"/>
      <c r="Z663" s="243"/>
      <c r="AA663" s="243"/>
      <c r="AB663" s="243"/>
    </row>
    <row r="664">
      <c r="A664" s="243"/>
      <c r="B664" s="244"/>
      <c r="C664" s="243"/>
      <c r="D664" s="243"/>
      <c r="E664" s="243"/>
      <c r="F664" s="243"/>
      <c r="G664" s="243"/>
      <c r="H664" s="245"/>
      <c r="I664" s="245"/>
      <c r="J664" s="243"/>
      <c r="K664" s="243"/>
      <c r="L664" s="243"/>
      <c r="M664" s="243"/>
      <c r="N664" s="243"/>
      <c r="O664" s="244"/>
      <c r="P664" s="243"/>
      <c r="Q664" s="244"/>
      <c r="R664" s="243"/>
      <c r="S664" s="244"/>
      <c r="T664" s="243"/>
      <c r="U664" s="244"/>
      <c r="V664" s="246"/>
      <c r="W664" s="244"/>
      <c r="X664" s="243"/>
      <c r="Y664" s="244"/>
      <c r="Z664" s="243"/>
      <c r="AA664" s="243"/>
      <c r="AB664" s="243"/>
    </row>
    <row r="665">
      <c r="A665" s="243"/>
      <c r="B665" s="244"/>
      <c r="C665" s="243"/>
      <c r="D665" s="243"/>
      <c r="E665" s="243"/>
      <c r="F665" s="243"/>
      <c r="G665" s="243"/>
      <c r="H665" s="245"/>
      <c r="I665" s="245"/>
      <c r="J665" s="243"/>
      <c r="K665" s="243"/>
      <c r="L665" s="243"/>
      <c r="M665" s="243"/>
      <c r="N665" s="243"/>
      <c r="O665" s="244"/>
      <c r="P665" s="243"/>
      <c r="Q665" s="244"/>
      <c r="R665" s="243"/>
      <c r="S665" s="244"/>
      <c r="T665" s="243"/>
      <c r="U665" s="244"/>
      <c r="V665" s="246"/>
      <c r="W665" s="244"/>
      <c r="X665" s="243"/>
      <c r="Y665" s="244"/>
      <c r="Z665" s="243"/>
      <c r="AA665" s="243"/>
      <c r="AB665" s="243"/>
    </row>
    <row r="666">
      <c r="A666" s="243"/>
      <c r="B666" s="244"/>
      <c r="C666" s="243"/>
      <c r="D666" s="243"/>
      <c r="E666" s="243"/>
      <c r="F666" s="243"/>
      <c r="G666" s="243"/>
      <c r="H666" s="245"/>
      <c r="I666" s="245"/>
      <c r="J666" s="243"/>
      <c r="K666" s="243"/>
      <c r="L666" s="243"/>
      <c r="M666" s="243"/>
      <c r="N666" s="243"/>
      <c r="O666" s="244"/>
      <c r="P666" s="243"/>
      <c r="Q666" s="244"/>
      <c r="R666" s="243"/>
      <c r="S666" s="244"/>
      <c r="T666" s="243"/>
      <c r="U666" s="244"/>
      <c r="V666" s="246"/>
      <c r="W666" s="244"/>
      <c r="X666" s="243"/>
      <c r="Y666" s="244"/>
      <c r="Z666" s="243"/>
      <c r="AA666" s="243"/>
      <c r="AB666" s="243"/>
    </row>
    <row r="667">
      <c r="A667" s="243"/>
      <c r="B667" s="244"/>
      <c r="C667" s="243"/>
      <c r="D667" s="243"/>
      <c r="E667" s="243"/>
      <c r="F667" s="243"/>
      <c r="G667" s="243"/>
      <c r="H667" s="245"/>
      <c r="I667" s="245"/>
      <c r="J667" s="243"/>
      <c r="K667" s="243"/>
      <c r="L667" s="243"/>
      <c r="M667" s="243"/>
      <c r="N667" s="243"/>
      <c r="O667" s="244"/>
      <c r="P667" s="243"/>
      <c r="Q667" s="244"/>
      <c r="R667" s="243"/>
      <c r="S667" s="244"/>
      <c r="T667" s="243"/>
      <c r="U667" s="244"/>
      <c r="V667" s="246"/>
      <c r="W667" s="244"/>
      <c r="X667" s="243"/>
      <c r="Y667" s="244"/>
      <c r="Z667" s="243"/>
      <c r="AA667" s="243"/>
      <c r="AB667" s="243"/>
    </row>
    <row r="668">
      <c r="A668" s="243"/>
      <c r="B668" s="244"/>
      <c r="C668" s="243"/>
      <c r="D668" s="243"/>
      <c r="E668" s="243"/>
      <c r="F668" s="243"/>
      <c r="G668" s="243"/>
      <c r="H668" s="245"/>
      <c r="I668" s="245"/>
      <c r="J668" s="243"/>
      <c r="K668" s="243"/>
      <c r="L668" s="243"/>
      <c r="M668" s="243"/>
      <c r="N668" s="243"/>
      <c r="O668" s="244"/>
      <c r="P668" s="243"/>
      <c r="Q668" s="244"/>
      <c r="R668" s="243"/>
      <c r="S668" s="244"/>
      <c r="T668" s="243"/>
      <c r="U668" s="244"/>
      <c r="V668" s="246"/>
      <c r="W668" s="244"/>
      <c r="X668" s="243"/>
      <c r="Y668" s="244"/>
      <c r="Z668" s="243"/>
      <c r="AA668" s="243"/>
      <c r="AB668" s="243"/>
    </row>
    <row r="669">
      <c r="A669" s="243"/>
      <c r="B669" s="244"/>
      <c r="C669" s="243"/>
      <c r="D669" s="243"/>
      <c r="E669" s="243"/>
      <c r="F669" s="243"/>
      <c r="G669" s="243"/>
      <c r="H669" s="245"/>
      <c r="I669" s="245"/>
      <c r="J669" s="243"/>
      <c r="K669" s="243"/>
      <c r="L669" s="243"/>
      <c r="M669" s="243"/>
      <c r="N669" s="243"/>
      <c r="O669" s="244"/>
      <c r="P669" s="243"/>
      <c r="Q669" s="244"/>
      <c r="R669" s="243"/>
      <c r="S669" s="244"/>
      <c r="T669" s="243"/>
      <c r="U669" s="244"/>
      <c r="V669" s="246"/>
      <c r="W669" s="244"/>
      <c r="X669" s="243"/>
      <c r="Y669" s="244"/>
      <c r="Z669" s="243"/>
      <c r="AA669" s="243"/>
      <c r="AB669" s="243"/>
    </row>
    <row r="670">
      <c r="A670" s="243"/>
      <c r="B670" s="244"/>
      <c r="C670" s="243"/>
      <c r="D670" s="243"/>
      <c r="E670" s="243"/>
      <c r="F670" s="243"/>
      <c r="G670" s="243"/>
      <c r="H670" s="245"/>
      <c r="I670" s="245"/>
      <c r="J670" s="243"/>
      <c r="K670" s="243"/>
      <c r="L670" s="243"/>
      <c r="M670" s="243"/>
      <c r="N670" s="243"/>
      <c r="O670" s="244"/>
      <c r="P670" s="243"/>
      <c r="Q670" s="244"/>
      <c r="R670" s="243"/>
      <c r="S670" s="244"/>
      <c r="T670" s="243"/>
      <c r="U670" s="244"/>
      <c r="V670" s="246"/>
      <c r="W670" s="244"/>
      <c r="X670" s="243"/>
      <c r="Y670" s="244"/>
      <c r="Z670" s="243"/>
      <c r="AA670" s="243"/>
      <c r="AB670" s="243"/>
    </row>
    <row r="671">
      <c r="A671" s="243"/>
      <c r="B671" s="244"/>
      <c r="C671" s="243"/>
      <c r="D671" s="243"/>
      <c r="E671" s="243"/>
      <c r="F671" s="243"/>
      <c r="G671" s="243"/>
      <c r="H671" s="245"/>
      <c r="I671" s="245"/>
      <c r="J671" s="243"/>
      <c r="K671" s="243"/>
      <c r="L671" s="243"/>
      <c r="M671" s="243"/>
      <c r="N671" s="243"/>
      <c r="O671" s="244"/>
      <c r="P671" s="243"/>
      <c r="Q671" s="244"/>
      <c r="R671" s="243"/>
      <c r="S671" s="244"/>
      <c r="T671" s="243"/>
      <c r="U671" s="244"/>
      <c r="V671" s="246"/>
      <c r="W671" s="244"/>
      <c r="X671" s="243"/>
      <c r="Y671" s="244"/>
      <c r="Z671" s="243"/>
      <c r="AA671" s="243"/>
      <c r="AB671" s="243"/>
    </row>
    <row r="672">
      <c r="A672" s="243"/>
      <c r="B672" s="244"/>
      <c r="C672" s="243"/>
      <c r="D672" s="243"/>
      <c r="E672" s="243"/>
      <c r="F672" s="243"/>
      <c r="G672" s="243"/>
      <c r="H672" s="245"/>
      <c r="I672" s="245"/>
      <c r="J672" s="243"/>
      <c r="K672" s="243"/>
      <c r="L672" s="243"/>
      <c r="M672" s="243"/>
      <c r="N672" s="243"/>
      <c r="O672" s="244"/>
      <c r="P672" s="243"/>
      <c r="Q672" s="244"/>
      <c r="R672" s="243"/>
      <c r="S672" s="244"/>
      <c r="T672" s="243"/>
      <c r="U672" s="244"/>
      <c r="V672" s="246"/>
      <c r="W672" s="244"/>
      <c r="X672" s="243"/>
      <c r="Y672" s="244"/>
      <c r="Z672" s="243"/>
      <c r="AA672" s="243"/>
      <c r="AB672" s="243"/>
    </row>
    <row r="673">
      <c r="A673" s="243"/>
      <c r="B673" s="244"/>
      <c r="C673" s="243"/>
      <c r="D673" s="243"/>
      <c r="E673" s="243"/>
      <c r="F673" s="243"/>
      <c r="G673" s="243"/>
      <c r="H673" s="245"/>
      <c r="I673" s="245"/>
      <c r="J673" s="243"/>
      <c r="K673" s="243"/>
      <c r="L673" s="243"/>
      <c r="M673" s="243"/>
      <c r="N673" s="243"/>
      <c r="O673" s="244"/>
      <c r="P673" s="243"/>
      <c r="Q673" s="244"/>
      <c r="R673" s="243"/>
      <c r="S673" s="244"/>
      <c r="T673" s="243"/>
      <c r="U673" s="244"/>
      <c r="V673" s="246"/>
      <c r="W673" s="244"/>
      <c r="X673" s="243"/>
      <c r="Y673" s="244"/>
      <c r="Z673" s="243"/>
      <c r="AA673" s="243"/>
      <c r="AB673" s="243"/>
    </row>
    <row r="674">
      <c r="A674" s="243"/>
      <c r="B674" s="244"/>
      <c r="C674" s="243"/>
      <c r="D674" s="243"/>
      <c r="E674" s="243"/>
      <c r="F674" s="243"/>
      <c r="G674" s="243"/>
      <c r="H674" s="245"/>
      <c r="I674" s="245"/>
      <c r="J674" s="243"/>
      <c r="K674" s="243"/>
      <c r="L674" s="243"/>
      <c r="M674" s="243"/>
      <c r="N674" s="243"/>
      <c r="O674" s="244"/>
      <c r="P674" s="243"/>
      <c r="Q674" s="244"/>
      <c r="R674" s="243"/>
      <c r="S674" s="244"/>
      <c r="T674" s="243"/>
      <c r="U674" s="244"/>
      <c r="V674" s="246"/>
      <c r="W674" s="244"/>
      <c r="X674" s="243"/>
      <c r="Y674" s="244"/>
      <c r="Z674" s="243"/>
      <c r="AA674" s="243"/>
      <c r="AB674" s="243"/>
    </row>
    <row r="675">
      <c r="A675" s="243"/>
      <c r="B675" s="244"/>
      <c r="C675" s="243"/>
      <c r="D675" s="243"/>
      <c r="E675" s="243"/>
      <c r="F675" s="243"/>
      <c r="G675" s="243"/>
      <c r="H675" s="245"/>
      <c r="I675" s="245"/>
      <c r="J675" s="243"/>
      <c r="K675" s="243"/>
      <c r="L675" s="243"/>
      <c r="M675" s="243"/>
      <c r="N675" s="243"/>
      <c r="O675" s="244"/>
      <c r="P675" s="243"/>
      <c r="Q675" s="244"/>
      <c r="R675" s="243"/>
      <c r="S675" s="244"/>
      <c r="T675" s="243"/>
      <c r="U675" s="244"/>
      <c r="V675" s="246"/>
      <c r="W675" s="244"/>
      <c r="X675" s="243"/>
      <c r="Y675" s="244"/>
      <c r="Z675" s="243"/>
      <c r="AA675" s="243"/>
      <c r="AB675" s="243"/>
    </row>
    <row r="676">
      <c r="A676" s="243"/>
      <c r="B676" s="244"/>
      <c r="C676" s="243"/>
      <c r="D676" s="243"/>
      <c r="E676" s="243"/>
      <c r="F676" s="243"/>
      <c r="G676" s="243"/>
      <c r="H676" s="245"/>
      <c r="I676" s="245"/>
      <c r="J676" s="243"/>
      <c r="K676" s="243"/>
      <c r="L676" s="243"/>
      <c r="M676" s="243"/>
      <c r="N676" s="243"/>
      <c r="O676" s="244"/>
      <c r="P676" s="243"/>
      <c r="Q676" s="244"/>
      <c r="R676" s="243"/>
      <c r="S676" s="244"/>
      <c r="T676" s="243"/>
      <c r="U676" s="244"/>
      <c r="V676" s="246"/>
      <c r="W676" s="244"/>
      <c r="X676" s="243"/>
      <c r="Y676" s="244"/>
      <c r="Z676" s="243"/>
      <c r="AA676" s="243"/>
      <c r="AB676" s="243"/>
    </row>
    <row r="677">
      <c r="A677" s="243"/>
      <c r="B677" s="244"/>
      <c r="C677" s="243"/>
      <c r="D677" s="243"/>
      <c r="E677" s="243"/>
      <c r="F677" s="243"/>
      <c r="G677" s="243"/>
      <c r="H677" s="245"/>
      <c r="I677" s="245"/>
      <c r="J677" s="243"/>
      <c r="K677" s="243"/>
      <c r="L677" s="243"/>
      <c r="M677" s="243"/>
      <c r="N677" s="243"/>
      <c r="O677" s="244"/>
      <c r="P677" s="243"/>
      <c r="Q677" s="244"/>
      <c r="R677" s="243"/>
      <c r="S677" s="244"/>
      <c r="T677" s="243"/>
      <c r="U677" s="244"/>
      <c r="V677" s="246"/>
      <c r="W677" s="244"/>
      <c r="X677" s="243"/>
      <c r="Y677" s="244"/>
      <c r="Z677" s="243"/>
      <c r="AA677" s="243"/>
      <c r="AB677" s="243"/>
    </row>
    <row r="678">
      <c r="A678" s="243"/>
      <c r="B678" s="244"/>
      <c r="C678" s="243"/>
      <c r="D678" s="243"/>
      <c r="E678" s="243"/>
      <c r="F678" s="243"/>
      <c r="G678" s="243"/>
      <c r="H678" s="245"/>
      <c r="I678" s="245"/>
      <c r="J678" s="243"/>
      <c r="K678" s="243"/>
      <c r="L678" s="243"/>
      <c r="M678" s="243"/>
      <c r="N678" s="243"/>
      <c r="O678" s="244"/>
      <c r="P678" s="243"/>
      <c r="Q678" s="244"/>
      <c r="R678" s="243"/>
      <c r="S678" s="244"/>
      <c r="T678" s="243"/>
      <c r="U678" s="244"/>
      <c r="V678" s="246"/>
      <c r="W678" s="244"/>
      <c r="X678" s="243"/>
      <c r="Y678" s="244"/>
      <c r="Z678" s="243"/>
      <c r="AA678" s="243"/>
      <c r="AB678" s="243"/>
    </row>
    <row r="679">
      <c r="A679" s="243"/>
      <c r="B679" s="244"/>
      <c r="C679" s="243"/>
      <c r="D679" s="243"/>
      <c r="E679" s="243"/>
      <c r="F679" s="243"/>
      <c r="G679" s="243"/>
      <c r="H679" s="245"/>
      <c r="I679" s="245"/>
      <c r="J679" s="243"/>
      <c r="K679" s="243"/>
      <c r="L679" s="243"/>
      <c r="M679" s="243"/>
      <c r="N679" s="243"/>
      <c r="O679" s="244"/>
      <c r="P679" s="243"/>
      <c r="Q679" s="244"/>
      <c r="R679" s="243"/>
      <c r="S679" s="244"/>
      <c r="T679" s="243"/>
      <c r="U679" s="244"/>
      <c r="V679" s="246"/>
      <c r="W679" s="244"/>
      <c r="X679" s="243"/>
      <c r="Y679" s="244"/>
      <c r="Z679" s="243"/>
      <c r="AA679" s="243"/>
      <c r="AB679" s="243"/>
    </row>
    <row r="680">
      <c r="A680" s="243"/>
      <c r="B680" s="244"/>
      <c r="C680" s="243"/>
      <c r="D680" s="243"/>
      <c r="E680" s="243"/>
      <c r="F680" s="243"/>
      <c r="G680" s="243"/>
      <c r="H680" s="245"/>
      <c r="I680" s="245"/>
      <c r="J680" s="243"/>
      <c r="K680" s="243"/>
      <c r="L680" s="243"/>
      <c r="M680" s="243"/>
      <c r="N680" s="243"/>
      <c r="O680" s="244"/>
      <c r="P680" s="243"/>
      <c r="Q680" s="244"/>
      <c r="R680" s="243"/>
      <c r="S680" s="244"/>
      <c r="T680" s="243"/>
      <c r="U680" s="244"/>
      <c r="V680" s="246"/>
      <c r="W680" s="244"/>
      <c r="X680" s="243"/>
      <c r="Y680" s="244"/>
      <c r="Z680" s="243"/>
      <c r="AA680" s="243"/>
      <c r="AB680" s="243"/>
    </row>
    <row r="681">
      <c r="A681" s="243"/>
      <c r="B681" s="244"/>
      <c r="C681" s="243"/>
      <c r="D681" s="243"/>
      <c r="E681" s="243"/>
      <c r="F681" s="243"/>
      <c r="G681" s="243"/>
      <c r="H681" s="245"/>
      <c r="I681" s="245"/>
      <c r="J681" s="243"/>
      <c r="K681" s="243"/>
      <c r="L681" s="243"/>
      <c r="M681" s="243"/>
      <c r="N681" s="243"/>
      <c r="O681" s="244"/>
      <c r="P681" s="243"/>
      <c r="Q681" s="244"/>
      <c r="R681" s="243"/>
      <c r="S681" s="244"/>
      <c r="T681" s="243"/>
      <c r="U681" s="244"/>
      <c r="V681" s="246"/>
      <c r="W681" s="244"/>
      <c r="X681" s="243"/>
      <c r="Y681" s="244"/>
      <c r="Z681" s="243"/>
      <c r="AA681" s="243"/>
      <c r="AB681" s="243"/>
    </row>
    <row r="682">
      <c r="A682" s="243"/>
      <c r="B682" s="244"/>
      <c r="C682" s="243"/>
      <c r="D682" s="243"/>
      <c r="E682" s="243"/>
      <c r="F682" s="243"/>
      <c r="G682" s="243"/>
      <c r="H682" s="245"/>
      <c r="I682" s="245"/>
      <c r="J682" s="243"/>
      <c r="K682" s="243"/>
      <c r="L682" s="243"/>
      <c r="M682" s="243"/>
      <c r="N682" s="243"/>
      <c r="O682" s="244"/>
      <c r="P682" s="243"/>
      <c r="Q682" s="244"/>
      <c r="R682" s="243"/>
      <c r="S682" s="244"/>
      <c r="T682" s="243"/>
      <c r="U682" s="244"/>
      <c r="V682" s="246"/>
      <c r="W682" s="244"/>
      <c r="X682" s="243"/>
      <c r="Y682" s="244"/>
      <c r="Z682" s="243"/>
      <c r="AA682" s="243"/>
      <c r="AB682" s="243"/>
    </row>
    <row r="683">
      <c r="A683" s="243"/>
      <c r="B683" s="244"/>
      <c r="C683" s="243"/>
      <c r="D683" s="243"/>
      <c r="E683" s="243"/>
      <c r="F683" s="243"/>
      <c r="G683" s="243"/>
      <c r="H683" s="245"/>
      <c r="I683" s="245"/>
      <c r="J683" s="243"/>
      <c r="K683" s="243"/>
      <c r="L683" s="243"/>
      <c r="M683" s="243"/>
      <c r="N683" s="243"/>
      <c r="O683" s="244"/>
      <c r="P683" s="243"/>
      <c r="Q683" s="244"/>
      <c r="R683" s="243"/>
      <c r="S683" s="244"/>
      <c r="T683" s="243"/>
      <c r="U683" s="244"/>
      <c r="V683" s="246"/>
      <c r="W683" s="244"/>
      <c r="X683" s="243"/>
      <c r="Y683" s="244"/>
      <c r="Z683" s="243"/>
      <c r="AA683" s="243"/>
      <c r="AB683" s="243"/>
    </row>
    <row r="684">
      <c r="A684" s="243"/>
      <c r="B684" s="244"/>
      <c r="C684" s="243"/>
      <c r="D684" s="243"/>
      <c r="E684" s="243"/>
      <c r="F684" s="243"/>
      <c r="G684" s="243"/>
      <c r="H684" s="245"/>
      <c r="I684" s="245"/>
      <c r="J684" s="243"/>
      <c r="K684" s="243"/>
      <c r="L684" s="243"/>
      <c r="M684" s="243"/>
      <c r="N684" s="243"/>
      <c r="O684" s="244"/>
      <c r="P684" s="243"/>
      <c r="Q684" s="244"/>
      <c r="R684" s="243"/>
      <c r="S684" s="244"/>
      <c r="T684" s="243"/>
      <c r="U684" s="244"/>
      <c r="V684" s="246"/>
      <c r="W684" s="244"/>
      <c r="X684" s="243"/>
      <c r="Y684" s="244"/>
      <c r="Z684" s="243"/>
      <c r="AA684" s="243"/>
      <c r="AB684" s="243"/>
    </row>
    <row r="685">
      <c r="A685" s="243"/>
      <c r="B685" s="244"/>
      <c r="C685" s="243"/>
      <c r="D685" s="243"/>
      <c r="E685" s="243"/>
      <c r="F685" s="243"/>
      <c r="G685" s="243"/>
      <c r="H685" s="245"/>
      <c r="I685" s="245"/>
      <c r="J685" s="243"/>
      <c r="K685" s="243"/>
      <c r="L685" s="243"/>
      <c r="M685" s="243"/>
      <c r="N685" s="243"/>
      <c r="O685" s="244"/>
      <c r="P685" s="243"/>
      <c r="Q685" s="244"/>
      <c r="R685" s="243"/>
      <c r="S685" s="244"/>
      <c r="T685" s="243"/>
      <c r="U685" s="244"/>
      <c r="V685" s="246"/>
      <c r="W685" s="244"/>
      <c r="X685" s="243"/>
      <c r="Y685" s="244"/>
      <c r="Z685" s="243"/>
      <c r="AA685" s="243"/>
      <c r="AB685" s="243"/>
    </row>
    <row r="686">
      <c r="A686" s="243"/>
      <c r="B686" s="244"/>
      <c r="C686" s="243"/>
      <c r="D686" s="243"/>
      <c r="E686" s="243"/>
      <c r="F686" s="243"/>
      <c r="G686" s="243"/>
      <c r="H686" s="245"/>
      <c r="I686" s="245"/>
      <c r="J686" s="243"/>
      <c r="K686" s="243"/>
      <c r="L686" s="243"/>
      <c r="M686" s="243"/>
      <c r="N686" s="243"/>
      <c r="O686" s="244"/>
      <c r="P686" s="243"/>
      <c r="Q686" s="244"/>
      <c r="R686" s="243"/>
      <c r="S686" s="244"/>
      <c r="T686" s="243"/>
      <c r="U686" s="244"/>
      <c r="V686" s="246"/>
      <c r="W686" s="244"/>
      <c r="X686" s="243"/>
      <c r="Y686" s="244"/>
      <c r="Z686" s="243"/>
      <c r="AA686" s="243"/>
      <c r="AB686" s="243"/>
    </row>
    <row r="687">
      <c r="A687" s="243"/>
      <c r="B687" s="244"/>
      <c r="C687" s="243"/>
      <c r="D687" s="243"/>
      <c r="E687" s="243"/>
      <c r="F687" s="243"/>
      <c r="G687" s="243"/>
      <c r="H687" s="245"/>
      <c r="I687" s="245"/>
      <c r="J687" s="243"/>
      <c r="K687" s="243"/>
      <c r="L687" s="243"/>
      <c r="M687" s="243"/>
      <c r="N687" s="243"/>
      <c r="O687" s="244"/>
      <c r="P687" s="243"/>
      <c r="Q687" s="244"/>
      <c r="R687" s="243"/>
      <c r="S687" s="244"/>
      <c r="T687" s="243"/>
      <c r="U687" s="244"/>
      <c r="V687" s="246"/>
      <c r="W687" s="244"/>
      <c r="X687" s="243"/>
      <c r="Y687" s="244"/>
      <c r="Z687" s="243"/>
      <c r="AA687" s="243"/>
      <c r="AB687" s="243"/>
    </row>
    <row r="688">
      <c r="A688" s="243"/>
      <c r="B688" s="244"/>
      <c r="C688" s="243"/>
      <c r="D688" s="243"/>
      <c r="E688" s="243"/>
      <c r="F688" s="243"/>
      <c r="G688" s="243"/>
      <c r="H688" s="245"/>
      <c r="I688" s="245"/>
      <c r="J688" s="243"/>
      <c r="K688" s="243"/>
      <c r="L688" s="243"/>
      <c r="M688" s="243"/>
      <c r="N688" s="243"/>
      <c r="O688" s="244"/>
      <c r="P688" s="243"/>
      <c r="Q688" s="244"/>
      <c r="R688" s="243"/>
      <c r="S688" s="244"/>
      <c r="T688" s="243"/>
      <c r="U688" s="244"/>
      <c r="V688" s="246"/>
      <c r="W688" s="244"/>
      <c r="X688" s="243"/>
      <c r="Y688" s="244"/>
      <c r="Z688" s="243"/>
      <c r="AA688" s="243"/>
      <c r="AB688" s="243"/>
    </row>
    <row r="689">
      <c r="A689" s="243"/>
      <c r="B689" s="244"/>
      <c r="C689" s="243"/>
      <c r="D689" s="243"/>
      <c r="E689" s="243"/>
      <c r="F689" s="243"/>
      <c r="G689" s="243"/>
      <c r="H689" s="245"/>
      <c r="I689" s="245"/>
      <c r="J689" s="243"/>
      <c r="K689" s="243"/>
      <c r="L689" s="243"/>
      <c r="M689" s="243"/>
      <c r="N689" s="243"/>
      <c r="O689" s="244"/>
      <c r="P689" s="243"/>
      <c r="Q689" s="244"/>
      <c r="R689" s="243"/>
      <c r="S689" s="244"/>
      <c r="T689" s="243"/>
      <c r="U689" s="244"/>
      <c r="V689" s="246"/>
      <c r="W689" s="244"/>
      <c r="X689" s="243"/>
      <c r="Y689" s="244"/>
      <c r="Z689" s="243"/>
      <c r="AA689" s="243"/>
      <c r="AB689" s="243"/>
    </row>
    <row r="690">
      <c r="A690" s="243"/>
      <c r="B690" s="244"/>
      <c r="C690" s="243"/>
      <c r="D690" s="243"/>
      <c r="E690" s="243"/>
      <c r="F690" s="243"/>
      <c r="G690" s="243"/>
      <c r="H690" s="245"/>
      <c r="I690" s="245"/>
      <c r="J690" s="243"/>
      <c r="K690" s="243"/>
      <c r="L690" s="243"/>
      <c r="M690" s="243"/>
      <c r="N690" s="243"/>
      <c r="O690" s="244"/>
      <c r="P690" s="243"/>
      <c r="Q690" s="244"/>
      <c r="R690" s="243"/>
      <c r="S690" s="244"/>
      <c r="T690" s="243"/>
      <c r="U690" s="244"/>
      <c r="V690" s="246"/>
      <c r="W690" s="244"/>
      <c r="X690" s="243"/>
      <c r="Y690" s="244"/>
      <c r="Z690" s="243"/>
      <c r="AA690" s="243"/>
      <c r="AB690" s="243"/>
    </row>
    <row r="691">
      <c r="A691" s="243"/>
      <c r="B691" s="244"/>
      <c r="C691" s="243"/>
      <c r="D691" s="243"/>
      <c r="E691" s="243"/>
      <c r="F691" s="243"/>
      <c r="G691" s="243"/>
      <c r="H691" s="245"/>
      <c r="I691" s="245"/>
      <c r="J691" s="243"/>
      <c r="K691" s="243"/>
      <c r="L691" s="243"/>
      <c r="M691" s="243"/>
      <c r="N691" s="243"/>
      <c r="O691" s="244"/>
      <c r="P691" s="243"/>
      <c r="Q691" s="244"/>
      <c r="R691" s="243"/>
      <c r="S691" s="244"/>
      <c r="T691" s="243"/>
      <c r="U691" s="244"/>
      <c r="V691" s="246"/>
      <c r="W691" s="244"/>
      <c r="X691" s="243"/>
      <c r="Y691" s="244"/>
      <c r="Z691" s="243"/>
      <c r="AA691" s="243"/>
      <c r="AB691" s="243"/>
    </row>
    <row r="692">
      <c r="A692" s="243"/>
      <c r="B692" s="244"/>
      <c r="C692" s="243"/>
      <c r="D692" s="243"/>
      <c r="E692" s="243"/>
      <c r="F692" s="243"/>
      <c r="G692" s="243"/>
      <c r="H692" s="245"/>
      <c r="I692" s="245"/>
      <c r="J692" s="243"/>
      <c r="K692" s="243"/>
      <c r="L692" s="243"/>
      <c r="M692" s="243"/>
      <c r="N692" s="243"/>
      <c r="O692" s="244"/>
      <c r="P692" s="243"/>
      <c r="Q692" s="244"/>
      <c r="R692" s="243"/>
      <c r="S692" s="244"/>
      <c r="T692" s="243"/>
      <c r="U692" s="244"/>
      <c r="V692" s="246"/>
      <c r="W692" s="244"/>
      <c r="X692" s="243"/>
      <c r="Y692" s="244"/>
      <c r="Z692" s="243"/>
      <c r="AA692" s="243"/>
      <c r="AB692" s="243"/>
    </row>
    <row r="693">
      <c r="A693" s="243"/>
      <c r="B693" s="244"/>
      <c r="C693" s="243"/>
      <c r="D693" s="243"/>
      <c r="E693" s="243"/>
      <c r="F693" s="243"/>
      <c r="G693" s="243"/>
      <c r="H693" s="245"/>
      <c r="I693" s="245"/>
      <c r="J693" s="243"/>
      <c r="K693" s="243"/>
      <c r="L693" s="243"/>
      <c r="M693" s="243"/>
      <c r="N693" s="243"/>
      <c r="O693" s="244"/>
      <c r="P693" s="243"/>
      <c r="Q693" s="244"/>
      <c r="R693" s="243"/>
      <c r="S693" s="244"/>
      <c r="T693" s="243"/>
      <c r="U693" s="244"/>
      <c r="V693" s="246"/>
      <c r="W693" s="244"/>
      <c r="X693" s="243"/>
      <c r="Y693" s="244"/>
      <c r="Z693" s="243"/>
      <c r="AA693" s="243"/>
      <c r="AB693" s="243"/>
    </row>
    <row r="694">
      <c r="A694" s="243"/>
      <c r="B694" s="244"/>
      <c r="C694" s="243"/>
      <c r="D694" s="243"/>
      <c r="E694" s="243"/>
      <c r="F694" s="243"/>
      <c r="G694" s="243"/>
      <c r="H694" s="245"/>
      <c r="I694" s="245"/>
      <c r="J694" s="243"/>
      <c r="K694" s="243"/>
      <c r="L694" s="243"/>
      <c r="M694" s="243"/>
      <c r="N694" s="243"/>
      <c r="O694" s="244"/>
      <c r="P694" s="243"/>
      <c r="Q694" s="244"/>
      <c r="R694" s="243"/>
      <c r="S694" s="244"/>
      <c r="T694" s="243"/>
      <c r="U694" s="244"/>
      <c r="V694" s="246"/>
      <c r="W694" s="244"/>
      <c r="X694" s="243"/>
      <c r="Y694" s="244"/>
      <c r="Z694" s="243"/>
      <c r="AA694" s="243"/>
      <c r="AB694" s="243"/>
    </row>
    <row r="695">
      <c r="A695" s="243"/>
      <c r="B695" s="244"/>
      <c r="C695" s="243"/>
      <c r="D695" s="243"/>
      <c r="E695" s="243"/>
      <c r="F695" s="243"/>
      <c r="G695" s="243"/>
      <c r="H695" s="245"/>
      <c r="I695" s="245"/>
      <c r="J695" s="243"/>
      <c r="K695" s="243"/>
      <c r="L695" s="243"/>
      <c r="M695" s="243"/>
      <c r="N695" s="243"/>
      <c r="O695" s="244"/>
      <c r="P695" s="243"/>
      <c r="Q695" s="244"/>
      <c r="R695" s="243"/>
      <c r="S695" s="244"/>
      <c r="T695" s="243"/>
      <c r="U695" s="244"/>
      <c r="V695" s="246"/>
      <c r="W695" s="244"/>
      <c r="X695" s="243"/>
      <c r="Y695" s="244"/>
      <c r="Z695" s="243"/>
      <c r="AA695" s="243"/>
      <c r="AB695" s="243"/>
    </row>
    <row r="696">
      <c r="A696" s="243"/>
      <c r="B696" s="244"/>
      <c r="C696" s="243"/>
      <c r="D696" s="243"/>
      <c r="E696" s="243"/>
      <c r="F696" s="243"/>
      <c r="G696" s="243"/>
      <c r="H696" s="245"/>
      <c r="I696" s="245"/>
      <c r="J696" s="243"/>
      <c r="K696" s="243"/>
      <c r="L696" s="243"/>
      <c r="M696" s="243"/>
      <c r="N696" s="243"/>
      <c r="O696" s="244"/>
      <c r="P696" s="243"/>
      <c r="Q696" s="244"/>
      <c r="R696" s="243"/>
      <c r="S696" s="244"/>
      <c r="T696" s="243"/>
      <c r="U696" s="244"/>
      <c r="V696" s="246"/>
      <c r="W696" s="244"/>
      <c r="X696" s="243"/>
      <c r="Y696" s="244"/>
      <c r="Z696" s="243"/>
      <c r="AA696" s="243"/>
      <c r="AB696" s="243"/>
    </row>
    <row r="697">
      <c r="A697" s="243"/>
      <c r="B697" s="244"/>
      <c r="C697" s="243"/>
      <c r="D697" s="243"/>
      <c r="E697" s="243"/>
      <c r="F697" s="243"/>
      <c r="G697" s="243"/>
      <c r="H697" s="245"/>
      <c r="I697" s="245"/>
      <c r="J697" s="243"/>
      <c r="K697" s="243"/>
      <c r="L697" s="243"/>
      <c r="M697" s="243"/>
      <c r="N697" s="243"/>
      <c r="O697" s="244"/>
      <c r="P697" s="243"/>
      <c r="Q697" s="244"/>
      <c r="R697" s="243"/>
      <c r="S697" s="244"/>
      <c r="T697" s="243"/>
      <c r="U697" s="244"/>
      <c r="V697" s="246"/>
      <c r="W697" s="244"/>
      <c r="X697" s="243"/>
      <c r="Y697" s="244"/>
      <c r="Z697" s="243"/>
      <c r="AA697" s="243"/>
      <c r="AB697" s="243"/>
    </row>
    <row r="698">
      <c r="A698" s="243"/>
      <c r="B698" s="244"/>
      <c r="C698" s="243"/>
      <c r="D698" s="243"/>
      <c r="E698" s="243"/>
      <c r="F698" s="243"/>
      <c r="G698" s="243"/>
      <c r="H698" s="245"/>
      <c r="I698" s="245"/>
      <c r="J698" s="243"/>
      <c r="K698" s="243"/>
      <c r="L698" s="243"/>
      <c r="M698" s="243"/>
      <c r="N698" s="243"/>
      <c r="O698" s="244"/>
      <c r="P698" s="243"/>
      <c r="Q698" s="244"/>
      <c r="R698" s="243"/>
      <c r="S698" s="244"/>
      <c r="T698" s="243"/>
      <c r="U698" s="244"/>
      <c r="V698" s="246"/>
      <c r="W698" s="244"/>
      <c r="X698" s="243"/>
      <c r="Y698" s="244"/>
      <c r="Z698" s="243"/>
      <c r="AA698" s="243"/>
      <c r="AB698" s="243"/>
    </row>
    <row r="699">
      <c r="A699" s="243"/>
      <c r="B699" s="244"/>
      <c r="C699" s="243"/>
      <c r="D699" s="243"/>
      <c r="E699" s="243"/>
      <c r="F699" s="243"/>
      <c r="G699" s="243"/>
      <c r="H699" s="245"/>
      <c r="I699" s="245"/>
      <c r="J699" s="243"/>
      <c r="K699" s="243"/>
      <c r="L699" s="243"/>
      <c r="M699" s="243"/>
      <c r="N699" s="243"/>
      <c r="O699" s="244"/>
      <c r="P699" s="243"/>
      <c r="Q699" s="244"/>
      <c r="R699" s="243"/>
      <c r="S699" s="244"/>
      <c r="T699" s="243"/>
      <c r="U699" s="244"/>
      <c r="V699" s="246"/>
      <c r="W699" s="244"/>
      <c r="X699" s="243"/>
      <c r="Y699" s="244"/>
      <c r="Z699" s="243"/>
      <c r="AA699" s="243"/>
      <c r="AB699" s="243"/>
    </row>
    <row r="700">
      <c r="A700" s="243"/>
      <c r="B700" s="244"/>
      <c r="C700" s="243"/>
      <c r="D700" s="243"/>
      <c r="E700" s="243"/>
      <c r="F700" s="243"/>
      <c r="G700" s="243"/>
      <c r="H700" s="245"/>
      <c r="I700" s="245"/>
      <c r="J700" s="243"/>
      <c r="K700" s="243"/>
      <c r="L700" s="243"/>
      <c r="M700" s="243"/>
      <c r="N700" s="243"/>
      <c r="O700" s="244"/>
      <c r="P700" s="243"/>
      <c r="Q700" s="244"/>
      <c r="R700" s="243"/>
      <c r="S700" s="244"/>
      <c r="T700" s="243"/>
      <c r="U700" s="244"/>
      <c r="V700" s="246"/>
      <c r="W700" s="244"/>
      <c r="X700" s="243"/>
      <c r="Y700" s="244"/>
      <c r="Z700" s="243"/>
      <c r="AA700" s="243"/>
      <c r="AB700" s="243"/>
    </row>
    <row r="701">
      <c r="A701" s="243"/>
      <c r="B701" s="244"/>
      <c r="C701" s="243"/>
      <c r="D701" s="243"/>
      <c r="E701" s="243"/>
      <c r="F701" s="243"/>
      <c r="G701" s="243"/>
      <c r="H701" s="245"/>
      <c r="I701" s="245"/>
      <c r="J701" s="243"/>
      <c r="K701" s="243"/>
      <c r="L701" s="243"/>
      <c r="M701" s="243"/>
      <c r="N701" s="243"/>
      <c r="O701" s="244"/>
      <c r="P701" s="243"/>
      <c r="Q701" s="244"/>
      <c r="R701" s="243"/>
      <c r="S701" s="244"/>
      <c r="T701" s="243"/>
      <c r="U701" s="244"/>
      <c r="V701" s="246"/>
      <c r="W701" s="244"/>
      <c r="X701" s="243"/>
      <c r="Y701" s="244"/>
      <c r="Z701" s="243"/>
      <c r="AA701" s="243"/>
      <c r="AB701" s="243"/>
    </row>
    <row r="702">
      <c r="A702" s="243"/>
      <c r="B702" s="244"/>
      <c r="C702" s="243"/>
      <c r="D702" s="243"/>
      <c r="E702" s="243"/>
      <c r="F702" s="243"/>
      <c r="G702" s="243"/>
      <c r="H702" s="245"/>
      <c r="I702" s="245"/>
      <c r="J702" s="243"/>
      <c r="K702" s="243"/>
      <c r="L702" s="243"/>
      <c r="M702" s="243"/>
      <c r="N702" s="243"/>
      <c r="O702" s="244"/>
      <c r="P702" s="243"/>
      <c r="Q702" s="244"/>
      <c r="R702" s="243"/>
      <c r="S702" s="244"/>
      <c r="T702" s="243"/>
      <c r="U702" s="244"/>
      <c r="V702" s="246"/>
      <c r="W702" s="244"/>
      <c r="X702" s="243"/>
      <c r="Y702" s="244"/>
      <c r="Z702" s="243"/>
      <c r="AA702" s="243"/>
      <c r="AB702" s="243"/>
    </row>
    <row r="703">
      <c r="A703" s="243"/>
      <c r="B703" s="244"/>
      <c r="C703" s="243"/>
      <c r="D703" s="243"/>
      <c r="E703" s="243"/>
      <c r="F703" s="243"/>
      <c r="G703" s="243"/>
      <c r="H703" s="245"/>
      <c r="I703" s="245"/>
      <c r="J703" s="243"/>
      <c r="K703" s="243"/>
      <c r="L703" s="243"/>
      <c r="M703" s="243"/>
      <c r="N703" s="243"/>
      <c r="O703" s="244"/>
      <c r="P703" s="243"/>
      <c r="Q703" s="244"/>
      <c r="R703" s="243"/>
      <c r="S703" s="244"/>
      <c r="T703" s="243"/>
      <c r="U703" s="244"/>
      <c r="V703" s="246"/>
      <c r="W703" s="244"/>
      <c r="X703" s="243"/>
      <c r="Y703" s="244"/>
      <c r="Z703" s="243"/>
      <c r="AA703" s="243"/>
      <c r="AB703" s="243"/>
    </row>
    <row r="704">
      <c r="A704" s="243"/>
      <c r="B704" s="244"/>
      <c r="C704" s="243"/>
      <c r="D704" s="243"/>
      <c r="E704" s="243"/>
      <c r="F704" s="243"/>
      <c r="G704" s="243"/>
      <c r="H704" s="245"/>
      <c r="I704" s="245"/>
      <c r="J704" s="243"/>
      <c r="K704" s="243"/>
      <c r="L704" s="243"/>
      <c r="M704" s="243"/>
      <c r="N704" s="243"/>
      <c r="O704" s="244"/>
      <c r="P704" s="243"/>
      <c r="Q704" s="244"/>
      <c r="R704" s="243"/>
      <c r="S704" s="244"/>
      <c r="T704" s="243"/>
      <c r="U704" s="244"/>
      <c r="V704" s="246"/>
      <c r="W704" s="244"/>
      <c r="X704" s="243"/>
      <c r="Y704" s="244"/>
      <c r="Z704" s="243"/>
      <c r="AA704" s="243"/>
      <c r="AB704" s="243"/>
    </row>
    <row r="705">
      <c r="A705" s="243"/>
      <c r="B705" s="244"/>
      <c r="C705" s="243"/>
      <c r="D705" s="243"/>
      <c r="E705" s="243"/>
      <c r="F705" s="243"/>
      <c r="G705" s="243"/>
      <c r="H705" s="245"/>
      <c r="I705" s="245"/>
      <c r="J705" s="243"/>
      <c r="K705" s="243"/>
      <c r="L705" s="243"/>
      <c r="M705" s="243"/>
      <c r="N705" s="243"/>
      <c r="O705" s="244"/>
      <c r="P705" s="243"/>
      <c r="Q705" s="244"/>
      <c r="R705" s="243"/>
      <c r="S705" s="244"/>
      <c r="T705" s="243"/>
      <c r="U705" s="244"/>
      <c r="V705" s="246"/>
      <c r="W705" s="244"/>
      <c r="X705" s="243"/>
      <c r="Y705" s="244"/>
      <c r="Z705" s="243"/>
      <c r="AA705" s="243"/>
      <c r="AB705" s="243"/>
    </row>
    <row r="706">
      <c r="A706" s="243"/>
      <c r="B706" s="244"/>
      <c r="C706" s="243"/>
      <c r="D706" s="243"/>
      <c r="E706" s="243"/>
      <c r="F706" s="243"/>
      <c r="G706" s="243"/>
      <c r="H706" s="245"/>
      <c r="I706" s="245"/>
      <c r="J706" s="243"/>
      <c r="K706" s="243"/>
      <c r="L706" s="243"/>
      <c r="M706" s="243"/>
      <c r="N706" s="243"/>
      <c r="O706" s="244"/>
      <c r="P706" s="243"/>
      <c r="Q706" s="244"/>
      <c r="R706" s="243"/>
      <c r="S706" s="244"/>
      <c r="T706" s="243"/>
      <c r="U706" s="244"/>
      <c r="V706" s="246"/>
      <c r="W706" s="244"/>
      <c r="X706" s="243"/>
      <c r="Y706" s="244"/>
      <c r="Z706" s="243"/>
      <c r="AA706" s="243"/>
      <c r="AB706" s="243"/>
    </row>
    <row r="707">
      <c r="A707" s="243"/>
      <c r="B707" s="244"/>
      <c r="C707" s="243"/>
      <c r="D707" s="243"/>
      <c r="E707" s="243"/>
      <c r="F707" s="243"/>
      <c r="G707" s="243"/>
      <c r="H707" s="245"/>
      <c r="I707" s="245"/>
      <c r="J707" s="243"/>
      <c r="K707" s="243"/>
      <c r="L707" s="243"/>
      <c r="M707" s="243"/>
      <c r="N707" s="243"/>
      <c r="O707" s="244"/>
      <c r="P707" s="243"/>
      <c r="Q707" s="244"/>
      <c r="R707" s="243"/>
      <c r="S707" s="244"/>
      <c r="T707" s="243"/>
      <c r="U707" s="244"/>
      <c r="V707" s="246"/>
      <c r="W707" s="244"/>
      <c r="X707" s="243"/>
      <c r="Y707" s="244"/>
      <c r="Z707" s="243"/>
      <c r="AA707" s="243"/>
      <c r="AB707" s="243"/>
    </row>
    <row r="708">
      <c r="A708" s="243"/>
      <c r="B708" s="244"/>
      <c r="C708" s="243"/>
      <c r="D708" s="243"/>
      <c r="E708" s="243"/>
      <c r="F708" s="243"/>
      <c r="G708" s="243"/>
      <c r="H708" s="245"/>
      <c r="I708" s="245"/>
      <c r="J708" s="243"/>
      <c r="K708" s="243"/>
      <c r="L708" s="243"/>
      <c r="M708" s="243"/>
      <c r="N708" s="243"/>
      <c r="O708" s="244"/>
      <c r="P708" s="243"/>
      <c r="Q708" s="244"/>
      <c r="R708" s="243"/>
      <c r="S708" s="244"/>
      <c r="T708" s="243"/>
      <c r="U708" s="244"/>
      <c r="V708" s="246"/>
      <c r="W708" s="244"/>
      <c r="X708" s="243"/>
      <c r="Y708" s="244"/>
      <c r="Z708" s="243"/>
      <c r="AA708" s="243"/>
      <c r="AB708" s="243"/>
    </row>
    <row r="709">
      <c r="A709" s="243"/>
      <c r="B709" s="244"/>
      <c r="C709" s="243"/>
      <c r="D709" s="243"/>
      <c r="E709" s="243"/>
      <c r="F709" s="243"/>
      <c r="G709" s="243"/>
      <c r="H709" s="245"/>
      <c r="I709" s="245"/>
      <c r="J709" s="243"/>
      <c r="K709" s="243"/>
      <c r="L709" s="243"/>
      <c r="M709" s="243"/>
      <c r="N709" s="243"/>
      <c r="O709" s="244"/>
      <c r="P709" s="243"/>
      <c r="Q709" s="244"/>
      <c r="R709" s="243"/>
      <c r="S709" s="244"/>
      <c r="T709" s="243"/>
      <c r="U709" s="244"/>
      <c r="V709" s="246"/>
      <c r="W709" s="244"/>
      <c r="X709" s="243"/>
      <c r="Y709" s="244"/>
      <c r="Z709" s="243"/>
      <c r="AA709" s="243"/>
      <c r="AB709" s="243"/>
    </row>
    <row r="710">
      <c r="A710" s="243"/>
      <c r="B710" s="244"/>
      <c r="C710" s="243"/>
      <c r="D710" s="243"/>
      <c r="E710" s="243"/>
      <c r="F710" s="243"/>
      <c r="G710" s="243"/>
      <c r="H710" s="245"/>
      <c r="I710" s="245"/>
      <c r="J710" s="243"/>
      <c r="K710" s="243"/>
      <c r="L710" s="243"/>
      <c r="M710" s="243"/>
      <c r="N710" s="243"/>
      <c r="O710" s="244"/>
      <c r="P710" s="243"/>
      <c r="Q710" s="244"/>
      <c r="R710" s="243"/>
      <c r="S710" s="244"/>
      <c r="T710" s="243"/>
      <c r="U710" s="244"/>
      <c r="V710" s="246"/>
      <c r="W710" s="244"/>
      <c r="X710" s="243"/>
      <c r="Y710" s="244"/>
      <c r="Z710" s="243"/>
      <c r="AA710" s="243"/>
      <c r="AB710" s="243"/>
    </row>
    <row r="711">
      <c r="A711" s="243"/>
      <c r="B711" s="244"/>
      <c r="C711" s="243"/>
      <c r="D711" s="243"/>
      <c r="E711" s="243"/>
      <c r="F711" s="243"/>
      <c r="G711" s="243"/>
      <c r="H711" s="245"/>
      <c r="I711" s="245"/>
      <c r="J711" s="243"/>
      <c r="K711" s="243"/>
      <c r="L711" s="243"/>
      <c r="M711" s="243"/>
      <c r="N711" s="243"/>
      <c r="O711" s="244"/>
      <c r="P711" s="243"/>
      <c r="Q711" s="244"/>
      <c r="R711" s="243"/>
      <c r="S711" s="244"/>
      <c r="T711" s="243"/>
      <c r="U711" s="244"/>
      <c r="V711" s="246"/>
      <c r="W711" s="244"/>
      <c r="X711" s="243"/>
      <c r="Y711" s="244"/>
      <c r="Z711" s="243"/>
      <c r="AA711" s="243"/>
      <c r="AB711" s="243"/>
    </row>
    <row r="712">
      <c r="A712" s="243"/>
      <c r="B712" s="244"/>
      <c r="C712" s="243"/>
      <c r="D712" s="243"/>
      <c r="E712" s="243"/>
      <c r="F712" s="243"/>
      <c r="G712" s="243"/>
      <c r="H712" s="245"/>
      <c r="I712" s="245"/>
      <c r="J712" s="243"/>
      <c r="K712" s="243"/>
      <c r="L712" s="243"/>
      <c r="M712" s="243"/>
      <c r="N712" s="243"/>
      <c r="O712" s="244"/>
      <c r="P712" s="243"/>
      <c r="Q712" s="244"/>
      <c r="R712" s="243"/>
      <c r="S712" s="244"/>
      <c r="T712" s="243"/>
      <c r="U712" s="244"/>
      <c r="V712" s="246"/>
      <c r="W712" s="244"/>
      <c r="X712" s="243"/>
      <c r="Y712" s="244"/>
      <c r="Z712" s="243"/>
      <c r="AA712" s="243"/>
      <c r="AB712" s="243"/>
    </row>
    <row r="713">
      <c r="A713" s="243"/>
      <c r="B713" s="244"/>
      <c r="C713" s="243"/>
      <c r="D713" s="243"/>
      <c r="E713" s="243"/>
      <c r="F713" s="243"/>
      <c r="G713" s="243"/>
      <c r="H713" s="245"/>
      <c r="I713" s="245"/>
      <c r="J713" s="243"/>
      <c r="K713" s="243"/>
      <c r="L713" s="243"/>
      <c r="M713" s="243"/>
      <c r="N713" s="243"/>
      <c r="O713" s="244"/>
      <c r="P713" s="243"/>
      <c r="Q713" s="244"/>
      <c r="R713" s="243"/>
      <c r="S713" s="244"/>
      <c r="T713" s="243"/>
      <c r="U713" s="244"/>
      <c r="V713" s="246"/>
      <c r="W713" s="244"/>
      <c r="X713" s="243"/>
      <c r="Y713" s="244"/>
      <c r="Z713" s="243"/>
      <c r="AA713" s="243"/>
      <c r="AB713" s="243"/>
    </row>
    <row r="714">
      <c r="A714" s="243"/>
      <c r="B714" s="244"/>
      <c r="C714" s="243"/>
      <c r="D714" s="243"/>
      <c r="E714" s="243"/>
      <c r="F714" s="243"/>
      <c r="G714" s="243"/>
      <c r="H714" s="245"/>
      <c r="I714" s="245"/>
      <c r="J714" s="243"/>
      <c r="K714" s="243"/>
      <c r="L714" s="243"/>
      <c r="M714" s="243"/>
      <c r="N714" s="243"/>
      <c r="O714" s="244"/>
      <c r="P714" s="243"/>
      <c r="Q714" s="244"/>
      <c r="R714" s="243"/>
      <c r="S714" s="244"/>
      <c r="T714" s="243"/>
      <c r="U714" s="244"/>
      <c r="V714" s="246"/>
      <c r="W714" s="244"/>
      <c r="X714" s="243"/>
      <c r="Y714" s="244"/>
      <c r="Z714" s="243"/>
      <c r="AA714" s="243"/>
      <c r="AB714" s="243"/>
    </row>
    <row r="715">
      <c r="A715" s="243"/>
      <c r="B715" s="244"/>
      <c r="C715" s="243"/>
      <c r="D715" s="243"/>
      <c r="E715" s="243"/>
      <c r="F715" s="243"/>
      <c r="G715" s="243"/>
      <c r="H715" s="245"/>
      <c r="I715" s="245"/>
      <c r="J715" s="243"/>
      <c r="K715" s="243"/>
      <c r="L715" s="243"/>
      <c r="M715" s="243"/>
      <c r="N715" s="243"/>
      <c r="O715" s="244"/>
      <c r="P715" s="243"/>
      <c r="Q715" s="244"/>
      <c r="R715" s="243"/>
      <c r="S715" s="244"/>
      <c r="T715" s="243"/>
      <c r="U715" s="244"/>
      <c r="V715" s="246"/>
      <c r="W715" s="244"/>
      <c r="X715" s="243"/>
      <c r="Y715" s="244"/>
      <c r="Z715" s="243"/>
      <c r="AA715" s="243"/>
      <c r="AB715" s="243"/>
    </row>
    <row r="716">
      <c r="A716" s="243"/>
      <c r="B716" s="244"/>
      <c r="C716" s="243"/>
      <c r="D716" s="243"/>
      <c r="E716" s="243"/>
      <c r="F716" s="243"/>
      <c r="G716" s="243"/>
      <c r="H716" s="245"/>
      <c r="I716" s="245"/>
      <c r="J716" s="243"/>
      <c r="K716" s="243"/>
      <c r="L716" s="243"/>
      <c r="M716" s="243"/>
      <c r="N716" s="243"/>
      <c r="O716" s="244"/>
      <c r="P716" s="243"/>
      <c r="Q716" s="244"/>
      <c r="R716" s="243"/>
      <c r="S716" s="244"/>
      <c r="T716" s="243"/>
      <c r="U716" s="244"/>
      <c r="V716" s="246"/>
      <c r="W716" s="244"/>
      <c r="X716" s="243"/>
      <c r="Y716" s="244"/>
      <c r="Z716" s="243"/>
      <c r="AA716" s="243"/>
      <c r="AB716" s="243"/>
    </row>
    <row r="717">
      <c r="A717" s="243"/>
      <c r="B717" s="244"/>
      <c r="C717" s="243"/>
      <c r="D717" s="243"/>
      <c r="E717" s="243"/>
      <c r="F717" s="243"/>
      <c r="G717" s="243"/>
      <c r="H717" s="245"/>
      <c r="I717" s="245"/>
      <c r="J717" s="243"/>
      <c r="K717" s="243"/>
      <c r="L717" s="243"/>
      <c r="M717" s="243"/>
      <c r="N717" s="243"/>
      <c r="O717" s="244"/>
      <c r="P717" s="243"/>
      <c r="Q717" s="244"/>
      <c r="R717" s="243"/>
      <c r="S717" s="244"/>
      <c r="T717" s="243"/>
      <c r="U717" s="244"/>
      <c r="V717" s="246"/>
      <c r="W717" s="244"/>
      <c r="X717" s="243"/>
      <c r="Y717" s="244"/>
      <c r="Z717" s="243"/>
      <c r="AA717" s="243"/>
      <c r="AB717" s="243"/>
    </row>
    <row r="718">
      <c r="A718" s="243"/>
      <c r="B718" s="244"/>
      <c r="C718" s="243"/>
      <c r="D718" s="243"/>
      <c r="E718" s="243"/>
      <c r="F718" s="243"/>
      <c r="G718" s="243"/>
      <c r="H718" s="245"/>
      <c r="I718" s="245"/>
      <c r="J718" s="243"/>
      <c r="K718" s="243"/>
      <c r="L718" s="243"/>
      <c r="M718" s="243"/>
      <c r="N718" s="243"/>
      <c r="O718" s="244"/>
      <c r="P718" s="243"/>
      <c r="Q718" s="244"/>
      <c r="R718" s="243"/>
      <c r="S718" s="244"/>
      <c r="T718" s="243"/>
      <c r="U718" s="244"/>
      <c r="V718" s="246"/>
      <c r="W718" s="244"/>
      <c r="X718" s="243"/>
      <c r="Y718" s="244"/>
      <c r="Z718" s="243"/>
      <c r="AA718" s="243"/>
      <c r="AB718" s="243"/>
    </row>
    <row r="719">
      <c r="A719" s="243"/>
      <c r="B719" s="244"/>
      <c r="C719" s="243"/>
      <c r="D719" s="243"/>
      <c r="E719" s="243"/>
      <c r="F719" s="243"/>
      <c r="G719" s="243"/>
      <c r="H719" s="245"/>
      <c r="I719" s="245"/>
      <c r="J719" s="243"/>
      <c r="K719" s="243"/>
      <c r="L719" s="243"/>
      <c r="M719" s="243"/>
      <c r="N719" s="243"/>
      <c r="O719" s="244"/>
      <c r="P719" s="243"/>
      <c r="Q719" s="244"/>
      <c r="R719" s="243"/>
      <c r="S719" s="244"/>
      <c r="T719" s="243"/>
      <c r="U719" s="244"/>
      <c r="V719" s="246"/>
      <c r="W719" s="244"/>
      <c r="X719" s="243"/>
      <c r="Y719" s="244"/>
      <c r="Z719" s="243"/>
      <c r="AA719" s="243"/>
      <c r="AB719" s="243"/>
    </row>
    <row r="720">
      <c r="A720" s="243"/>
      <c r="B720" s="244"/>
      <c r="C720" s="243"/>
      <c r="D720" s="243"/>
      <c r="E720" s="243"/>
      <c r="F720" s="243"/>
      <c r="G720" s="243"/>
      <c r="H720" s="245"/>
      <c r="I720" s="245"/>
      <c r="J720" s="243"/>
      <c r="K720" s="243"/>
      <c r="L720" s="243"/>
      <c r="M720" s="243"/>
      <c r="N720" s="243"/>
      <c r="O720" s="244"/>
      <c r="P720" s="243"/>
      <c r="Q720" s="244"/>
      <c r="R720" s="243"/>
      <c r="S720" s="244"/>
      <c r="T720" s="243"/>
      <c r="U720" s="244"/>
      <c r="V720" s="246"/>
      <c r="W720" s="244"/>
      <c r="X720" s="243"/>
      <c r="Y720" s="244"/>
      <c r="Z720" s="243"/>
      <c r="AA720" s="243"/>
      <c r="AB720" s="243"/>
    </row>
    <row r="721">
      <c r="A721" s="243"/>
      <c r="B721" s="244"/>
      <c r="C721" s="243"/>
      <c r="D721" s="243"/>
      <c r="E721" s="243"/>
      <c r="F721" s="243"/>
      <c r="G721" s="243"/>
      <c r="H721" s="245"/>
      <c r="I721" s="245"/>
      <c r="J721" s="243"/>
      <c r="K721" s="243"/>
      <c r="L721" s="243"/>
      <c r="M721" s="243"/>
      <c r="N721" s="243"/>
      <c r="O721" s="244"/>
      <c r="P721" s="243"/>
      <c r="Q721" s="244"/>
      <c r="R721" s="243"/>
      <c r="S721" s="244"/>
      <c r="T721" s="243"/>
      <c r="U721" s="244"/>
      <c r="V721" s="246"/>
      <c r="W721" s="244"/>
      <c r="X721" s="243"/>
      <c r="Y721" s="244"/>
      <c r="Z721" s="243"/>
      <c r="AA721" s="243"/>
      <c r="AB721" s="243"/>
    </row>
    <row r="722">
      <c r="A722" s="243"/>
      <c r="B722" s="244"/>
      <c r="C722" s="243"/>
      <c r="D722" s="243"/>
      <c r="E722" s="243"/>
      <c r="F722" s="243"/>
      <c r="G722" s="243"/>
      <c r="H722" s="245"/>
      <c r="I722" s="245"/>
      <c r="J722" s="243"/>
      <c r="K722" s="243"/>
      <c r="L722" s="243"/>
      <c r="M722" s="243"/>
      <c r="N722" s="243"/>
      <c r="O722" s="244"/>
      <c r="P722" s="243"/>
      <c r="Q722" s="244"/>
      <c r="R722" s="243"/>
      <c r="S722" s="244"/>
      <c r="T722" s="243"/>
      <c r="U722" s="244"/>
      <c r="V722" s="246"/>
      <c r="W722" s="244"/>
      <c r="X722" s="243"/>
      <c r="Y722" s="244"/>
      <c r="Z722" s="243"/>
      <c r="AA722" s="243"/>
      <c r="AB722" s="243"/>
    </row>
    <row r="723">
      <c r="A723" s="243"/>
      <c r="B723" s="244"/>
      <c r="C723" s="243"/>
      <c r="D723" s="243"/>
      <c r="E723" s="243"/>
      <c r="F723" s="243"/>
      <c r="G723" s="243"/>
      <c r="H723" s="245"/>
      <c r="I723" s="245"/>
      <c r="J723" s="243"/>
      <c r="K723" s="243"/>
      <c r="L723" s="243"/>
      <c r="M723" s="243"/>
      <c r="N723" s="243"/>
      <c r="O723" s="244"/>
      <c r="P723" s="243"/>
      <c r="Q723" s="244"/>
      <c r="R723" s="243"/>
      <c r="S723" s="244"/>
      <c r="T723" s="243"/>
      <c r="U723" s="244"/>
      <c r="V723" s="246"/>
      <c r="W723" s="244"/>
      <c r="X723" s="243"/>
      <c r="Y723" s="244"/>
      <c r="Z723" s="243"/>
      <c r="AA723" s="243"/>
      <c r="AB723" s="243"/>
    </row>
    <row r="724">
      <c r="A724" s="243"/>
      <c r="B724" s="244"/>
      <c r="C724" s="243"/>
      <c r="D724" s="243"/>
      <c r="E724" s="243"/>
      <c r="F724" s="243"/>
      <c r="G724" s="243"/>
      <c r="H724" s="245"/>
      <c r="I724" s="245"/>
      <c r="J724" s="243"/>
      <c r="K724" s="243"/>
      <c r="L724" s="243"/>
      <c r="M724" s="243"/>
      <c r="N724" s="243"/>
      <c r="O724" s="244"/>
      <c r="P724" s="243"/>
      <c r="Q724" s="244"/>
      <c r="R724" s="243"/>
      <c r="S724" s="244"/>
      <c r="T724" s="243"/>
      <c r="U724" s="244"/>
      <c r="V724" s="246"/>
      <c r="W724" s="244"/>
      <c r="X724" s="243"/>
      <c r="Y724" s="244"/>
      <c r="Z724" s="243"/>
      <c r="AA724" s="243"/>
      <c r="AB724" s="243"/>
    </row>
    <row r="725">
      <c r="A725" s="243"/>
      <c r="B725" s="244"/>
      <c r="C725" s="243"/>
      <c r="D725" s="243"/>
      <c r="E725" s="243"/>
      <c r="F725" s="243"/>
      <c r="G725" s="243"/>
      <c r="H725" s="245"/>
      <c r="I725" s="245"/>
      <c r="J725" s="243"/>
      <c r="K725" s="243"/>
      <c r="L725" s="243"/>
      <c r="M725" s="243"/>
      <c r="N725" s="243"/>
      <c r="O725" s="244"/>
      <c r="P725" s="243"/>
      <c r="Q725" s="244"/>
      <c r="R725" s="243"/>
      <c r="S725" s="244"/>
      <c r="T725" s="243"/>
      <c r="U725" s="244"/>
      <c r="V725" s="246"/>
      <c r="W725" s="244"/>
      <c r="X725" s="243"/>
      <c r="Y725" s="244"/>
      <c r="Z725" s="243"/>
      <c r="AA725" s="243"/>
      <c r="AB725" s="243"/>
    </row>
    <row r="726">
      <c r="A726" s="243"/>
      <c r="B726" s="244"/>
      <c r="C726" s="243"/>
      <c r="D726" s="243"/>
      <c r="E726" s="243"/>
      <c r="F726" s="243"/>
      <c r="G726" s="243"/>
      <c r="H726" s="245"/>
      <c r="I726" s="245"/>
      <c r="J726" s="243"/>
      <c r="K726" s="243"/>
      <c r="L726" s="243"/>
      <c r="M726" s="243"/>
      <c r="N726" s="243"/>
      <c r="O726" s="244"/>
      <c r="P726" s="243"/>
      <c r="Q726" s="244"/>
      <c r="R726" s="243"/>
      <c r="S726" s="244"/>
      <c r="T726" s="243"/>
      <c r="U726" s="244"/>
      <c r="V726" s="246"/>
      <c r="W726" s="244"/>
      <c r="X726" s="243"/>
      <c r="Y726" s="244"/>
      <c r="Z726" s="243"/>
      <c r="AA726" s="243"/>
      <c r="AB726" s="243"/>
    </row>
    <row r="727">
      <c r="A727" s="243"/>
      <c r="B727" s="244"/>
      <c r="C727" s="243"/>
      <c r="D727" s="243"/>
      <c r="E727" s="243"/>
      <c r="F727" s="243"/>
      <c r="G727" s="243"/>
      <c r="H727" s="245"/>
      <c r="I727" s="245"/>
      <c r="J727" s="243"/>
      <c r="K727" s="243"/>
      <c r="L727" s="243"/>
      <c r="M727" s="243"/>
      <c r="N727" s="243"/>
      <c r="O727" s="244"/>
      <c r="P727" s="243"/>
      <c r="Q727" s="244"/>
      <c r="R727" s="243"/>
      <c r="S727" s="244"/>
      <c r="T727" s="243"/>
      <c r="U727" s="244"/>
      <c r="V727" s="246"/>
      <c r="W727" s="244"/>
      <c r="X727" s="243"/>
      <c r="Y727" s="244"/>
      <c r="Z727" s="243"/>
      <c r="AA727" s="243"/>
      <c r="AB727" s="243"/>
    </row>
    <row r="728">
      <c r="A728" s="243"/>
      <c r="B728" s="244"/>
      <c r="C728" s="243"/>
      <c r="D728" s="243"/>
      <c r="E728" s="243"/>
      <c r="F728" s="243"/>
      <c r="G728" s="243"/>
      <c r="H728" s="245"/>
      <c r="I728" s="245"/>
      <c r="J728" s="243"/>
      <c r="K728" s="243"/>
      <c r="L728" s="243"/>
      <c r="M728" s="243"/>
      <c r="N728" s="243"/>
      <c r="O728" s="244"/>
      <c r="P728" s="243"/>
      <c r="Q728" s="244"/>
      <c r="R728" s="243"/>
      <c r="S728" s="244"/>
      <c r="T728" s="243"/>
      <c r="U728" s="244"/>
      <c r="V728" s="246"/>
      <c r="W728" s="244"/>
      <c r="X728" s="243"/>
      <c r="Y728" s="244"/>
      <c r="Z728" s="243"/>
      <c r="AA728" s="243"/>
      <c r="AB728" s="243"/>
    </row>
    <row r="729">
      <c r="A729" s="243"/>
      <c r="B729" s="244"/>
      <c r="C729" s="243"/>
      <c r="D729" s="243"/>
      <c r="E729" s="243"/>
      <c r="F729" s="243"/>
      <c r="G729" s="243"/>
      <c r="H729" s="245"/>
      <c r="I729" s="245"/>
      <c r="J729" s="243"/>
      <c r="K729" s="243"/>
      <c r="L729" s="243"/>
      <c r="M729" s="243"/>
      <c r="N729" s="243"/>
      <c r="O729" s="244"/>
      <c r="P729" s="243"/>
      <c r="Q729" s="244"/>
      <c r="R729" s="243"/>
      <c r="S729" s="244"/>
      <c r="T729" s="243"/>
      <c r="U729" s="244"/>
      <c r="V729" s="246"/>
      <c r="W729" s="244"/>
      <c r="X729" s="243"/>
      <c r="Y729" s="244"/>
      <c r="Z729" s="243"/>
      <c r="AA729" s="243"/>
      <c r="AB729" s="243"/>
    </row>
    <row r="730">
      <c r="A730" s="243"/>
      <c r="B730" s="244"/>
      <c r="C730" s="243"/>
      <c r="D730" s="243"/>
      <c r="E730" s="243"/>
      <c r="F730" s="243"/>
      <c r="G730" s="243"/>
      <c r="H730" s="245"/>
      <c r="I730" s="245"/>
      <c r="J730" s="243"/>
      <c r="K730" s="243"/>
      <c r="L730" s="243"/>
      <c r="M730" s="243"/>
      <c r="N730" s="243"/>
      <c r="O730" s="244"/>
      <c r="P730" s="243"/>
      <c r="Q730" s="244"/>
      <c r="R730" s="243"/>
      <c r="S730" s="244"/>
      <c r="T730" s="243"/>
      <c r="U730" s="244"/>
      <c r="V730" s="246"/>
      <c r="W730" s="244"/>
      <c r="X730" s="243"/>
      <c r="Y730" s="244"/>
      <c r="Z730" s="243"/>
      <c r="AA730" s="243"/>
      <c r="AB730" s="243"/>
    </row>
    <row r="731">
      <c r="A731" s="243"/>
      <c r="B731" s="244"/>
      <c r="C731" s="243"/>
      <c r="D731" s="243"/>
      <c r="E731" s="243"/>
      <c r="F731" s="243"/>
      <c r="G731" s="243"/>
      <c r="H731" s="245"/>
      <c r="I731" s="245"/>
      <c r="J731" s="243"/>
      <c r="K731" s="243"/>
      <c r="L731" s="243"/>
      <c r="M731" s="243"/>
      <c r="N731" s="243"/>
      <c r="O731" s="244"/>
      <c r="P731" s="243"/>
      <c r="Q731" s="244"/>
      <c r="R731" s="243"/>
      <c r="S731" s="244"/>
      <c r="T731" s="243"/>
      <c r="U731" s="244"/>
      <c r="V731" s="246"/>
      <c r="W731" s="244"/>
      <c r="X731" s="243"/>
      <c r="Y731" s="244"/>
      <c r="Z731" s="243"/>
      <c r="AA731" s="243"/>
      <c r="AB731" s="243"/>
    </row>
    <row r="732">
      <c r="A732" s="243"/>
      <c r="B732" s="244"/>
      <c r="C732" s="243"/>
      <c r="D732" s="243"/>
      <c r="E732" s="243"/>
      <c r="F732" s="243"/>
      <c r="G732" s="243"/>
      <c r="H732" s="245"/>
      <c r="I732" s="245"/>
      <c r="J732" s="243"/>
      <c r="K732" s="243"/>
      <c r="L732" s="243"/>
      <c r="M732" s="243"/>
      <c r="N732" s="243"/>
      <c r="O732" s="244"/>
      <c r="P732" s="243"/>
      <c r="Q732" s="244"/>
      <c r="R732" s="243"/>
      <c r="S732" s="244"/>
      <c r="T732" s="243"/>
      <c r="U732" s="244"/>
      <c r="V732" s="246"/>
      <c r="W732" s="244"/>
      <c r="X732" s="243"/>
      <c r="Y732" s="244"/>
      <c r="Z732" s="243"/>
      <c r="AA732" s="243"/>
      <c r="AB732" s="243"/>
    </row>
    <row r="733">
      <c r="A733" s="243"/>
      <c r="B733" s="244"/>
      <c r="C733" s="243"/>
      <c r="D733" s="243"/>
      <c r="E733" s="243"/>
      <c r="F733" s="243"/>
      <c r="G733" s="243"/>
      <c r="H733" s="245"/>
      <c r="I733" s="245"/>
      <c r="J733" s="243"/>
      <c r="K733" s="243"/>
      <c r="L733" s="243"/>
      <c r="M733" s="243"/>
      <c r="N733" s="243"/>
      <c r="O733" s="244"/>
      <c r="P733" s="243"/>
      <c r="Q733" s="244"/>
      <c r="R733" s="243"/>
      <c r="S733" s="244"/>
      <c r="T733" s="243"/>
      <c r="U733" s="244"/>
      <c r="V733" s="246"/>
      <c r="W733" s="244"/>
      <c r="X733" s="243"/>
      <c r="Y733" s="244"/>
      <c r="Z733" s="243"/>
      <c r="AA733" s="243"/>
      <c r="AB733" s="243"/>
    </row>
    <row r="734">
      <c r="A734" s="243"/>
      <c r="B734" s="244"/>
      <c r="C734" s="243"/>
      <c r="D734" s="243"/>
      <c r="E734" s="243"/>
      <c r="F734" s="243"/>
      <c r="G734" s="243"/>
      <c r="H734" s="245"/>
      <c r="I734" s="245"/>
      <c r="J734" s="243"/>
      <c r="K734" s="243"/>
      <c r="L734" s="243"/>
      <c r="M734" s="243"/>
      <c r="N734" s="243"/>
      <c r="O734" s="244"/>
      <c r="P734" s="243"/>
      <c r="Q734" s="244"/>
      <c r="R734" s="243"/>
      <c r="S734" s="244"/>
      <c r="T734" s="243"/>
      <c r="U734" s="244"/>
      <c r="V734" s="246"/>
      <c r="W734" s="244"/>
      <c r="X734" s="243"/>
      <c r="Y734" s="244"/>
      <c r="Z734" s="243"/>
      <c r="AA734" s="243"/>
      <c r="AB734" s="243"/>
    </row>
    <row r="735">
      <c r="A735" s="243"/>
      <c r="B735" s="244"/>
      <c r="C735" s="243"/>
      <c r="D735" s="243"/>
      <c r="E735" s="243"/>
      <c r="F735" s="243"/>
      <c r="G735" s="243"/>
      <c r="H735" s="245"/>
      <c r="I735" s="245"/>
      <c r="J735" s="243"/>
      <c r="K735" s="243"/>
      <c r="L735" s="243"/>
      <c r="M735" s="243"/>
      <c r="N735" s="243"/>
      <c r="O735" s="244"/>
      <c r="P735" s="243"/>
      <c r="Q735" s="244"/>
      <c r="R735" s="243"/>
      <c r="S735" s="244"/>
      <c r="T735" s="243"/>
      <c r="U735" s="244"/>
      <c r="V735" s="246"/>
      <c r="W735" s="244"/>
      <c r="X735" s="243"/>
      <c r="Y735" s="244"/>
      <c r="Z735" s="243"/>
      <c r="AA735" s="243"/>
      <c r="AB735" s="243"/>
    </row>
    <row r="736">
      <c r="A736" s="243"/>
      <c r="B736" s="244"/>
      <c r="C736" s="243"/>
      <c r="D736" s="243"/>
      <c r="E736" s="243"/>
      <c r="F736" s="243"/>
      <c r="G736" s="243"/>
      <c r="H736" s="245"/>
      <c r="I736" s="245"/>
      <c r="J736" s="243"/>
      <c r="K736" s="243"/>
      <c r="L736" s="243"/>
      <c r="M736" s="243"/>
      <c r="N736" s="243"/>
      <c r="O736" s="244"/>
      <c r="P736" s="243"/>
      <c r="Q736" s="244"/>
      <c r="R736" s="243"/>
      <c r="S736" s="244"/>
      <c r="T736" s="243"/>
      <c r="U736" s="244"/>
      <c r="V736" s="246"/>
      <c r="W736" s="244"/>
      <c r="X736" s="243"/>
      <c r="Y736" s="244"/>
      <c r="Z736" s="243"/>
      <c r="AA736" s="243"/>
      <c r="AB736" s="243"/>
    </row>
    <row r="737">
      <c r="A737" s="243"/>
      <c r="B737" s="244"/>
      <c r="C737" s="243"/>
      <c r="D737" s="243"/>
      <c r="E737" s="243"/>
      <c r="F737" s="243"/>
      <c r="G737" s="243"/>
      <c r="H737" s="245"/>
      <c r="I737" s="245"/>
      <c r="J737" s="243"/>
      <c r="K737" s="243"/>
      <c r="L737" s="243"/>
      <c r="M737" s="243"/>
      <c r="N737" s="243"/>
      <c r="O737" s="244"/>
      <c r="P737" s="243"/>
      <c r="Q737" s="244"/>
      <c r="R737" s="243"/>
      <c r="S737" s="244"/>
      <c r="T737" s="243"/>
      <c r="U737" s="244"/>
      <c r="V737" s="246"/>
      <c r="W737" s="244"/>
      <c r="X737" s="243"/>
      <c r="Y737" s="244"/>
      <c r="Z737" s="243"/>
      <c r="AA737" s="243"/>
      <c r="AB737" s="243"/>
    </row>
    <row r="738">
      <c r="A738" s="243"/>
      <c r="B738" s="244"/>
      <c r="C738" s="243"/>
      <c r="D738" s="243"/>
      <c r="E738" s="243"/>
      <c r="F738" s="243"/>
      <c r="G738" s="243"/>
      <c r="H738" s="245"/>
      <c r="I738" s="245"/>
      <c r="J738" s="243"/>
      <c r="K738" s="243"/>
      <c r="L738" s="243"/>
      <c r="M738" s="243"/>
      <c r="N738" s="243"/>
      <c r="O738" s="244"/>
      <c r="P738" s="243"/>
      <c r="Q738" s="244"/>
      <c r="R738" s="243"/>
      <c r="S738" s="244"/>
      <c r="T738" s="243"/>
      <c r="U738" s="244"/>
      <c r="V738" s="246"/>
      <c r="W738" s="244"/>
      <c r="X738" s="243"/>
      <c r="Y738" s="244"/>
      <c r="Z738" s="243"/>
      <c r="AA738" s="243"/>
      <c r="AB738" s="243"/>
    </row>
    <row r="739">
      <c r="A739" s="243"/>
      <c r="B739" s="244"/>
      <c r="C739" s="243"/>
      <c r="D739" s="243"/>
      <c r="E739" s="243"/>
      <c r="F739" s="243"/>
      <c r="G739" s="243"/>
      <c r="H739" s="245"/>
      <c r="I739" s="245"/>
      <c r="J739" s="243"/>
      <c r="K739" s="243"/>
      <c r="L739" s="243"/>
      <c r="M739" s="243"/>
      <c r="N739" s="243"/>
      <c r="O739" s="244"/>
      <c r="P739" s="243"/>
      <c r="Q739" s="244"/>
      <c r="R739" s="243"/>
      <c r="S739" s="244"/>
      <c r="T739" s="243"/>
      <c r="U739" s="244"/>
      <c r="V739" s="246"/>
      <c r="W739" s="244"/>
      <c r="X739" s="243"/>
      <c r="Y739" s="244"/>
      <c r="Z739" s="243"/>
      <c r="AA739" s="243"/>
      <c r="AB739" s="243"/>
    </row>
    <row r="740">
      <c r="A740" s="243"/>
      <c r="B740" s="244"/>
      <c r="C740" s="243"/>
      <c r="D740" s="243"/>
      <c r="E740" s="243"/>
      <c r="F740" s="243"/>
      <c r="G740" s="243"/>
      <c r="H740" s="245"/>
      <c r="I740" s="245"/>
      <c r="J740" s="243"/>
      <c r="K740" s="243"/>
      <c r="L740" s="243"/>
      <c r="M740" s="243"/>
      <c r="N740" s="243"/>
      <c r="O740" s="244"/>
      <c r="P740" s="243"/>
      <c r="Q740" s="244"/>
      <c r="R740" s="243"/>
      <c r="S740" s="244"/>
      <c r="T740" s="243"/>
      <c r="U740" s="244"/>
      <c r="V740" s="246"/>
      <c r="W740" s="244"/>
      <c r="X740" s="243"/>
      <c r="Y740" s="244"/>
      <c r="Z740" s="243"/>
      <c r="AA740" s="243"/>
      <c r="AB740" s="243"/>
    </row>
    <row r="741">
      <c r="A741" s="243"/>
      <c r="B741" s="244"/>
      <c r="C741" s="243"/>
      <c r="D741" s="243"/>
      <c r="E741" s="243"/>
      <c r="F741" s="243"/>
      <c r="G741" s="243"/>
      <c r="H741" s="245"/>
      <c r="I741" s="245"/>
      <c r="J741" s="243"/>
      <c r="K741" s="243"/>
      <c r="L741" s="243"/>
      <c r="M741" s="243"/>
      <c r="N741" s="243"/>
      <c r="O741" s="244"/>
      <c r="P741" s="243"/>
      <c r="Q741" s="244"/>
      <c r="R741" s="243"/>
      <c r="S741" s="244"/>
      <c r="T741" s="243"/>
      <c r="U741" s="244"/>
      <c r="V741" s="246"/>
      <c r="W741" s="244"/>
      <c r="X741" s="243"/>
      <c r="Y741" s="244"/>
      <c r="Z741" s="243"/>
      <c r="AA741" s="243"/>
      <c r="AB741" s="243"/>
    </row>
    <row r="742">
      <c r="A742" s="243"/>
      <c r="B742" s="244"/>
      <c r="C742" s="243"/>
      <c r="D742" s="243"/>
      <c r="E742" s="243"/>
      <c r="F742" s="243"/>
      <c r="G742" s="243"/>
      <c r="H742" s="245"/>
      <c r="I742" s="245"/>
      <c r="J742" s="243"/>
      <c r="K742" s="243"/>
      <c r="L742" s="243"/>
      <c r="M742" s="243"/>
      <c r="N742" s="243"/>
      <c r="O742" s="244"/>
      <c r="P742" s="243"/>
      <c r="Q742" s="244"/>
      <c r="R742" s="243"/>
      <c r="S742" s="244"/>
      <c r="T742" s="243"/>
      <c r="U742" s="244"/>
      <c r="V742" s="246"/>
      <c r="W742" s="244"/>
      <c r="X742" s="243"/>
      <c r="Y742" s="244"/>
      <c r="Z742" s="243"/>
      <c r="AA742" s="243"/>
      <c r="AB742" s="243"/>
    </row>
    <row r="743">
      <c r="A743" s="243"/>
      <c r="B743" s="244"/>
      <c r="C743" s="243"/>
      <c r="D743" s="243"/>
      <c r="E743" s="243"/>
      <c r="F743" s="243"/>
      <c r="G743" s="243"/>
      <c r="H743" s="245"/>
      <c r="I743" s="245"/>
      <c r="J743" s="243"/>
      <c r="K743" s="243"/>
      <c r="L743" s="243"/>
      <c r="M743" s="243"/>
      <c r="N743" s="243"/>
      <c r="O743" s="244"/>
      <c r="P743" s="243"/>
      <c r="Q743" s="244"/>
      <c r="R743" s="243"/>
      <c r="S743" s="244"/>
      <c r="T743" s="243"/>
      <c r="U743" s="244"/>
      <c r="V743" s="246"/>
      <c r="W743" s="244"/>
      <c r="X743" s="243"/>
      <c r="Y743" s="244"/>
      <c r="Z743" s="243"/>
      <c r="AA743" s="243"/>
      <c r="AB743" s="243"/>
    </row>
    <row r="744">
      <c r="A744" s="243"/>
      <c r="B744" s="244"/>
      <c r="C744" s="243"/>
      <c r="D744" s="243"/>
      <c r="E744" s="243"/>
      <c r="F744" s="243"/>
      <c r="G744" s="243"/>
      <c r="H744" s="245"/>
      <c r="I744" s="245"/>
      <c r="J744" s="243"/>
      <c r="K744" s="243"/>
      <c r="L744" s="243"/>
      <c r="M744" s="243"/>
      <c r="N744" s="243"/>
      <c r="O744" s="244"/>
      <c r="P744" s="243"/>
      <c r="Q744" s="244"/>
      <c r="R744" s="243"/>
      <c r="S744" s="244"/>
      <c r="T744" s="243"/>
      <c r="U744" s="244"/>
      <c r="V744" s="246"/>
      <c r="W744" s="244"/>
      <c r="X744" s="243"/>
      <c r="Y744" s="244"/>
      <c r="Z744" s="243"/>
      <c r="AA744" s="243"/>
      <c r="AB744" s="243"/>
    </row>
    <row r="745">
      <c r="A745" s="243"/>
      <c r="B745" s="244"/>
      <c r="C745" s="243"/>
      <c r="D745" s="243"/>
      <c r="E745" s="243"/>
      <c r="F745" s="243"/>
      <c r="G745" s="243"/>
      <c r="H745" s="245"/>
      <c r="I745" s="245"/>
      <c r="J745" s="243"/>
      <c r="K745" s="243"/>
      <c r="L745" s="243"/>
      <c r="M745" s="243"/>
      <c r="N745" s="243"/>
      <c r="O745" s="244"/>
      <c r="P745" s="243"/>
      <c r="Q745" s="244"/>
      <c r="R745" s="243"/>
      <c r="S745" s="244"/>
      <c r="T745" s="243"/>
      <c r="U745" s="244"/>
      <c r="V745" s="246"/>
      <c r="W745" s="244"/>
      <c r="X745" s="243"/>
      <c r="Y745" s="244"/>
      <c r="Z745" s="243"/>
      <c r="AA745" s="243"/>
      <c r="AB745" s="243"/>
    </row>
    <row r="746">
      <c r="A746" s="243"/>
      <c r="B746" s="244"/>
      <c r="C746" s="243"/>
      <c r="D746" s="243"/>
      <c r="E746" s="243"/>
      <c r="F746" s="243"/>
      <c r="G746" s="243"/>
      <c r="H746" s="245"/>
      <c r="I746" s="245"/>
      <c r="J746" s="243"/>
      <c r="K746" s="243"/>
      <c r="L746" s="243"/>
      <c r="M746" s="243"/>
      <c r="N746" s="243"/>
      <c r="O746" s="244"/>
      <c r="P746" s="243"/>
      <c r="Q746" s="244"/>
      <c r="R746" s="243"/>
      <c r="S746" s="244"/>
      <c r="T746" s="243"/>
      <c r="U746" s="244"/>
      <c r="V746" s="246"/>
      <c r="W746" s="244"/>
      <c r="X746" s="243"/>
      <c r="Y746" s="244"/>
      <c r="Z746" s="243"/>
      <c r="AA746" s="243"/>
      <c r="AB746" s="243"/>
    </row>
    <row r="747">
      <c r="A747" s="243"/>
      <c r="B747" s="244"/>
      <c r="C747" s="243"/>
      <c r="D747" s="243"/>
      <c r="E747" s="243"/>
      <c r="F747" s="243"/>
      <c r="G747" s="243"/>
      <c r="H747" s="245"/>
      <c r="I747" s="245"/>
      <c r="J747" s="243"/>
      <c r="K747" s="243"/>
      <c r="L747" s="243"/>
      <c r="M747" s="243"/>
      <c r="N747" s="243"/>
      <c r="O747" s="244"/>
      <c r="P747" s="243"/>
      <c r="Q747" s="244"/>
      <c r="R747" s="243"/>
      <c r="S747" s="244"/>
      <c r="T747" s="243"/>
      <c r="U747" s="244"/>
      <c r="V747" s="246"/>
      <c r="W747" s="244"/>
      <c r="X747" s="243"/>
      <c r="Y747" s="244"/>
      <c r="Z747" s="243"/>
      <c r="AA747" s="243"/>
      <c r="AB747" s="243"/>
    </row>
    <row r="748">
      <c r="A748" s="243"/>
      <c r="B748" s="244"/>
      <c r="C748" s="243"/>
      <c r="D748" s="243"/>
      <c r="E748" s="243"/>
      <c r="F748" s="243"/>
      <c r="G748" s="243"/>
      <c r="H748" s="245"/>
      <c r="I748" s="245"/>
      <c r="J748" s="243"/>
      <c r="K748" s="243"/>
      <c r="L748" s="243"/>
      <c r="M748" s="243"/>
      <c r="N748" s="243"/>
      <c r="O748" s="244"/>
      <c r="P748" s="243"/>
      <c r="Q748" s="244"/>
      <c r="R748" s="243"/>
      <c r="S748" s="244"/>
      <c r="T748" s="243"/>
      <c r="U748" s="244"/>
      <c r="V748" s="246"/>
      <c r="W748" s="244"/>
      <c r="X748" s="243"/>
      <c r="Y748" s="244"/>
      <c r="Z748" s="243"/>
      <c r="AA748" s="243"/>
      <c r="AB748" s="243"/>
    </row>
    <row r="749">
      <c r="A749" s="243"/>
      <c r="B749" s="244"/>
      <c r="C749" s="243"/>
      <c r="D749" s="243"/>
      <c r="E749" s="243"/>
      <c r="F749" s="243"/>
      <c r="G749" s="243"/>
      <c r="H749" s="245"/>
      <c r="I749" s="245"/>
      <c r="J749" s="243"/>
      <c r="K749" s="243"/>
      <c r="L749" s="243"/>
      <c r="M749" s="243"/>
      <c r="N749" s="243"/>
      <c r="O749" s="244"/>
      <c r="P749" s="243"/>
      <c r="Q749" s="244"/>
      <c r="R749" s="243"/>
      <c r="S749" s="244"/>
      <c r="T749" s="243"/>
      <c r="U749" s="244"/>
      <c r="V749" s="246"/>
      <c r="W749" s="244"/>
      <c r="X749" s="243"/>
      <c r="Y749" s="244"/>
      <c r="Z749" s="243"/>
      <c r="AA749" s="243"/>
      <c r="AB749" s="243"/>
    </row>
    <row r="750">
      <c r="A750" s="243"/>
      <c r="B750" s="244"/>
      <c r="C750" s="243"/>
      <c r="D750" s="243"/>
      <c r="E750" s="243"/>
      <c r="F750" s="243"/>
      <c r="G750" s="243"/>
      <c r="H750" s="245"/>
      <c r="I750" s="245"/>
      <c r="J750" s="243"/>
      <c r="K750" s="243"/>
      <c r="L750" s="243"/>
      <c r="M750" s="243"/>
      <c r="N750" s="243"/>
      <c r="O750" s="244"/>
      <c r="P750" s="243"/>
      <c r="Q750" s="244"/>
      <c r="R750" s="243"/>
      <c r="S750" s="244"/>
      <c r="T750" s="243"/>
      <c r="U750" s="244"/>
      <c r="V750" s="246"/>
      <c r="W750" s="244"/>
      <c r="X750" s="243"/>
      <c r="Y750" s="244"/>
      <c r="Z750" s="243"/>
      <c r="AA750" s="243"/>
      <c r="AB750" s="243"/>
    </row>
    <row r="751">
      <c r="A751" s="243"/>
      <c r="B751" s="244"/>
      <c r="C751" s="243"/>
      <c r="D751" s="243"/>
      <c r="E751" s="243"/>
      <c r="F751" s="243"/>
      <c r="G751" s="243"/>
      <c r="H751" s="245"/>
      <c r="I751" s="245"/>
      <c r="J751" s="243"/>
      <c r="K751" s="243"/>
      <c r="L751" s="243"/>
      <c r="M751" s="243"/>
      <c r="N751" s="243"/>
      <c r="O751" s="244"/>
      <c r="P751" s="243"/>
      <c r="Q751" s="244"/>
      <c r="R751" s="243"/>
      <c r="S751" s="244"/>
      <c r="T751" s="243"/>
      <c r="U751" s="244"/>
      <c r="V751" s="246"/>
      <c r="W751" s="244"/>
      <c r="X751" s="243"/>
      <c r="Y751" s="244"/>
      <c r="Z751" s="243"/>
      <c r="AA751" s="243"/>
      <c r="AB751" s="243"/>
    </row>
    <row r="752">
      <c r="A752" s="243"/>
      <c r="B752" s="244"/>
      <c r="C752" s="243"/>
      <c r="D752" s="243"/>
      <c r="E752" s="243"/>
      <c r="F752" s="243"/>
      <c r="G752" s="243"/>
      <c r="H752" s="245"/>
      <c r="I752" s="245"/>
      <c r="J752" s="243"/>
      <c r="K752" s="243"/>
      <c r="L752" s="243"/>
      <c r="M752" s="243"/>
      <c r="N752" s="243"/>
      <c r="O752" s="244"/>
      <c r="P752" s="243"/>
      <c r="Q752" s="244"/>
      <c r="R752" s="243"/>
      <c r="S752" s="244"/>
      <c r="T752" s="243"/>
      <c r="U752" s="244"/>
      <c r="V752" s="246"/>
      <c r="W752" s="244"/>
      <c r="X752" s="243"/>
      <c r="Y752" s="244"/>
      <c r="Z752" s="243"/>
      <c r="AA752" s="243"/>
      <c r="AB752" s="243"/>
    </row>
    <row r="753">
      <c r="A753" s="243"/>
      <c r="B753" s="244"/>
      <c r="C753" s="243"/>
      <c r="D753" s="243"/>
      <c r="E753" s="243"/>
      <c r="F753" s="243"/>
      <c r="G753" s="243"/>
      <c r="H753" s="245"/>
      <c r="I753" s="245"/>
      <c r="J753" s="243"/>
      <c r="K753" s="243"/>
      <c r="L753" s="243"/>
      <c r="M753" s="243"/>
      <c r="N753" s="243"/>
      <c r="O753" s="244"/>
      <c r="P753" s="243"/>
      <c r="Q753" s="244"/>
      <c r="R753" s="243"/>
      <c r="S753" s="244"/>
      <c r="T753" s="243"/>
      <c r="U753" s="244"/>
      <c r="V753" s="246"/>
      <c r="W753" s="244"/>
      <c r="X753" s="243"/>
      <c r="Y753" s="244"/>
      <c r="Z753" s="243"/>
      <c r="AA753" s="243"/>
      <c r="AB753" s="243"/>
    </row>
    <row r="754">
      <c r="A754" s="243"/>
      <c r="B754" s="244"/>
      <c r="C754" s="243"/>
      <c r="D754" s="243"/>
      <c r="E754" s="243"/>
      <c r="F754" s="243"/>
      <c r="G754" s="243"/>
      <c r="H754" s="245"/>
      <c r="I754" s="245"/>
      <c r="J754" s="243"/>
      <c r="K754" s="243"/>
      <c r="L754" s="243"/>
      <c r="M754" s="243"/>
      <c r="N754" s="243"/>
      <c r="O754" s="244"/>
      <c r="P754" s="243"/>
      <c r="Q754" s="244"/>
      <c r="R754" s="243"/>
      <c r="S754" s="244"/>
      <c r="T754" s="243"/>
      <c r="U754" s="244"/>
      <c r="V754" s="246"/>
      <c r="W754" s="244"/>
      <c r="X754" s="243"/>
      <c r="Y754" s="244"/>
      <c r="Z754" s="243"/>
      <c r="AA754" s="243"/>
      <c r="AB754" s="243"/>
    </row>
    <row r="755">
      <c r="A755" s="243"/>
      <c r="B755" s="244"/>
      <c r="C755" s="243"/>
      <c r="D755" s="243"/>
      <c r="E755" s="243"/>
      <c r="F755" s="243"/>
      <c r="G755" s="243"/>
      <c r="H755" s="245"/>
      <c r="I755" s="245"/>
      <c r="J755" s="243"/>
      <c r="K755" s="243"/>
      <c r="L755" s="243"/>
      <c r="M755" s="243"/>
      <c r="N755" s="243"/>
      <c r="O755" s="244"/>
      <c r="P755" s="243"/>
      <c r="Q755" s="244"/>
      <c r="R755" s="243"/>
      <c r="S755" s="244"/>
      <c r="T755" s="243"/>
      <c r="U755" s="244"/>
      <c r="V755" s="246"/>
      <c r="W755" s="244"/>
      <c r="X755" s="243"/>
      <c r="Y755" s="244"/>
      <c r="Z755" s="243"/>
      <c r="AA755" s="243"/>
      <c r="AB755" s="243"/>
    </row>
    <row r="756">
      <c r="A756" s="243"/>
      <c r="B756" s="244"/>
      <c r="C756" s="243"/>
      <c r="D756" s="243"/>
      <c r="E756" s="243"/>
      <c r="F756" s="243"/>
      <c r="G756" s="243"/>
      <c r="H756" s="245"/>
      <c r="I756" s="245"/>
      <c r="J756" s="243"/>
      <c r="K756" s="243"/>
      <c r="L756" s="243"/>
      <c r="M756" s="243"/>
      <c r="N756" s="243"/>
      <c r="O756" s="244"/>
      <c r="P756" s="243"/>
      <c r="Q756" s="244"/>
      <c r="R756" s="243"/>
      <c r="S756" s="244"/>
      <c r="T756" s="243"/>
      <c r="U756" s="244"/>
      <c r="V756" s="246"/>
      <c r="W756" s="244"/>
      <c r="X756" s="243"/>
      <c r="Y756" s="244"/>
      <c r="Z756" s="243"/>
      <c r="AA756" s="243"/>
      <c r="AB756" s="243"/>
    </row>
    <row r="757">
      <c r="A757" s="243"/>
      <c r="B757" s="244"/>
      <c r="C757" s="243"/>
      <c r="D757" s="243"/>
      <c r="E757" s="243"/>
      <c r="F757" s="243"/>
      <c r="G757" s="243"/>
      <c r="H757" s="245"/>
      <c r="I757" s="245"/>
      <c r="J757" s="243"/>
      <c r="K757" s="243"/>
      <c r="L757" s="243"/>
      <c r="M757" s="243"/>
      <c r="N757" s="243"/>
      <c r="O757" s="244"/>
      <c r="P757" s="243"/>
      <c r="Q757" s="244"/>
      <c r="R757" s="243"/>
      <c r="S757" s="244"/>
      <c r="T757" s="243"/>
      <c r="U757" s="244"/>
      <c r="V757" s="246"/>
      <c r="W757" s="244"/>
      <c r="X757" s="243"/>
      <c r="Y757" s="244"/>
      <c r="Z757" s="243"/>
      <c r="AA757" s="243"/>
      <c r="AB757" s="243"/>
    </row>
    <row r="758">
      <c r="A758" s="243"/>
      <c r="B758" s="244"/>
      <c r="C758" s="243"/>
      <c r="D758" s="243"/>
      <c r="E758" s="243"/>
      <c r="F758" s="243"/>
      <c r="G758" s="243"/>
      <c r="H758" s="245"/>
      <c r="I758" s="245"/>
      <c r="J758" s="243"/>
      <c r="K758" s="243"/>
      <c r="L758" s="243"/>
      <c r="M758" s="243"/>
      <c r="N758" s="243"/>
      <c r="O758" s="244"/>
      <c r="P758" s="243"/>
      <c r="Q758" s="244"/>
      <c r="R758" s="243"/>
      <c r="S758" s="244"/>
      <c r="T758" s="243"/>
      <c r="U758" s="244"/>
      <c r="V758" s="246"/>
      <c r="W758" s="244"/>
      <c r="X758" s="243"/>
      <c r="Y758" s="244"/>
      <c r="Z758" s="243"/>
      <c r="AA758" s="243"/>
      <c r="AB758" s="243"/>
    </row>
    <row r="759">
      <c r="A759" s="243"/>
      <c r="B759" s="244"/>
      <c r="C759" s="243"/>
      <c r="D759" s="243"/>
      <c r="E759" s="243"/>
      <c r="F759" s="243"/>
      <c r="G759" s="243"/>
      <c r="H759" s="245"/>
      <c r="I759" s="245"/>
      <c r="J759" s="243"/>
      <c r="K759" s="243"/>
      <c r="L759" s="243"/>
      <c r="M759" s="243"/>
      <c r="N759" s="243"/>
      <c r="O759" s="244"/>
      <c r="P759" s="243"/>
      <c r="Q759" s="244"/>
      <c r="R759" s="243"/>
      <c r="S759" s="244"/>
      <c r="T759" s="243"/>
      <c r="U759" s="244"/>
      <c r="V759" s="246"/>
      <c r="W759" s="244"/>
      <c r="X759" s="243"/>
      <c r="Y759" s="244"/>
      <c r="Z759" s="243"/>
      <c r="AA759" s="243"/>
      <c r="AB759" s="243"/>
    </row>
    <row r="760">
      <c r="A760" s="243"/>
      <c r="B760" s="244"/>
      <c r="C760" s="243"/>
      <c r="D760" s="243"/>
      <c r="E760" s="243"/>
      <c r="F760" s="243"/>
      <c r="G760" s="243"/>
      <c r="H760" s="245"/>
      <c r="I760" s="245"/>
      <c r="J760" s="243"/>
      <c r="K760" s="243"/>
      <c r="L760" s="243"/>
      <c r="M760" s="243"/>
      <c r="N760" s="243"/>
      <c r="O760" s="244"/>
      <c r="P760" s="243"/>
      <c r="Q760" s="244"/>
      <c r="R760" s="243"/>
      <c r="S760" s="244"/>
      <c r="T760" s="243"/>
      <c r="U760" s="244"/>
      <c r="V760" s="246"/>
      <c r="W760" s="244"/>
      <c r="X760" s="243"/>
      <c r="Y760" s="244"/>
      <c r="Z760" s="243"/>
      <c r="AA760" s="243"/>
      <c r="AB760" s="243"/>
    </row>
    <row r="761">
      <c r="A761" s="243"/>
      <c r="B761" s="244"/>
      <c r="C761" s="243"/>
      <c r="D761" s="243"/>
      <c r="E761" s="243"/>
      <c r="F761" s="243"/>
      <c r="G761" s="243"/>
      <c r="H761" s="245"/>
      <c r="I761" s="245"/>
      <c r="J761" s="243"/>
      <c r="K761" s="243"/>
      <c r="L761" s="243"/>
      <c r="M761" s="243"/>
      <c r="N761" s="243"/>
      <c r="O761" s="244"/>
      <c r="P761" s="243"/>
      <c r="Q761" s="244"/>
      <c r="R761" s="243"/>
      <c r="S761" s="244"/>
      <c r="T761" s="243"/>
      <c r="U761" s="244"/>
      <c r="V761" s="246"/>
      <c r="W761" s="244"/>
      <c r="X761" s="243"/>
      <c r="Y761" s="244"/>
      <c r="Z761" s="243"/>
      <c r="AA761" s="243"/>
      <c r="AB761" s="243"/>
    </row>
    <row r="762">
      <c r="A762" s="243"/>
      <c r="B762" s="244"/>
      <c r="C762" s="243"/>
      <c r="D762" s="243"/>
      <c r="E762" s="243"/>
      <c r="F762" s="243"/>
      <c r="G762" s="243"/>
      <c r="H762" s="245"/>
      <c r="I762" s="245"/>
      <c r="J762" s="243"/>
      <c r="K762" s="243"/>
      <c r="L762" s="243"/>
      <c r="M762" s="243"/>
      <c r="N762" s="243"/>
      <c r="O762" s="244"/>
      <c r="P762" s="243"/>
      <c r="Q762" s="244"/>
      <c r="R762" s="243"/>
      <c r="S762" s="244"/>
      <c r="T762" s="243"/>
      <c r="U762" s="244"/>
      <c r="V762" s="246"/>
      <c r="W762" s="244"/>
      <c r="X762" s="243"/>
      <c r="Y762" s="244"/>
      <c r="Z762" s="243"/>
      <c r="AA762" s="243"/>
      <c r="AB762" s="243"/>
    </row>
    <row r="763">
      <c r="A763" s="243"/>
      <c r="B763" s="244"/>
      <c r="C763" s="243"/>
      <c r="D763" s="243"/>
      <c r="E763" s="243"/>
      <c r="F763" s="243"/>
      <c r="G763" s="243"/>
      <c r="H763" s="245"/>
      <c r="I763" s="245"/>
      <c r="J763" s="243"/>
      <c r="K763" s="243"/>
      <c r="L763" s="243"/>
      <c r="M763" s="243"/>
      <c r="N763" s="243"/>
      <c r="O763" s="244"/>
      <c r="P763" s="243"/>
      <c r="Q763" s="244"/>
      <c r="R763" s="243"/>
      <c r="S763" s="244"/>
      <c r="T763" s="243"/>
      <c r="U763" s="244"/>
      <c r="V763" s="246"/>
      <c r="W763" s="244"/>
      <c r="X763" s="243"/>
      <c r="Y763" s="244"/>
      <c r="Z763" s="243"/>
      <c r="AA763" s="243"/>
      <c r="AB763" s="243"/>
    </row>
    <row r="764">
      <c r="A764" s="243"/>
      <c r="B764" s="244"/>
      <c r="C764" s="243"/>
      <c r="D764" s="243"/>
      <c r="E764" s="243"/>
      <c r="F764" s="243"/>
      <c r="G764" s="243"/>
      <c r="H764" s="245"/>
      <c r="I764" s="245"/>
      <c r="J764" s="243"/>
      <c r="K764" s="243"/>
      <c r="L764" s="243"/>
      <c r="M764" s="243"/>
      <c r="N764" s="243"/>
      <c r="O764" s="244"/>
      <c r="P764" s="243"/>
      <c r="Q764" s="244"/>
      <c r="R764" s="243"/>
      <c r="S764" s="244"/>
      <c r="T764" s="243"/>
      <c r="U764" s="244"/>
      <c r="V764" s="246"/>
      <c r="W764" s="244"/>
      <c r="X764" s="243"/>
      <c r="Y764" s="244"/>
      <c r="Z764" s="243"/>
      <c r="AA764" s="243"/>
      <c r="AB764" s="243"/>
    </row>
    <row r="765">
      <c r="A765" s="243"/>
      <c r="B765" s="244"/>
      <c r="C765" s="243"/>
      <c r="D765" s="243"/>
      <c r="E765" s="243"/>
      <c r="F765" s="243"/>
      <c r="G765" s="243"/>
      <c r="H765" s="245"/>
      <c r="I765" s="245"/>
      <c r="J765" s="243"/>
      <c r="K765" s="243"/>
      <c r="L765" s="243"/>
      <c r="M765" s="243"/>
      <c r="N765" s="243"/>
      <c r="O765" s="244"/>
      <c r="P765" s="243"/>
      <c r="Q765" s="244"/>
      <c r="R765" s="243"/>
      <c r="S765" s="244"/>
      <c r="T765" s="243"/>
      <c r="U765" s="244"/>
      <c r="V765" s="246"/>
      <c r="W765" s="244"/>
      <c r="X765" s="243"/>
      <c r="Y765" s="244"/>
      <c r="Z765" s="243"/>
      <c r="AA765" s="243"/>
      <c r="AB765" s="243"/>
    </row>
    <row r="766">
      <c r="A766" s="243"/>
      <c r="B766" s="244"/>
      <c r="C766" s="243"/>
      <c r="D766" s="243"/>
      <c r="E766" s="243"/>
      <c r="F766" s="243"/>
      <c r="G766" s="243"/>
      <c r="H766" s="245"/>
      <c r="I766" s="245"/>
      <c r="J766" s="243"/>
      <c r="K766" s="243"/>
      <c r="L766" s="243"/>
      <c r="M766" s="243"/>
      <c r="N766" s="243"/>
      <c r="O766" s="244"/>
      <c r="P766" s="243"/>
      <c r="Q766" s="244"/>
      <c r="R766" s="243"/>
      <c r="S766" s="244"/>
      <c r="T766" s="243"/>
      <c r="U766" s="244"/>
      <c r="V766" s="246"/>
      <c r="W766" s="244"/>
      <c r="X766" s="243"/>
      <c r="Y766" s="244"/>
      <c r="Z766" s="243"/>
      <c r="AA766" s="243"/>
      <c r="AB766" s="243"/>
    </row>
    <row r="767">
      <c r="A767" s="243"/>
      <c r="B767" s="244"/>
      <c r="C767" s="243"/>
      <c r="D767" s="243"/>
      <c r="E767" s="243"/>
      <c r="F767" s="243"/>
      <c r="G767" s="243"/>
      <c r="H767" s="245"/>
      <c r="I767" s="245"/>
      <c r="J767" s="243"/>
      <c r="K767" s="243"/>
      <c r="L767" s="243"/>
      <c r="M767" s="243"/>
      <c r="N767" s="243"/>
      <c r="O767" s="244"/>
      <c r="P767" s="243"/>
      <c r="Q767" s="244"/>
      <c r="R767" s="243"/>
      <c r="S767" s="244"/>
      <c r="T767" s="243"/>
      <c r="U767" s="244"/>
      <c r="V767" s="246"/>
      <c r="W767" s="244"/>
      <c r="X767" s="243"/>
      <c r="Y767" s="244"/>
      <c r="Z767" s="243"/>
      <c r="AA767" s="243"/>
      <c r="AB767" s="243"/>
    </row>
    <row r="768">
      <c r="A768" s="243"/>
      <c r="B768" s="244"/>
      <c r="C768" s="243"/>
      <c r="D768" s="243"/>
      <c r="E768" s="243"/>
      <c r="F768" s="243"/>
      <c r="G768" s="243"/>
      <c r="H768" s="245"/>
      <c r="I768" s="245"/>
      <c r="J768" s="243"/>
      <c r="K768" s="243"/>
      <c r="L768" s="243"/>
      <c r="M768" s="243"/>
      <c r="N768" s="243"/>
      <c r="O768" s="244"/>
      <c r="P768" s="243"/>
      <c r="Q768" s="244"/>
      <c r="R768" s="243"/>
      <c r="S768" s="244"/>
      <c r="T768" s="243"/>
      <c r="U768" s="244"/>
      <c r="V768" s="246"/>
      <c r="W768" s="244"/>
      <c r="X768" s="243"/>
      <c r="Y768" s="244"/>
      <c r="Z768" s="243"/>
      <c r="AA768" s="243"/>
      <c r="AB768" s="243"/>
    </row>
    <row r="769">
      <c r="A769" s="243"/>
      <c r="B769" s="244"/>
      <c r="C769" s="243"/>
      <c r="D769" s="243"/>
      <c r="E769" s="243"/>
      <c r="F769" s="243"/>
      <c r="G769" s="243"/>
      <c r="H769" s="245"/>
      <c r="I769" s="245"/>
      <c r="J769" s="243"/>
      <c r="K769" s="243"/>
      <c r="L769" s="243"/>
      <c r="M769" s="243"/>
      <c r="N769" s="243"/>
      <c r="O769" s="244"/>
      <c r="P769" s="243"/>
      <c r="Q769" s="244"/>
      <c r="R769" s="243"/>
      <c r="S769" s="244"/>
      <c r="T769" s="243"/>
      <c r="U769" s="244"/>
      <c r="V769" s="246"/>
      <c r="W769" s="244"/>
      <c r="X769" s="243"/>
      <c r="Y769" s="244"/>
      <c r="Z769" s="243"/>
      <c r="AA769" s="243"/>
      <c r="AB769" s="243"/>
    </row>
    <row r="770">
      <c r="A770" s="243"/>
      <c r="B770" s="244"/>
      <c r="C770" s="243"/>
      <c r="D770" s="243"/>
      <c r="E770" s="243"/>
      <c r="F770" s="243"/>
      <c r="G770" s="243"/>
      <c r="H770" s="245"/>
      <c r="I770" s="245"/>
      <c r="J770" s="243"/>
      <c r="K770" s="243"/>
      <c r="L770" s="243"/>
      <c r="M770" s="243"/>
      <c r="N770" s="243"/>
      <c r="O770" s="244"/>
      <c r="P770" s="243"/>
      <c r="Q770" s="244"/>
      <c r="R770" s="243"/>
      <c r="S770" s="244"/>
      <c r="T770" s="243"/>
      <c r="U770" s="244"/>
      <c r="V770" s="246"/>
      <c r="W770" s="244"/>
      <c r="X770" s="243"/>
      <c r="Y770" s="244"/>
      <c r="Z770" s="243"/>
      <c r="AA770" s="243"/>
      <c r="AB770" s="243"/>
    </row>
    <row r="771">
      <c r="A771" s="243"/>
      <c r="B771" s="244"/>
      <c r="C771" s="243"/>
      <c r="D771" s="243"/>
      <c r="E771" s="243"/>
      <c r="F771" s="243"/>
      <c r="G771" s="243"/>
      <c r="H771" s="245"/>
      <c r="I771" s="245"/>
      <c r="J771" s="243"/>
      <c r="K771" s="243"/>
      <c r="L771" s="243"/>
      <c r="M771" s="243"/>
      <c r="N771" s="243"/>
      <c r="O771" s="244"/>
      <c r="P771" s="243"/>
      <c r="Q771" s="244"/>
      <c r="R771" s="243"/>
      <c r="S771" s="244"/>
      <c r="T771" s="243"/>
      <c r="U771" s="244"/>
      <c r="V771" s="246"/>
      <c r="W771" s="244"/>
      <c r="X771" s="243"/>
      <c r="Y771" s="244"/>
      <c r="Z771" s="243"/>
      <c r="AA771" s="243"/>
      <c r="AB771" s="243"/>
    </row>
    <row r="772">
      <c r="A772" s="243"/>
      <c r="B772" s="244"/>
      <c r="C772" s="243"/>
      <c r="D772" s="243"/>
      <c r="E772" s="243"/>
      <c r="F772" s="243"/>
      <c r="G772" s="243"/>
      <c r="H772" s="245"/>
      <c r="I772" s="245"/>
      <c r="J772" s="243"/>
      <c r="K772" s="243"/>
      <c r="L772" s="243"/>
      <c r="M772" s="243"/>
      <c r="N772" s="243"/>
      <c r="O772" s="244"/>
      <c r="P772" s="243"/>
      <c r="Q772" s="244"/>
      <c r="R772" s="243"/>
      <c r="S772" s="244"/>
      <c r="T772" s="243"/>
      <c r="U772" s="244"/>
      <c r="V772" s="246"/>
      <c r="W772" s="244"/>
      <c r="X772" s="243"/>
      <c r="Y772" s="244"/>
      <c r="Z772" s="243"/>
      <c r="AA772" s="243"/>
      <c r="AB772" s="243"/>
    </row>
    <row r="773">
      <c r="A773" s="243"/>
      <c r="B773" s="244"/>
      <c r="C773" s="243"/>
      <c r="D773" s="243"/>
      <c r="E773" s="243"/>
      <c r="F773" s="243"/>
      <c r="G773" s="243"/>
      <c r="H773" s="245"/>
      <c r="I773" s="245"/>
      <c r="J773" s="243"/>
      <c r="K773" s="243"/>
      <c r="L773" s="243"/>
      <c r="M773" s="243"/>
      <c r="N773" s="243"/>
      <c r="O773" s="244"/>
      <c r="P773" s="243"/>
      <c r="Q773" s="244"/>
      <c r="R773" s="243"/>
      <c r="S773" s="244"/>
      <c r="T773" s="243"/>
      <c r="U773" s="244"/>
      <c r="V773" s="246"/>
      <c r="W773" s="244"/>
      <c r="X773" s="243"/>
      <c r="Y773" s="244"/>
      <c r="Z773" s="243"/>
      <c r="AA773" s="243"/>
      <c r="AB773" s="243"/>
    </row>
    <row r="774">
      <c r="A774" s="243"/>
      <c r="B774" s="244"/>
      <c r="C774" s="243"/>
      <c r="D774" s="243"/>
      <c r="E774" s="243"/>
      <c r="F774" s="243"/>
      <c r="G774" s="243"/>
      <c r="H774" s="245"/>
      <c r="I774" s="245"/>
      <c r="J774" s="243"/>
      <c r="K774" s="243"/>
      <c r="L774" s="243"/>
      <c r="M774" s="243"/>
      <c r="N774" s="243"/>
      <c r="O774" s="244"/>
      <c r="P774" s="243"/>
      <c r="Q774" s="244"/>
      <c r="R774" s="243"/>
      <c r="S774" s="244"/>
      <c r="T774" s="243"/>
      <c r="U774" s="244"/>
      <c r="V774" s="246"/>
      <c r="W774" s="244"/>
      <c r="X774" s="243"/>
      <c r="Y774" s="244"/>
      <c r="Z774" s="243"/>
      <c r="AA774" s="243"/>
      <c r="AB774" s="243"/>
    </row>
    <row r="775">
      <c r="A775" s="243"/>
      <c r="B775" s="244"/>
      <c r="C775" s="243"/>
      <c r="D775" s="243"/>
      <c r="E775" s="243"/>
      <c r="F775" s="243"/>
      <c r="G775" s="243"/>
      <c r="H775" s="245"/>
      <c r="I775" s="245"/>
      <c r="J775" s="243"/>
      <c r="K775" s="243"/>
      <c r="L775" s="243"/>
      <c r="M775" s="243"/>
      <c r="N775" s="243"/>
      <c r="O775" s="244"/>
      <c r="P775" s="243"/>
      <c r="Q775" s="244"/>
      <c r="R775" s="243"/>
      <c r="S775" s="244"/>
      <c r="T775" s="243"/>
      <c r="U775" s="244"/>
      <c r="V775" s="246"/>
      <c r="W775" s="244"/>
      <c r="X775" s="243"/>
      <c r="Y775" s="244"/>
      <c r="Z775" s="243"/>
      <c r="AA775" s="243"/>
      <c r="AB775" s="243"/>
    </row>
    <row r="776">
      <c r="A776" s="243"/>
      <c r="B776" s="244"/>
      <c r="C776" s="243"/>
      <c r="D776" s="243"/>
      <c r="E776" s="243"/>
      <c r="F776" s="243"/>
      <c r="G776" s="243"/>
      <c r="H776" s="245"/>
      <c r="I776" s="245"/>
      <c r="J776" s="243"/>
      <c r="K776" s="243"/>
      <c r="L776" s="243"/>
      <c r="M776" s="243"/>
      <c r="N776" s="243"/>
      <c r="O776" s="244"/>
      <c r="P776" s="243"/>
      <c r="Q776" s="244"/>
      <c r="R776" s="243"/>
      <c r="S776" s="244"/>
      <c r="T776" s="243"/>
      <c r="U776" s="244"/>
      <c r="V776" s="246"/>
      <c r="W776" s="244"/>
      <c r="X776" s="243"/>
      <c r="Y776" s="244"/>
      <c r="Z776" s="243"/>
      <c r="AA776" s="243"/>
      <c r="AB776" s="243"/>
    </row>
    <row r="777">
      <c r="A777" s="243"/>
      <c r="B777" s="244"/>
      <c r="C777" s="243"/>
      <c r="D777" s="243"/>
      <c r="E777" s="243"/>
      <c r="F777" s="243"/>
      <c r="G777" s="243"/>
      <c r="H777" s="245"/>
      <c r="I777" s="245"/>
      <c r="J777" s="243"/>
      <c r="K777" s="243"/>
      <c r="L777" s="243"/>
      <c r="M777" s="243"/>
      <c r="N777" s="243"/>
      <c r="O777" s="244"/>
      <c r="P777" s="243"/>
      <c r="Q777" s="244"/>
      <c r="R777" s="243"/>
      <c r="S777" s="244"/>
      <c r="T777" s="243"/>
      <c r="U777" s="244"/>
      <c r="V777" s="246"/>
      <c r="W777" s="244"/>
      <c r="X777" s="243"/>
      <c r="Y777" s="244"/>
      <c r="Z777" s="243"/>
      <c r="AA777" s="243"/>
      <c r="AB777" s="243"/>
    </row>
    <row r="778">
      <c r="A778" s="243"/>
      <c r="B778" s="244"/>
      <c r="C778" s="243"/>
      <c r="D778" s="243"/>
      <c r="E778" s="243"/>
      <c r="F778" s="243"/>
      <c r="G778" s="243"/>
      <c r="H778" s="245"/>
      <c r="I778" s="245"/>
      <c r="J778" s="243"/>
      <c r="K778" s="243"/>
      <c r="L778" s="243"/>
      <c r="M778" s="243"/>
      <c r="N778" s="243"/>
      <c r="O778" s="244"/>
      <c r="P778" s="243"/>
      <c r="Q778" s="244"/>
      <c r="R778" s="243"/>
      <c r="S778" s="244"/>
      <c r="T778" s="243"/>
      <c r="U778" s="244"/>
      <c r="V778" s="246"/>
      <c r="W778" s="244"/>
      <c r="X778" s="243"/>
      <c r="Y778" s="244"/>
      <c r="Z778" s="243"/>
      <c r="AA778" s="243"/>
      <c r="AB778" s="243"/>
    </row>
    <row r="779">
      <c r="A779" s="243"/>
      <c r="B779" s="244"/>
      <c r="C779" s="243"/>
      <c r="D779" s="243"/>
      <c r="E779" s="243"/>
      <c r="F779" s="243"/>
      <c r="G779" s="243"/>
      <c r="H779" s="245"/>
      <c r="I779" s="245"/>
      <c r="J779" s="243"/>
      <c r="K779" s="243"/>
      <c r="L779" s="243"/>
      <c r="M779" s="243"/>
      <c r="N779" s="243"/>
      <c r="O779" s="244"/>
      <c r="P779" s="243"/>
      <c r="Q779" s="244"/>
      <c r="R779" s="243"/>
      <c r="S779" s="244"/>
      <c r="T779" s="243"/>
      <c r="U779" s="244"/>
      <c r="V779" s="246"/>
      <c r="W779" s="244"/>
      <c r="X779" s="243"/>
      <c r="Y779" s="244"/>
      <c r="Z779" s="243"/>
      <c r="AA779" s="243"/>
      <c r="AB779" s="243"/>
    </row>
    <row r="780">
      <c r="A780" s="243"/>
      <c r="B780" s="244"/>
      <c r="C780" s="243"/>
      <c r="D780" s="243"/>
      <c r="E780" s="243"/>
      <c r="F780" s="243"/>
      <c r="G780" s="243"/>
      <c r="H780" s="245"/>
      <c r="I780" s="245"/>
      <c r="J780" s="243"/>
      <c r="K780" s="243"/>
      <c r="L780" s="243"/>
      <c r="M780" s="243"/>
      <c r="N780" s="243"/>
      <c r="O780" s="244"/>
      <c r="P780" s="243"/>
      <c r="Q780" s="244"/>
      <c r="R780" s="243"/>
      <c r="S780" s="244"/>
      <c r="T780" s="243"/>
      <c r="U780" s="244"/>
      <c r="V780" s="246"/>
      <c r="W780" s="244"/>
      <c r="X780" s="243"/>
      <c r="Y780" s="244"/>
      <c r="Z780" s="243"/>
      <c r="AA780" s="243"/>
      <c r="AB780" s="243"/>
    </row>
    <row r="781">
      <c r="A781" s="243"/>
      <c r="B781" s="244"/>
      <c r="C781" s="243"/>
      <c r="D781" s="243"/>
      <c r="E781" s="243"/>
      <c r="F781" s="243"/>
      <c r="G781" s="243"/>
      <c r="H781" s="245"/>
      <c r="I781" s="245"/>
      <c r="J781" s="243"/>
      <c r="K781" s="243"/>
      <c r="L781" s="243"/>
      <c r="M781" s="243"/>
      <c r="N781" s="243"/>
      <c r="O781" s="244"/>
      <c r="P781" s="243"/>
      <c r="Q781" s="244"/>
      <c r="R781" s="243"/>
      <c r="S781" s="244"/>
      <c r="T781" s="243"/>
      <c r="U781" s="244"/>
      <c r="V781" s="246"/>
      <c r="W781" s="244"/>
      <c r="X781" s="243"/>
      <c r="Y781" s="244"/>
      <c r="Z781" s="243"/>
      <c r="AA781" s="243"/>
      <c r="AB781" s="243"/>
    </row>
    <row r="782">
      <c r="A782" s="243"/>
      <c r="B782" s="244"/>
      <c r="C782" s="243"/>
      <c r="D782" s="243"/>
      <c r="E782" s="243"/>
      <c r="F782" s="243"/>
      <c r="G782" s="243"/>
      <c r="H782" s="245"/>
      <c r="I782" s="245"/>
      <c r="J782" s="243"/>
      <c r="K782" s="243"/>
      <c r="L782" s="243"/>
      <c r="M782" s="243"/>
      <c r="N782" s="243"/>
      <c r="O782" s="244"/>
      <c r="P782" s="243"/>
      <c r="Q782" s="244"/>
      <c r="R782" s="243"/>
      <c r="S782" s="244"/>
      <c r="T782" s="243"/>
      <c r="U782" s="244"/>
      <c r="V782" s="246"/>
      <c r="W782" s="244"/>
      <c r="X782" s="243"/>
      <c r="Y782" s="244"/>
      <c r="Z782" s="243"/>
      <c r="AA782" s="243"/>
      <c r="AB782" s="243"/>
    </row>
    <row r="783">
      <c r="A783" s="243"/>
      <c r="B783" s="244"/>
      <c r="C783" s="243"/>
      <c r="D783" s="243"/>
      <c r="E783" s="243"/>
      <c r="F783" s="243"/>
      <c r="G783" s="243"/>
      <c r="H783" s="245"/>
      <c r="I783" s="245"/>
      <c r="J783" s="243"/>
      <c r="K783" s="243"/>
      <c r="L783" s="243"/>
      <c r="M783" s="243"/>
      <c r="N783" s="243"/>
      <c r="O783" s="244"/>
      <c r="P783" s="243"/>
      <c r="Q783" s="244"/>
      <c r="R783" s="243"/>
      <c r="S783" s="244"/>
      <c r="T783" s="243"/>
      <c r="U783" s="244"/>
      <c r="V783" s="246"/>
      <c r="W783" s="244"/>
      <c r="X783" s="243"/>
      <c r="Y783" s="244"/>
      <c r="Z783" s="243"/>
      <c r="AA783" s="243"/>
      <c r="AB783" s="243"/>
    </row>
    <row r="784">
      <c r="A784" s="243"/>
      <c r="B784" s="244"/>
      <c r="C784" s="243"/>
      <c r="D784" s="243"/>
      <c r="E784" s="243"/>
      <c r="F784" s="243"/>
      <c r="G784" s="243"/>
      <c r="H784" s="245"/>
      <c r="I784" s="245"/>
      <c r="J784" s="243"/>
      <c r="K784" s="243"/>
      <c r="L784" s="243"/>
      <c r="M784" s="243"/>
      <c r="N784" s="243"/>
      <c r="O784" s="244"/>
      <c r="P784" s="243"/>
      <c r="Q784" s="244"/>
      <c r="R784" s="243"/>
      <c r="S784" s="244"/>
      <c r="T784" s="243"/>
      <c r="U784" s="244"/>
      <c r="V784" s="246"/>
      <c r="W784" s="244"/>
      <c r="X784" s="243"/>
      <c r="Y784" s="244"/>
      <c r="Z784" s="243"/>
      <c r="AA784" s="243"/>
      <c r="AB784" s="243"/>
    </row>
    <row r="785">
      <c r="A785" s="243"/>
      <c r="B785" s="244"/>
      <c r="C785" s="243"/>
      <c r="D785" s="243"/>
      <c r="E785" s="243"/>
      <c r="F785" s="243"/>
      <c r="G785" s="243"/>
      <c r="H785" s="245"/>
      <c r="I785" s="245"/>
      <c r="J785" s="243"/>
      <c r="K785" s="243"/>
      <c r="L785" s="243"/>
      <c r="M785" s="243"/>
      <c r="N785" s="243"/>
      <c r="O785" s="244"/>
      <c r="P785" s="243"/>
      <c r="Q785" s="244"/>
      <c r="R785" s="243"/>
      <c r="S785" s="244"/>
      <c r="T785" s="243"/>
      <c r="U785" s="244"/>
      <c r="V785" s="246"/>
      <c r="W785" s="244"/>
      <c r="X785" s="243"/>
      <c r="Y785" s="244"/>
      <c r="Z785" s="243"/>
      <c r="AA785" s="243"/>
      <c r="AB785" s="243"/>
    </row>
    <row r="786">
      <c r="A786" s="243"/>
      <c r="B786" s="244"/>
      <c r="C786" s="243"/>
      <c r="D786" s="243"/>
      <c r="E786" s="243"/>
      <c r="F786" s="243"/>
      <c r="G786" s="243"/>
      <c r="H786" s="245"/>
      <c r="I786" s="245"/>
      <c r="J786" s="243"/>
      <c r="K786" s="243"/>
      <c r="L786" s="243"/>
      <c r="M786" s="243"/>
      <c r="N786" s="243"/>
      <c r="O786" s="244"/>
      <c r="P786" s="243"/>
      <c r="Q786" s="244"/>
      <c r="R786" s="243"/>
      <c r="S786" s="244"/>
      <c r="T786" s="243"/>
      <c r="U786" s="244"/>
      <c r="V786" s="246"/>
      <c r="W786" s="244"/>
      <c r="X786" s="243"/>
      <c r="Y786" s="244"/>
      <c r="Z786" s="243"/>
      <c r="AA786" s="243"/>
      <c r="AB786" s="243"/>
    </row>
    <row r="787">
      <c r="A787" s="243"/>
      <c r="B787" s="244"/>
      <c r="C787" s="243"/>
      <c r="D787" s="243"/>
      <c r="E787" s="243"/>
      <c r="F787" s="243"/>
      <c r="G787" s="243"/>
      <c r="H787" s="245"/>
      <c r="I787" s="245"/>
      <c r="J787" s="243"/>
      <c r="K787" s="243"/>
      <c r="L787" s="243"/>
      <c r="M787" s="243"/>
      <c r="N787" s="243"/>
      <c r="O787" s="244"/>
      <c r="P787" s="243"/>
      <c r="Q787" s="244"/>
      <c r="R787" s="243"/>
      <c r="S787" s="244"/>
      <c r="T787" s="243"/>
      <c r="U787" s="244"/>
      <c r="V787" s="246"/>
      <c r="W787" s="244"/>
      <c r="X787" s="243"/>
      <c r="Y787" s="244"/>
      <c r="Z787" s="243"/>
      <c r="AA787" s="243"/>
      <c r="AB787" s="243"/>
    </row>
    <row r="788">
      <c r="A788" s="243"/>
      <c r="B788" s="244"/>
      <c r="C788" s="243"/>
      <c r="D788" s="243"/>
      <c r="E788" s="243"/>
      <c r="F788" s="243"/>
      <c r="G788" s="243"/>
      <c r="H788" s="245"/>
      <c r="I788" s="245"/>
      <c r="J788" s="243"/>
      <c r="K788" s="243"/>
      <c r="L788" s="243"/>
      <c r="M788" s="243"/>
      <c r="N788" s="243"/>
      <c r="O788" s="244"/>
      <c r="P788" s="243"/>
      <c r="Q788" s="244"/>
      <c r="R788" s="243"/>
      <c r="S788" s="244"/>
      <c r="T788" s="243"/>
      <c r="U788" s="244"/>
      <c r="V788" s="246"/>
      <c r="W788" s="244"/>
      <c r="X788" s="243"/>
      <c r="Y788" s="244"/>
      <c r="Z788" s="243"/>
      <c r="AA788" s="243"/>
      <c r="AB788" s="243"/>
    </row>
    <row r="789">
      <c r="A789" s="243"/>
      <c r="B789" s="244"/>
      <c r="C789" s="243"/>
      <c r="D789" s="243"/>
      <c r="E789" s="243"/>
      <c r="F789" s="243"/>
      <c r="G789" s="243"/>
      <c r="H789" s="245"/>
      <c r="I789" s="245"/>
      <c r="J789" s="243"/>
      <c r="K789" s="243"/>
      <c r="L789" s="243"/>
      <c r="M789" s="243"/>
      <c r="N789" s="243"/>
      <c r="O789" s="244"/>
      <c r="P789" s="243"/>
      <c r="Q789" s="244"/>
      <c r="R789" s="243"/>
      <c r="S789" s="244"/>
      <c r="T789" s="243"/>
      <c r="U789" s="244"/>
      <c r="V789" s="246"/>
      <c r="W789" s="244"/>
      <c r="X789" s="243"/>
      <c r="Y789" s="244"/>
      <c r="Z789" s="243"/>
      <c r="AA789" s="243"/>
      <c r="AB789" s="243"/>
    </row>
    <row r="790">
      <c r="A790" s="243"/>
      <c r="B790" s="244"/>
      <c r="C790" s="243"/>
      <c r="D790" s="243"/>
      <c r="E790" s="243"/>
      <c r="F790" s="243"/>
      <c r="G790" s="243"/>
      <c r="H790" s="245"/>
      <c r="I790" s="245"/>
      <c r="J790" s="243"/>
      <c r="K790" s="243"/>
      <c r="L790" s="243"/>
      <c r="M790" s="243"/>
      <c r="N790" s="243"/>
      <c r="O790" s="244"/>
      <c r="P790" s="243"/>
      <c r="Q790" s="244"/>
      <c r="R790" s="243"/>
      <c r="S790" s="244"/>
      <c r="T790" s="243"/>
      <c r="U790" s="244"/>
      <c r="V790" s="246"/>
      <c r="W790" s="244"/>
      <c r="X790" s="243"/>
      <c r="Y790" s="244"/>
      <c r="Z790" s="243"/>
      <c r="AA790" s="243"/>
      <c r="AB790" s="243"/>
    </row>
    <row r="791">
      <c r="A791" s="243"/>
      <c r="B791" s="244"/>
      <c r="C791" s="243"/>
      <c r="D791" s="243"/>
      <c r="E791" s="243"/>
      <c r="F791" s="243"/>
      <c r="G791" s="243"/>
      <c r="H791" s="245"/>
      <c r="I791" s="245"/>
      <c r="J791" s="243"/>
      <c r="K791" s="243"/>
      <c r="L791" s="243"/>
      <c r="M791" s="243"/>
      <c r="N791" s="243"/>
      <c r="O791" s="244"/>
      <c r="P791" s="243"/>
      <c r="Q791" s="244"/>
      <c r="R791" s="243"/>
      <c r="S791" s="244"/>
      <c r="T791" s="243"/>
      <c r="U791" s="244"/>
      <c r="V791" s="246"/>
      <c r="W791" s="244"/>
      <c r="X791" s="243"/>
      <c r="Y791" s="244"/>
      <c r="Z791" s="243"/>
      <c r="AA791" s="243"/>
      <c r="AB791" s="243"/>
    </row>
    <row r="792">
      <c r="A792" s="243"/>
      <c r="B792" s="244"/>
      <c r="C792" s="243"/>
      <c r="D792" s="243"/>
      <c r="E792" s="243"/>
      <c r="F792" s="243"/>
      <c r="G792" s="243"/>
      <c r="H792" s="245"/>
      <c r="I792" s="245"/>
      <c r="J792" s="243"/>
      <c r="K792" s="243"/>
      <c r="L792" s="243"/>
      <c r="M792" s="243"/>
      <c r="N792" s="243"/>
      <c r="O792" s="244"/>
      <c r="P792" s="243"/>
      <c r="Q792" s="244"/>
      <c r="R792" s="243"/>
      <c r="S792" s="244"/>
      <c r="T792" s="243"/>
      <c r="U792" s="244"/>
      <c r="V792" s="246"/>
      <c r="W792" s="244"/>
      <c r="X792" s="243"/>
      <c r="Y792" s="244"/>
      <c r="Z792" s="243"/>
      <c r="AA792" s="243"/>
      <c r="AB792" s="243"/>
    </row>
    <row r="793">
      <c r="A793" s="243"/>
      <c r="B793" s="244"/>
      <c r="C793" s="243"/>
      <c r="D793" s="243"/>
      <c r="E793" s="243"/>
      <c r="F793" s="243"/>
      <c r="G793" s="243"/>
      <c r="H793" s="245"/>
      <c r="I793" s="245"/>
      <c r="J793" s="243"/>
      <c r="K793" s="243"/>
      <c r="L793" s="243"/>
      <c r="M793" s="243"/>
      <c r="N793" s="243"/>
      <c r="O793" s="244"/>
      <c r="P793" s="243"/>
      <c r="Q793" s="244"/>
      <c r="R793" s="243"/>
      <c r="S793" s="244"/>
      <c r="T793" s="243"/>
      <c r="U793" s="244"/>
      <c r="V793" s="246"/>
      <c r="W793" s="244"/>
      <c r="X793" s="243"/>
      <c r="Y793" s="244"/>
      <c r="Z793" s="243"/>
      <c r="AA793" s="243"/>
      <c r="AB793" s="243"/>
    </row>
    <row r="794">
      <c r="A794" s="243"/>
      <c r="B794" s="244"/>
      <c r="C794" s="243"/>
      <c r="D794" s="243"/>
      <c r="E794" s="243"/>
      <c r="F794" s="243"/>
      <c r="G794" s="243"/>
      <c r="H794" s="245"/>
      <c r="I794" s="245"/>
      <c r="J794" s="243"/>
      <c r="K794" s="243"/>
      <c r="L794" s="243"/>
      <c r="M794" s="243"/>
      <c r="N794" s="243"/>
      <c r="O794" s="244"/>
      <c r="P794" s="243"/>
      <c r="Q794" s="244"/>
      <c r="R794" s="243"/>
      <c r="S794" s="244"/>
      <c r="T794" s="243"/>
      <c r="U794" s="244"/>
      <c r="V794" s="246"/>
      <c r="W794" s="244"/>
      <c r="X794" s="243"/>
      <c r="Y794" s="244"/>
      <c r="Z794" s="243"/>
      <c r="AA794" s="243"/>
      <c r="AB794" s="243"/>
    </row>
    <row r="795">
      <c r="A795" s="243"/>
      <c r="B795" s="244"/>
      <c r="C795" s="243"/>
      <c r="D795" s="243"/>
      <c r="E795" s="243"/>
      <c r="F795" s="243"/>
      <c r="G795" s="243"/>
      <c r="H795" s="245"/>
      <c r="I795" s="245"/>
      <c r="J795" s="243"/>
      <c r="K795" s="243"/>
      <c r="L795" s="243"/>
      <c r="M795" s="243"/>
      <c r="N795" s="243"/>
      <c r="O795" s="244"/>
      <c r="P795" s="243"/>
      <c r="Q795" s="244"/>
      <c r="R795" s="243"/>
      <c r="S795" s="244"/>
      <c r="T795" s="243"/>
      <c r="U795" s="244"/>
      <c r="V795" s="246"/>
      <c r="W795" s="244"/>
      <c r="X795" s="243"/>
      <c r="Y795" s="244"/>
      <c r="Z795" s="243"/>
      <c r="AA795" s="243"/>
      <c r="AB795" s="243"/>
    </row>
    <row r="796">
      <c r="A796" s="243"/>
      <c r="B796" s="244"/>
      <c r="C796" s="243"/>
      <c r="D796" s="243"/>
      <c r="E796" s="243"/>
      <c r="F796" s="243"/>
      <c r="G796" s="243"/>
      <c r="H796" s="245"/>
      <c r="I796" s="245"/>
      <c r="J796" s="243"/>
      <c r="K796" s="243"/>
      <c r="L796" s="243"/>
      <c r="M796" s="243"/>
      <c r="N796" s="243"/>
      <c r="O796" s="244"/>
      <c r="P796" s="243"/>
      <c r="Q796" s="244"/>
      <c r="R796" s="243"/>
      <c r="S796" s="244"/>
      <c r="T796" s="243"/>
      <c r="U796" s="244"/>
      <c r="V796" s="246"/>
      <c r="W796" s="244"/>
      <c r="X796" s="243"/>
      <c r="Y796" s="244"/>
      <c r="Z796" s="243"/>
      <c r="AA796" s="243"/>
      <c r="AB796" s="243"/>
    </row>
    <row r="797">
      <c r="A797" s="243"/>
      <c r="B797" s="244"/>
      <c r="C797" s="243"/>
      <c r="D797" s="243"/>
      <c r="E797" s="243"/>
      <c r="F797" s="243"/>
      <c r="G797" s="243"/>
      <c r="H797" s="245"/>
      <c r="I797" s="245"/>
      <c r="J797" s="243"/>
      <c r="K797" s="243"/>
      <c r="L797" s="243"/>
      <c r="M797" s="243"/>
      <c r="N797" s="243"/>
      <c r="O797" s="244"/>
      <c r="P797" s="243"/>
      <c r="Q797" s="244"/>
      <c r="R797" s="243"/>
      <c r="S797" s="244"/>
      <c r="T797" s="243"/>
      <c r="U797" s="244"/>
      <c r="V797" s="246"/>
      <c r="W797" s="244"/>
      <c r="X797" s="243"/>
      <c r="Y797" s="244"/>
      <c r="Z797" s="243"/>
      <c r="AA797" s="243"/>
      <c r="AB797" s="243"/>
    </row>
    <row r="798">
      <c r="A798" s="243"/>
      <c r="B798" s="244"/>
      <c r="C798" s="243"/>
      <c r="D798" s="243"/>
      <c r="E798" s="243"/>
      <c r="F798" s="243"/>
      <c r="G798" s="243"/>
      <c r="H798" s="245"/>
      <c r="I798" s="245"/>
      <c r="J798" s="243"/>
      <c r="K798" s="243"/>
      <c r="L798" s="243"/>
      <c r="M798" s="243"/>
      <c r="N798" s="243"/>
      <c r="O798" s="244"/>
      <c r="P798" s="243"/>
      <c r="Q798" s="244"/>
      <c r="R798" s="243"/>
      <c r="S798" s="244"/>
      <c r="T798" s="243"/>
      <c r="U798" s="244"/>
      <c r="V798" s="246"/>
      <c r="W798" s="244"/>
      <c r="X798" s="243"/>
      <c r="Y798" s="244"/>
      <c r="Z798" s="243"/>
      <c r="AA798" s="243"/>
      <c r="AB798" s="243"/>
    </row>
    <row r="799">
      <c r="A799" s="243"/>
      <c r="B799" s="244"/>
      <c r="C799" s="243"/>
      <c r="D799" s="243"/>
      <c r="E799" s="243"/>
      <c r="F799" s="243"/>
      <c r="G799" s="243"/>
      <c r="H799" s="245"/>
      <c r="I799" s="245"/>
      <c r="J799" s="243"/>
      <c r="K799" s="243"/>
      <c r="L799" s="243"/>
      <c r="M799" s="243"/>
      <c r="N799" s="243"/>
      <c r="O799" s="244"/>
      <c r="P799" s="243"/>
      <c r="Q799" s="244"/>
      <c r="R799" s="243"/>
      <c r="S799" s="244"/>
      <c r="T799" s="243"/>
      <c r="U799" s="244"/>
      <c r="V799" s="246"/>
      <c r="W799" s="244"/>
      <c r="X799" s="243"/>
      <c r="Y799" s="244"/>
      <c r="Z799" s="243"/>
      <c r="AA799" s="243"/>
      <c r="AB799" s="243"/>
    </row>
    <row r="800">
      <c r="A800" s="243"/>
      <c r="B800" s="244"/>
      <c r="C800" s="243"/>
      <c r="D800" s="243"/>
      <c r="E800" s="243"/>
      <c r="F800" s="243"/>
      <c r="G800" s="243"/>
      <c r="H800" s="245"/>
      <c r="I800" s="245"/>
      <c r="J800" s="243"/>
      <c r="K800" s="243"/>
      <c r="L800" s="243"/>
      <c r="M800" s="243"/>
      <c r="N800" s="243"/>
      <c r="O800" s="244"/>
      <c r="P800" s="243"/>
      <c r="Q800" s="244"/>
      <c r="R800" s="243"/>
      <c r="S800" s="244"/>
      <c r="T800" s="243"/>
      <c r="U800" s="244"/>
      <c r="V800" s="246"/>
      <c r="W800" s="244"/>
      <c r="X800" s="243"/>
      <c r="Y800" s="244"/>
      <c r="Z800" s="243"/>
      <c r="AA800" s="243"/>
      <c r="AB800" s="243"/>
    </row>
    <row r="801">
      <c r="A801" s="243"/>
      <c r="B801" s="244"/>
      <c r="C801" s="243"/>
      <c r="D801" s="243"/>
      <c r="E801" s="243"/>
      <c r="F801" s="243"/>
      <c r="G801" s="243"/>
      <c r="H801" s="245"/>
      <c r="I801" s="245"/>
      <c r="J801" s="243"/>
      <c r="K801" s="243"/>
      <c r="L801" s="243"/>
      <c r="M801" s="243"/>
      <c r="N801" s="243"/>
      <c r="O801" s="244"/>
      <c r="P801" s="243"/>
      <c r="Q801" s="244"/>
      <c r="R801" s="243"/>
      <c r="S801" s="244"/>
      <c r="T801" s="243"/>
      <c r="U801" s="244"/>
      <c r="V801" s="246"/>
      <c r="W801" s="244"/>
      <c r="X801" s="243"/>
      <c r="Y801" s="244"/>
      <c r="Z801" s="243"/>
      <c r="AA801" s="243"/>
      <c r="AB801" s="243"/>
    </row>
    <row r="802">
      <c r="A802" s="243"/>
      <c r="B802" s="244"/>
      <c r="C802" s="243"/>
      <c r="D802" s="243"/>
      <c r="E802" s="243"/>
      <c r="F802" s="243"/>
      <c r="G802" s="243"/>
      <c r="H802" s="245"/>
      <c r="I802" s="245"/>
      <c r="J802" s="243"/>
      <c r="K802" s="243"/>
      <c r="L802" s="243"/>
      <c r="M802" s="243"/>
      <c r="N802" s="243"/>
      <c r="O802" s="244"/>
      <c r="P802" s="243"/>
      <c r="Q802" s="244"/>
      <c r="R802" s="243"/>
      <c r="S802" s="244"/>
      <c r="T802" s="243"/>
      <c r="U802" s="244"/>
      <c r="V802" s="246"/>
      <c r="W802" s="244"/>
      <c r="X802" s="243"/>
      <c r="Y802" s="244"/>
      <c r="Z802" s="243"/>
      <c r="AA802" s="243"/>
      <c r="AB802" s="243"/>
    </row>
    <row r="803">
      <c r="A803" s="243"/>
      <c r="B803" s="244"/>
      <c r="C803" s="243"/>
      <c r="D803" s="243"/>
      <c r="E803" s="243"/>
      <c r="F803" s="243"/>
      <c r="G803" s="243"/>
      <c r="H803" s="245"/>
      <c r="I803" s="245"/>
      <c r="J803" s="243"/>
      <c r="K803" s="243"/>
      <c r="L803" s="243"/>
      <c r="M803" s="243"/>
      <c r="N803" s="243"/>
      <c r="O803" s="244"/>
      <c r="P803" s="243"/>
      <c r="Q803" s="244"/>
      <c r="R803" s="243"/>
      <c r="S803" s="244"/>
      <c r="T803" s="243"/>
      <c r="U803" s="244"/>
      <c r="V803" s="246"/>
      <c r="W803" s="244"/>
      <c r="X803" s="243"/>
      <c r="Y803" s="244"/>
      <c r="Z803" s="243"/>
      <c r="AA803" s="243"/>
      <c r="AB803" s="243"/>
    </row>
    <row r="804">
      <c r="A804" s="243"/>
      <c r="B804" s="244"/>
      <c r="C804" s="243"/>
      <c r="D804" s="243"/>
      <c r="E804" s="243"/>
      <c r="F804" s="243"/>
      <c r="G804" s="243"/>
      <c r="H804" s="245"/>
      <c r="I804" s="245"/>
      <c r="J804" s="243"/>
      <c r="K804" s="243"/>
      <c r="L804" s="243"/>
      <c r="M804" s="243"/>
      <c r="N804" s="243"/>
      <c r="O804" s="244"/>
      <c r="P804" s="243"/>
      <c r="Q804" s="244"/>
      <c r="R804" s="243"/>
      <c r="S804" s="244"/>
      <c r="T804" s="243"/>
      <c r="U804" s="244"/>
      <c r="V804" s="246"/>
      <c r="W804" s="244"/>
      <c r="X804" s="243"/>
      <c r="Y804" s="244"/>
      <c r="Z804" s="243"/>
      <c r="AA804" s="243"/>
      <c r="AB804" s="243"/>
    </row>
    <row r="805">
      <c r="A805" s="243"/>
      <c r="B805" s="244"/>
      <c r="C805" s="243"/>
      <c r="D805" s="243"/>
      <c r="E805" s="243"/>
      <c r="F805" s="243"/>
      <c r="G805" s="243"/>
      <c r="H805" s="245"/>
      <c r="I805" s="245"/>
      <c r="J805" s="243"/>
      <c r="K805" s="243"/>
      <c r="L805" s="243"/>
      <c r="M805" s="243"/>
      <c r="N805" s="243"/>
      <c r="O805" s="244"/>
      <c r="P805" s="243"/>
      <c r="Q805" s="244"/>
      <c r="R805" s="243"/>
      <c r="S805" s="244"/>
      <c r="T805" s="243"/>
      <c r="U805" s="244"/>
      <c r="V805" s="246"/>
      <c r="W805" s="244"/>
      <c r="X805" s="243"/>
      <c r="Y805" s="244"/>
      <c r="Z805" s="243"/>
      <c r="AA805" s="243"/>
      <c r="AB805" s="243"/>
    </row>
    <row r="806">
      <c r="A806" s="243"/>
      <c r="B806" s="244"/>
      <c r="C806" s="243"/>
      <c r="D806" s="243"/>
      <c r="E806" s="243"/>
      <c r="F806" s="243"/>
      <c r="G806" s="243"/>
      <c r="H806" s="245"/>
      <c r="I806" s="245"/>
      <c r="J806" s="243"/>
      <c r="K806" s="243"/>
      <c r="L806" s="243"/>
      <c r="M806" s="243"/>
      <c r="N806" s="243"/>
      <c r="O806" s="244"/>
      <c r="P806" s="243"/>
      <c r="Q806" s="244"/>
      <c r="R806" s="243"/>
      <c r="S806" s="244"/>
      <c r="T806" s="243"/>
      <c r="U806" s="244"/>
      <c r="V806" s="246"/>
      <c r="W806" s="244"/>
      <c r="X806" s="243"/>
      <c r="Y806" s="244"/>
      <c r="Z806" s="243"/>
      <c r="AA806" s="243"/>
      <c r="AB806" s="243"/>
    </row>
    <row r="807">
      <c r="A807" s="243"/>
      <c r="B807" s="244"/>
      <c r="C807" s="243"/>
      <c r="D807" s="243"/>
      <c r="E807" s="243"/>
      <c r="F807" s="243"/>
      <c r="G807" s="243"/>
      <c r="H807" s="245"/>
      <c r="I807" s="245"/>
      <c r="J807" s="243"/>
      <c r="K807" s="243"/>
      <c r="L807" s="243"/>
      <c r="M807" s="243"/>
      <c r="N807" s="243"/>
      <c r="O807" s="244"/>
      <c r="P807" s="243"/>
      <c r="Q807" s="244"/>
      <c r="R807" s="243"/>
      <c r="S807" s="244"/>
      <c r="T807" s="243"/>
      <c r="U807" s="244"/>
      <c r="V807" s="246"/>
      <c r="W807" s="244"/>
      <c r="X807" s="243"/>
      <c r="Y807" s="244"/>
      <c r="Z807" s="243"/>
      <c r="AA807" s="243"/>
      <c r="AB807" s="243"/>
    </row>
    <row r="808">
      <c r="A808" s="243"/>
      <c r="B808" s="244"/>
      <c r="C808" s="243"/>
      <c r="D808" s="243"/>
      <c r="E808" s="243"/>
      <c r="F808" s="243"/>
      <c r="G808" s="243"/>
      <c r="H808" s="245"/>
      <c r="I808" s="245"/>
      <c r="J808" s="243"/>
      <c r="K808" s="243"/>
      <c r="L808" s="243"/>
      <c r="M808" s="243"/>
      <c r="N808" s="243"/>
      <c r="O808" s="244"/>
      <c r="P808" s="243"/>
      <c r="Q808" s="244"/>
      <c r="R808" s="243"/>
      <c r="S808" s="244"/>
      <c r="T808" s="243"/>
      <c r="U808" s="244"/>
      <c r="V808" s="246"/>
      <c r="W808" s="244"/>
      <c r="X808" s="243"/>
      <c r="Y808" s="244"/>
      <c r="Z808" s="243"/>
      <c r="AA808" s="243"/>
      <c r="AB808" s="243"/>
    </row>
    <row r="809">
      <c r="A809" s="243"/>
      <c r="B809" s="244"/>
      <c r="C809" s="243"/>
      <c r="D809" s="243"/>
      <c r="E809" s="243"/>
      <c r="F809" s="243"/>
      <c r="G809" s="243"/>
      <c r="H809" s="245"/>
      <c r="I809" s="245"/>
      <c r="J809" s="243"/>
      <c r="K809" s="243"/>
      <c r="L809" s="243"/>
      <c r="M809" s="243"/>
      <c r="N809" s="243"/>
      <c r="O809" s="244"/>
      <c r="P809" s="243"/>
      <c r="Q809" s="244"/>
      <c r="R809" s="243"/>
      <c r="S809" s="244"/>
      <c r="T809" s="243"/>
      <c r="U809" s="244"/>
      <c r="V809" s="246"/>
      <c r="W809" s="244"/>
      <c r="X809" s="243"/>
      <c r="Y809" s="244"/>
      <c r="Z809" s="243"/>
      <c r="AA809" s="243"/>
      <c r="AB809" s="243"/>
    </row>
    <row r="810">
      <c r="A810" s="243"/>
      <c r="B810" s="244"/>
      <c r="C810" s="243"/>
      <c r="D810" s="243"/>
      <c r="E810" s="243"/>
      <c r="F810" s="243"/>
      <c r="G810" s="243"/>
      <c r="H810" s="245"/>
      <c r="I810" s="245"/>
      <c r="J810" s="243"/>
      <c r="K810" s="243"/>
      <c r="L810" s="243"/>
      <c r="M810" s="243"/>
      <c r="N810" s="243"/>
      <c r="O810" s="244"/>
      <c r="P810" s="243"/>
      <c r="Q810" s="244"/>
      <c r="R810" s="243"/>
      <c r="S810" s="244"/>
      <c r="T810" s="243"/>
      <c r="U810" s="244"/>
      <c r="V810" s="246"/>
      <c r="W810" s="244"/>
      <c r="X810" s="243"/>
      <c r="Y810" s="244"/>
      <c r="Z810" s="243"/>
      <c r="AA810" s="243"/>
      <c r="AB810" s="243"/>
    </row>
    <row r="811">
      <c r="A811" s="243"/>
      <c r="B811" s="244"/>
      <c r="C811" s="243"/>
      <c r="D811" s="243"/>
      <c r="E811" s="243"/>
      <c r="F811" s="243"/>
      <c r="G811" s="243"/>
      <c r="H811" s="245"/>
      <c r="I811" s="245"/>
      <c r="J811" s="243"/>
      <c r="K811" s="243"/>
      <c r="L811" s="243"/>
      <c r="M811" s="243"/>
      <c r="N811" s="243"/>
      <c r="O811" s="244"/>
      <c r="P811" s="243"/>
      <c r="Q811" s="244"/>
      <c r="R811" s="243"/>
      <c r="S811" s="244"/>
      <c r="T811" s="243"/>
      <c r="U811" s="244"/>
      <c r="V811" s="246"/>
      <c r="W811" s="244"/>
      <c r="X811" s="243"/>
      <c r="Y811" s="244"/>
      <c r="Z811" s="243"/>
      <c r="AA811" s="243"/>
      <c r="AB811" s="243"/>
    </row>
    <row r="812">
      <c r="A812" s="243"/>
      <c r="B812" s="244"/>
      <c r="C812" s="243"/>
      <c r="D812" s="243"/>
      <c r="E812" s="243"/>
      <c r="F812" s="243"/>
      <c r="G812" s="243"/>
      <c r="H812" s="245"/>
      <c r="I812" s="245"/>
      <c r="J812" s="243"/>
      <c r="K812" s="243"/>
      <c r="L812" s="243"/>
      <c r="M812" s="243"/>
      <c r="N812" s="243"/>
      <c r="O812" s="244"/>
      <c r="P812" s="243"/>
      <c r="Q812" s="244"/>
      <c r="R812" s="243"/>
      <c r="S812" s="244"/>
      <c r="T812" s="243"/>
      <c r="U812" s="244"/>
      <c r="V812" s="246"/>
      <c r="W812" s="244"/>
      <c r="X812" s="243"/>
      <c r="Y812" s="244"/>
      <c r="Z812" s="243"/>
      <c r="AA812" s="243"/>
      <c r="AB812" s="243"/>
    </row>
    <row r="813">
      <c r="A813" s="243"/>
      <c r="B813" s="244"/>
      <c r="C813" s="243"/>
      <c r="D813" s="243"/>
      <c r="E813" s="243"/>
      <c r="F813" s="243"/>
      <c r="G813" s="243"/>
      <c r="H813" s="245"/>
      <c r="I813" s="245"/>
      <c r="J813" s="243"/>
      <c r="K813" s="243"/>
      <c r="L813" s="243"/>
      <c r="M813" s="243"/>
      <c r="N813" s="243"/>
      <c r="O813" s="244"/>
      <c r="P813" s="243"/>
      <c r="Q813" s="244"/>
      <c r="R813" s="243"/>
      <c r="S813" s="244"/>
      <c r="T813" s="243"/>
      <c r="U813" s="244"/>
      <c r="V813" s="246"/>
      <c r="W813" s="244"/>
      <c r="X813" s="243"/>
      <c r="Y813" s="244"/>
      <c r="Z813" s="243"/>
      <c r="AA813" s="243"/>
      <c r="AB813" s="243"/>
    </row>
    <row r="814">
      <c r="A814" s="243"/>
      <c r="B814" s="244"/>
      <c r="C814" s="243"/>
      <c r="D814" s="243"/>
      <c r="E814" s="243"/>
      <c r="F814" s="243"/>
      <c r="G814" s="243"/>
      <c r="H814" s="245"/>
      <c r="I814" s="245"/>
      <c r="J814" s="243"/>
      <c r="K814" s="243"/>
      <c r="L814" s="243"/>
      <c r="M814" s="243"/>
      <c r="N814" s="243"/>
      <c r="O814" s="244"/>
      <c r="P814" s="243"/>
      <c r="Q814" s="244"/>
      <c r="R814" s="243"/>
      <c r="S814" s="244"/>
      <c r="T814" s="243"/>
      <c r="U814" s="244"/>
      <c r="V814" s="246"/>
      <c r="W814" s="244"/>
      <c r="X814" s="243"/>
      <c r="Y814" s="244"/>
      <c r="Z814" s="243"/>
      <c r="AA814" s="243"/>
      <c r="AB814" s="243"/>
    </row>
    <row r="815">
      <c r="A815" s="243"/>
      <c r="B815" s="244"/>
      <c r="C815" s="243"/>
      <c r="D815" s="243"/>
      <c r="E815" s="243"/>
      <c r="F815" s="243"/>
      <c r="G815" s="243"/>
      <c r="H815" s="245"/>
      <c r="I815" s="245"/>
      <c r="J815" s="243"/>
      <c r="K815" s="243"/>
      <c r="L815" s="243"/>
      <c r="M815" s="243"/>
      <c r="N815" s="243"/>
      <c r="O815" s="244"/>
      <c r="P815" s="243"/>
      <c r="Q815" s="244"/>
      <c r="R815" s="243"/>
      <c r="S815" s="244"/>
      <c r="T815" s="243"/>
      <c r="U815" s="244"/>
      <c r="V815" s="246"/>
      <c r="W815" s="244"/>
      <c r="X815" s="243"/>
      <c r="Y815" s="244"/>
      <c r="Z815" s="243"/>
      <c r="AA815" s="243"/>
      <c r="AB815" s="243"/>
    </row>
    <row r="816">
      <c r="A816" s="243"/>
      <c r="B816" s="244"/>
      <c r="C816" s="243"/>
      <c r="D816" s="243"/>
      <c r="E816" s="243"/>
      <c r="F816" s="243"/>
      <c r="G816" s="243"/>
      <c r="H816" s="245"/>
      <c r="I816" s="245"/>
      <c r="J816" s="243"/>
      <c r="K816" s="243"/>
      <c r="L816" s="243"/>
      <c r="M816" s="243"/>
      <c r="N816" s="243"/>
      <c r="O816" s="244"/>
      <c r="P816" s="243"/>
      <c r="Q816" s="244"/>
      <c r="R816" s="243"/>
      <c r="S816" s="244"/>
      <c r="T816" s="243"/>
      <c r="U816" s="244"/>
      <c r="V816" s="246"/>
      <c r="W816" s="244"/>
      <c r="X816" s="243"/>
      <c r="Y816" s="244"/>
      <c r="Z816" s="243"/>
      <c r="AA816" s="243"/>
      <c r="AB816" s="243"/>
    </row>
    <row r="817">
      <c r="A817" s="243"/>
      <c r="B817" s="244"/>
      <c r="C817" s="243"/>
      <c r="D817" s="243"/>
      <c r="E817" s="243"/>
      <c r="F817" s="243"/>
      <c r="G817" s="243"/>
      <c r="H817" s="245"/>
      <c r="I817" s="245"/>
      <c r="J817" s="243"/>
      <c r="K817" s="243"/>
      <c r="L817" s="243"/>
      <c r="M817" s="243"/>
      <c r="N817" s="243"/>
      <c r="O817" s="244"/>
      <c r="P817" s="243"/>
      <c r="Q817" s="244"/>
      <c r="R817" s="243"/>
      <c r="S817" s="244"/>
      <c r="T817" s="243"/>
      <c r="U817" s="244"/>
      <c r="V817" s="246"/>
      <c r="W817" s="244"/>
      <c r="X817" s="243"/>
      <c r="Y817" s="244"/>
      <c r="Z817" s="243"/>
      <c r="AA817" s="243"/>
      <c r="AB817" s="243"/>
    </row>
    <row r="818">
      <c r="A818" s="243"/>
      <c r="B818" s="244"/>
      <c r="C818" s="243"/>
      <c r="D818" s="243"/>
      <c r="E818" s="243"/>
      <c r="F818" s="243"/>
      <c r="G818" s="243"/>
      <c r="H818" s="245"/>
      <c r="I818" s="245"/>
      <c r="J818" s="243"/>
      <c r="K818" s="243"/>
      <c r="L818" s="243"/>
      <c r="M818" s="243"/>
      <c r="N818" s="243"/>
      <c r="O818" s="244"/>
      <c r="P818" s="243"/>
      <c r="Q818" s="244"/>
      <c r="R818" s="243"/>
      <c r="S818" s="244"/>
      <c r="T818" s="243"/>
      <c r="U818" s="244"/>
      <c r="V818" s="246"/>
      <c r="W818" s="244"/>
      <c r="X818" s="243"/>
      <c r="Y818" s="244"/>
      <c r="Z818" s="243"/>
      <c r="AA818" s="243"/>
      <c r="AB818" s="243"/>
    </row>
    <row r="819">
      <c r="A819" s="243"/>
      <c r="B819" s="244"/>
      <c r="C819" s="243"/>
      <c r="D819" s="243"/>
      <c r="E819" s="243"/>
      <c r="F819" s="243"/>
      <c r="G819" s="243"/>
      <c r="H819" s="245"/>
      <c r="I819" s="245"/>
      <c r="J819" s="243"/>
      <c r="K819" s="243"/>
      <c r="L819" s="243"/>
      <c r="M819" s="243"/>
      <c r="N819" s="243"/>
      <c r="O819" s="244"/>
      <c r="P819" s="243"/>
      <c r="Q819" s="244"/>
      <c r="R819" s="243"/>
      <c r="S819" s="244"/>
      <c r="T819" s="243"/>
      <c r="U819" s="244"/>
      <c r="V819" s="246"/>
      <c r="W819" s="244"/>
      <c r="X819" s="243"/>
      <c r="Y819" s="244"/>
      <c r="Z819" s="243"/>
      <c r="AA819" s="243"/>
      <c r="AB819" s="243"/>
    </row>
    <row r="820">
      <c r="A820" s="243"/>
      <c r="B820" s="244"/>
      <c r="C820" s="243"/>
      <c r="D820" s="243"/>
      <c r="E820" s="243"/>
      <c r="F820" s="243"/>
      <c r="G820" s="243"/>
      <c r="H820" s="245"/>
      <c r="I820" s="245"/>
      <c r="J820" s="243"/>
      <c r="K820" s="243"/>
      <c r="L820" s="243"/>
      <c r="M820" s="243"/>
      <c r="N820" s="243"/>
      <c r="O820" s="244"/>
      <c r="P820" s="243"/>
      <c r="Q820" s="244"/>
      <c r="R820" s="243"/>
      <c r="S820" s="244"/>
      <c r="T820" s="243"/>
      <c r="U820" s="244"/>
      <c r="V820" s="246"/>
      <c r="W820" s="244"/>
      <c r="X820" s="243"/>
      <c r="Y820" s="244"/>
      <c r="Z820" s="243"/>
      <c r="AA820" s="243"/>
      <c r="AB820" s="243"/>
    </row>
    <row r="821">
      <c r="A821" s="243"/>
      <c r="B821" s="244"/>
      <c r="C821" s="243"/>
      <c r="D821" s="243"/>
      <c r="E821" s="243"/>
      <c r="F821" s="243"/>
      <c r="G821" s="243"/>
      <c r="H821" s="245"/>
      <c r="I821" s="245"/>
      <c r="J821" s="243"/>
      <c r="K821" s="243"/>
      <c r="L821" s="243"/>
      <c r="M821" s="243"/>
      <c r="N821" s="243"/>
      <c r="O821" s="244"/>
      <c r="P821" s="243"/>
      <c r="Q821" s="244"/>
      <c r="R821" s="243"/>
      <c r="S821" s="244"/>
      <c r="T821" s="243"/>
      <c r="U821" s="244"/>
      <c r="V821" s="246"/>
      <c r="W821" s="244"/>
      <c r="X821" s="243"/>
      <c r="Y821" s="244"/>
      <c r="Z821" s="243"/>
      <c r="AA821" s="243"/>
      <c r="AB821" s="243"/>
    </row>
    <row r="822">
      <c r="A822" s="243"/>
      <c r="B822" s="244"/>
      <c r="C822" s="243"/>
      <c r="D822" s="243"/>
      <c r="E822" s="243"/>
      <c r="F822" s="243"/>
      <c r="G822" s="243"/>
      <c r="H822" s="245"/>
      <c r="I822" s="245"/>
      <c r="J822" s="243"/>
      <c r="K822" s="243"/>
      <c r="L822" s="243"/>
      <c r="M822" s="243"/>
      <c r="N822" s="243"/>
      <c r="O822" s="244"/>
      <c r="P822" s="243"/>
      <c r="Q822" s="244"/>
      <c r="R822" s="243"/>
      <c r="S822" s="244"/>
      <c r="T822" s="243"/>
      <c r="U822" s="244"/>
      <c r="V822" s="246"/>
      <c r="W822" s="244"/>
      <c r="X822" s="243"/>
      <c r="Y822" s="244"/>
      <c r="Z822" s="243"/>
      <c r="AA822" s="243"/>
      <c r="AB822" s="243"/>
    </row>
    <row r="823">
      <c r="A823" s="243"/>
      <c r="B823" s="244"/>
      <c r="C823" s="243"/>
      <c r="D823" s="243"/>
      <c r="E823" s="243"/>
      <c r="F823" s="243"/>
      <c r="G823" s="243"/>
      <c r="H823" s="245"/>
      <c r="I823" s="245"/>
      <c r="J823" s="243"/>
      <c r="K823" s="243"/>
      <c r="L823" s="243"/>
      <c r="M823" s="243"/>
      <c r="N823" s="243"/>
      <c r="O823" s="244"/>
      <c r="P823" s="243"/>
      <c r="Q823" s="244"/>
      <c r="R823" s="243"/>
      <c r="S823" s="244"/>
      <c r="T823" s="243"/>
      <c r="U823" s="244"/>
      <c r="V823" s="246"/>
      <c r="W823" s="244"/>
      <c r="X823" s="243"/>
      <c r="Y823" s="244"/>
      <c r="Z823" s="243"/>
      <c r="AA823" s="243"/>
      <c r="AB823" s="243"/>
    </row>
    <row r="824">
      <c r="A824" s="243"/>
      <c r="B824" s="244"/>
      <c r="C824" s="243"/>
      <c r="D824" s="243"/>
      <c r="E824" s="243"/>
      <c r="F824" s="243"/>
      <c r="G824" s="243"/>
      <c r="H824" s="245"/>
      <c r="I824" s="245"/>
      <c r="J824" s="243"/>
      <c r="K824" s="243"/>
      <c r="L824" s="243"/>
      <c r="M824" s="243"/>
      <c r="N824" s="243"/>
      <c r="O824" s="244"/>
      <c r="P824" s="243"/>
      <c r="Q824" s="244"/>
      <c r="R824" s="243"/>
      <c r="S824" s="244"/>
      <c r="T824" s="243"/>
      <c r="U824" s="244"/>
      <c r="V824" s="246"/>
      <c r="W824" s="244"/>
      <c r="X824" s="243"/>
      <c r="Y824" s="244"/>
      <c r="Z824" s="243"/>
      <c r="AA824" s="243"/>
      <c r="AB824" s="243"/>
    </row>
    <row r="825">
      <c r="A825" s="243"/>
      <c r="B825" s="244"/>
      <c r="C825" s="243"/>
      <c r="D825" s="243"/>
      <c r="E825" s="243"/>
      <c r="F825" s="243"/>
      <c r="G825" s="243"/>
      <c r="H825" s="245"/>
      <c r="I825" s="245"/>
      <c r="J825" s="243"/>
      <c r="K825" s="243"/>
      <c r="L825" s="243"/>
      <c r="M825" s="243"/>
      <c r="N825" s="243"/>
      <c r="O825" s="244"/>
      <c r="P825" s="243"/>
      <c r="Q825" s="244"/>
      <c r="R825" s="243"/>
      <c r="S825" s="244"/>
      <c r="T825" s="243"/>
      <c r="U825" s="244"/>
      <c r="V825" s="246"/>
      <c r="W825" s="244"/>
      <c r="X825" s="243"/>
      <c r="Y825" s="244"/>
      <c r="Z825" s="243"/>
      <c r="AA825" s="243"/>
      <c r="AB825" s="243"/>
    </row>
    <row r="826">
      <c r="A826" s="243"/>
      <c r="B826" s="244"/>
      <c r="C826" s="243"/>
      <c r="D826" s="243"/>
      <c r="E826" s="243"/>
      <c r="F826" s="243"/>
      <c r="G826" s="243"/>
      <c r="H826" s="245"/>
      <c r="I826" s="245"/>
      <c r="J826" s="243"/>
      <c r="K826" s="243"/>
      <c r="L826" s="243"/>
      <c r="M826" s="243"/>
      <c r="N826" s="243"/>
      <c r="O826" s="244"/>
      <c r="P826" s="243"/>
      <c r="Q826" s="244"/>
      <c r="R826" s="243"/>
      <c r="S826" s="244"/>
      <c r="T826" s="243"/>
      <c r="U826" s="244"/>
      <c r="V826" s="246"/>
      <c r="W826" s="244"/>
      <c r="X826" s="243"/>
      <c r="Y826" s="244"/>
      <c r="Z826" s="243"/>
      <c r="AA826" s="243"/>
      <c r="AB826" s="243"/>
    </row>
    <row r="827">
      <c r="A827" s="243"/>
      <c r="B827" s="244"/>
      <c r="C827" s="243"/>
      <c r="D827" s="243"/>
      <c r="E827" s="243"/>
      <c r="F827" s="243"/>
      <c r="G827" s="243"/>
      <c r="H827" s="245"/>
      <c r="I827" s="245"/>
      <c r="J827" s="243"/>
      <c r="K827" s="243"/>
      <c r="L827" s="243"/>
      <c r="M827" s="243"/>
      <c r="N827" s="243"/>
      <c r="O827" s="244"/>
      <c r="P827" s="243"/>
      <c r="Q827" s="244"/>
      <c r="R827" s="243"/>
      <c r="S827" s="244"/>
      <c r="T827" s="243"/>
      <c r="U827" s="244"/>
      <c r="V827" s="246"/>
      <c r="W827" s="244"/>
      <c r="X827" s="243"/>
      <c r="Y827" s="244"/>
      <c r="Z827" s="243"/>
      <c r="AA827" s="243"/>
      <c r="AB827" s="243"/>
    </row>
    <row r="828">
      <c r="A828" s="243"/>
      <c r="B828" s="244"/>
      <c r="C828" s="243"/>
      <c r="D828" s="243"/>
      <c r="E828" s="243"/>
      <c r="F828" s="243"/>
      <c r="G828" s="243"/>
      <c r="H828" s="245"/>
      <c r="I828" s="245"/>
      <c r="J828" s="243"/>
      <c r="K828" s="243"/>
      <c r="L828" s="243"/>
      <c r="M828" s="243"/>
      <c r="N828" s="243"/>
      <c r="O828" s="244"/>
      <c r="P828" s="243"/>
      <c r="Q828" s="244"/>
      <c r="R828" s="243"/>
      <c r="S828" s="244"/>
      <c r="T828" s="243"/>
      <c r="U828" s="244"/>
      <c r="V828" s="246"/>
      <c r="W828" s="244"/>
      <c r="X828" s="243"/>
      <c r="Y828" s="244"/>
      <c r="Z828" s="243"/>
      <c r="AA828" s="243"/>
      <c r="AB828" s="243"/>
    </row>
    <row r="829">
      <c r="A829" s="243"/>
      <c r="B829" s="244"/>
      <c r="C829" s="243"/>
      <c r="D829" s="243"/>
      <c r="E829" s="243"/>
      <c r="F829" s="243"/>
      <c r="G829" s="243"/>
      <c r="H829" s="245"/>
      <c r="I829" s="245"/>
      <c r="J829" s="243"/>
      <c r="K829" s="243"/>
      <c r="L829" s="243"/>
      <c r="M829" s="243"/>
      <c r="N829" s="243"/>
      <c r="O829" s="244"/>
      <c r="P829" s="243"/>
      <c r="Q829" s="244"/>
      <c r="R829" s="243"/>
      <c r="S829" s="244"/>
      <c r="T829" s="243"/>
      <c r="U829" s="244"/>
      <c r="V829" s="246"/>
      <c r="W829" s="244"/>
      <c r="X829" s="243"/>
      <c r="Y829" s="244"/>
      <c r="Z829" s="243"/>
      <c r="AA829" s="243"/>
      <c r="AB829" s="243"/>
    </row>
    <row r="830">
      <c r="A830" s="243"/>
      <c r="B830" s="244"/>
      <c r="C830" s="243"/>
      <c r="D830" s="243"/>
      <c r="E830" s="243"/>
      <c r="F830" s="243"/>
      <c r="G830" s="243"/>
      <c r="H830" s="245"/>
      <c r="I830" s="245"/>
      <c r="J830" s="243"/>
      <c r="K830" s="243"/>
      <c r="L830" s="243"/>
      <c r="M830" s="243"/>
      <c r="N830" s="243"/>
      <c r="O830" s="244"/>
      <c r="P830" s="243"/>
      <c r="Q830" s="244"/>
      <c r="R830" s="243"/>
      <c r="S830" s="244"/>
      <c r="T830" s="243"/>
      <c r="U830" s="244"/>
      <c r="V830" s="246"/>
      <c r="W830" s="244"/>
      <c r="X830" s="243"/>
      <c r="Y830" s="244"/>
      <c r="Z830" s="243"/>
      <c r="AA830" s="243"/>
      <c r="AB830" s="243"/>
    </row>
    <row r="831">
      <c r="A831" s="243"/>
      <c r="B831" s="244"/>
      <c r="C831" s="243"/>
      <c r="D831" s="243"/>
      <c r="E831" s="243"/>
      <c r="F831" s="243"/>
      <c r="G831" s="243"/>
      <c r="H831" s="245"/>
      <c r="I831" s="245"/>
      <c r="J831" s="243"/>
      <c r="K831" s="243"/>
      <c r="L831" s="243"/>
      <c r="M831" s="243"/>
      <c r="N831" s="243"/>
      <c r="O831" s="244"/>
      <c r="P831" s="243"/>
      <c r="Q831" s="244"/>
      <c r="R831" s="243"/>
      <c r="S831" s="244"/>
      <c r="T831" s="243"/>
      <c r="U831" s="244"/>
      <c r="V831" s="246"/>
      <c r="W831" s="244"/>
      <c r="X831" s="243"/>
      <c r="Y831" s="244"/>
      <c r="Z831" s="243"/>
      <c r="AA831" s="243"/>
      <c r="AB831" s="243"/>
    </row>
    <row r="832">
      <c r="A832" s="243"/>
      <c r="B832" s="244"/>
      <c r="C832" s="243"/>
      <c r="D832" s="243"/>
      <c r="E832" s="243"/>
      <c r="F832" s="243"/>
      <c r="G832" s="243"/>
      <c r="H832" s="245"/>
      <c r="I832" s="245"/>
      <c r="J832" s="243"/>
      <c r="K832" s="243"/>
      <c r="L832" s="243"/>
      <c r="M832" s="243"/>
      <c r="N832" s="243"/>
      <c r="O832" s="244"/>
      <c r="P832" s="243"/>
      <c r="Q832" s="244"/>
      <c r="R832" s="243"/>
      <c r="S832" s="244"/>
      <c r="T832" s="243"/>
      <c r="U832" s="244"/>
      <c r="V832" s="246"/>
      <c r="W832" s="244"/>
      <c r="X832" s="243"/>
      <c r="Y832" s="244"/>
      <c r="Z832" s="243"/>
      <c r="AA832" s="243"/>
      <c r="AB832" s="243"/>
    </row>
    <row r="833">
      <c r="A833" s="243"/>
      <c r="B833" s="244"/>
      <c r="C833" s="243"/>
      <c r="D833" s="243"/>
      <c r="E833" s="243"/>
      <c r="F833" s="243"/>
      <c r="G833" s="243"/>
      <c r="H833" s="245"/>
      <c r="I833" s="245"/>
      <c r="J833" s="243"/>
      <c r="K833" s="243"/>
      <c r="L833" s="243"/>
      <c r="M833" s="243"/>
      <c r="N833" s="243"/>
      <c r="O833" s="244"/>
      <c r="P833" s="243"/>
      <c r="Q833" s="244"/>
      <c r="R833" s="243"/>
      <c r="S833" s="244"/>
      <c r="T833" s="243"/>
      <c r="U833" s="244"/>
      <c r="V833" s="246"/>
      <c r="W833" s="244"/>
      <c r="X833" s="243"/>
      <c r="Y833" s="244"/>
      <c r="Z833" s="243"/>
      <c r="AA833" s="243"/>
      <c r="AB833" s="243"/>
    </row>
    <row r="834">
      <c r="A834" s="243"/>
      <c r="B834" s="244"/>
      <c r="C834" s="243"/>
      <c r="D834" s="243"/>
      <c r="E834" s="243"/>
      <c r="F834" s="243"/>
      <c r="G834" s="243"/>
      <c r="H834" s="245"/>
      <c r="I834" s="245"/>
      <c r="J834" s="243"/>
      <c r="K834" s="243"/>
      <c r="L834" s="243"/>
      <c r="M834" s="243"/>
      <c r="N834" s="243"/>
      <c r="O834" s="244"/>
      <c r="P834" s="243"/>
      <c r="Q834" s="244"/>
      <c r="R834" s="243"/>
      <c r="S834" s="244"/>
      <c r="T834" s="243"/>
      <c r="U834" s="244"/>
      <c r="V834" s="246"/>
      <c r="W834" s="244"/>
      <c r="X834" s="243"/>
      <c r="Y834" s="244"/>
      <c r="Z834" s="243"/>
      <c r="AA834" s="243"/>
      <c r="AB834" s="243"/>
    </row>
    <row r="835">
      <c r="A835" s="243"/>
      <c r="B835" s="244"/>
      <c r="C835" s="243"/>
      <c r="D835" s="243"/>
      <c r="E835" s="243"/>
      <c r="F835" s="243"/>
      <c r="G835" s="243"/>
      <c r="H835" s="245"/>
      <c r="I835" s="245"/>
      <c r="J835" s="243"/>
      <c r="K835" s="243"/>
      <c r="L835" s="243"/>
      <c r="M835" s="243"/>
      <c r="N835" s="243"/>
      <c r="O835" s="244"/>
      <c r="P835" s="243"/>
      <c r="Q835" s="244"/>
      <c r="R835" s="243"/>
      <c r="S835" s="244"/>
      <c r="T835" s="243"/>
      <c r="U835" s="244"/>
      <c r="V835" s="246"/>
      <c r="W835" s="244"/>
      <c r="X835" s="243"/>
      <c r="Y835" s="244"/>
      <c r="Z835" s="243"/>
      <c r="AA835" s="243"/>
      <c r="AB835" s="243"/>
    </row>
    <row r="836">
      <c r="A836" s="243"/>
      <c r="B836" s="244"/>
      <c r="C836" s="243"/>
      <c r="D836" s="243"/>
      <c r="E836" s="243"/>
      <c r="F836" s="243"/>
      <c r="G836" s="243"/>
      <c r="H836" s="245"/>
      <c r="I836" s="245"/>
      <c r="J836" s="243"/>
      <c r="K836" s="243"/>
      <c r="L836" s="243"/>
      <c r="M836" s="243"/>
      <c r="N836" s="243"/>
      <c r="O836" s="244"/>
      <c r="P836" s="243"/>
      <c r="Q836" s="244"/>
      <c r="R836" s="243"/>
      <c r="S836" s="244"/>
      <c r="T836" s="243"/>
      <c r="U836" s="244"/>
      <c r="V836" s="246"/>
      <c r="W836" s="244"/>
      <c r="X836" s="243"/>
      <c r="Y836" s="244"/>
      <c r="Z836" s="243"/>
      <c r="AA836" s="243"/>
      <c r="AB836" s="243"/>
    </row>
    <row r="837">
      <c r="A837" s="243"/>
      <c r="B837" s="244"/>
      <c r="C837" s="243"/>
      <c r="D837" s="243"/>
      <c r="E837" s="243"/>
      <c r="F837" s="243"/>
      <c r="G837" s="243"/>
      <c r="H837" s="245"/>
      <c r="I837" s="245"/>
      <c r="J837" s="243"/>
      <c r="K837" s="243"/>
      <c r="L837" s="243"/>
      <c r="M837" s="243"/>
      <c r="N837" s="243"/>
      <c r="O837" s="244"/>
      <c r="P837" s="243"/>
      <c r="Q837" s="244"/>
      <c r="R837" s="243"/>
      <c r="S837" s="244"/>
      <c r="T837" s="243"/>
      <c r="U837" s="244"/>
      <c r="V837" s="246"/>
      <c r="W837" s="244"/>
      <c r="X837" s="243"/>
      <c r="Y837" s="244"/>
      <c r="Z837" s="243"/>
      <c r="AA837" s="243"/>
      <c r="AB837" s="243"/>
    </row>
    <row r="838">
      <c r="A838" s="243"/>
      <c r="B838" s="244"/>
      <c r="C838" s="243"/>
      <c r="D838" s="243"/>
      <c r="E838" s="243"/>
      <c r="F838" s="243"/>
      <c r="G838" s="243"/>
      <c r="H838" s="245"/>
      <c r="I838" s="245"/>
      <c r="J838" s="243"/>
      <c r="K838" s="243"/>
      <c r="L838" s="243"/>
      <c r="M838" s="243"/>
      <c r="N838" s="243"/>
      <c r="O838" s="244"/>
      <c r="P838" s="243"/>
      <c r="Q838" s="244"/>
      <c r="R838" s="243"/>
      <c r="S838" s="244"/>
      <c r="T838" s="243"/>
      <c r="U838" s="244"/>
      <c r="V838" s="246"/>
      <c r="W838" s="244"/>
      <c r="X838" s="243"/>
      <c r="Y838" s="244"/>
      <c r="Z838" s="243"/>
      <c r="AA838" s="243"/>
      <c r="AB838" s="243"/>
    </row>
    <row r="839">
      <c r="A839" s="243"/>
      <c r="B839" s="244"/>
      <c r="C839" s="243"/>
      <c r="D839" s="243"/>
      <c r="E839" s="243"/>
      <c r="F839" s="243"/>
      <c r="G839" s="243"/>
      <c r="H839" s="245"/>
      <c r="I839" s="245"/>
      <c r="J839" s="243"/>
      <c r="K839" s="243"/>
      <c r="L839" s="243"/>
      <c r="M839" s="243"/>
      <c r="N839" s="243"/>
      <c r="O839" s="244"/>
      <c r="P839" s="243"/>
      <c r="Q839" s="244"/>
      <c r="R839" s="243"/>
      <c r="S839" s="244"/>
      <c r="T839" s="243"/>
      <c r="U839" s="244"/>
      <c r="V839" s="246"/>
      <c r="W839" s="244"/>
      <c r="X839" s="243"/>
      <c r="Y839" s="244"/>
      <c r="Z839" s="243"/>
      <c r="AA839" s="243"/>
      <c r="AB839" s="243"/>
    </row>
    <row r="840">
      <c r="A840" s="243"/>
      <c r="B840" s="244"/>
      <c r="C840" s="243"/>
      <c r="D840" s="243"/>
      <c r="E840" s="243"/>
      <c r="F840" s="243"/>
      <c r="G840" s="243"/>
      <c r="H840" s="245"/>
      <c r="I840" s="245"/>
      <c r="J840" s="243"/>
      <c r="K840" s="243"/>
      <c r="L840" s="243"/>
      <c r="M840" s="243"/>
      <c r="N840" s="243"/>
      <c r="O840" s="244"/>
      <c r="P840" s="243"/>
      <c r="Q840" s="244"/>
      <c r="R840" s="243"/>
      <c r="S840" s="244"/>
      <c r="T840" s="243"/>
      <c r="U840" s="244"/>
      <c r="V840" s="246"/>
      <c r="W840" s="244"/>
      <c r="X840" s="243"/>
      <c r="Y840" s="244"/>
      <c r="Z840" s="243"/>
      <c r="AA840" s="243"/>
      <c r="AB840" s="243"/>
    </row>
    <row r="841">
      <c r="A841" s="243"/>
      <c r="B841" s="244"/>
      <c r="C841" s="243"/>
      <c r="D841" s="243"/>
      <c r="E841" s="243"/>
      <c r="F841" s="243"/>
      <c r="G841" s="243"/>
      <c r="H841" s="245"/>
      <c r="I841" s="245"/>
      <c r="J841" s="243"/>
      <c r="K841" s="243"/>
      <c r="L841" s="243"/>
      <c r="M841" s="243"/>
      <c r="N841" s="243"/>
      <c r="O841" s="244"/>
      <c r="P841" s="243"/>
      <c r="Q841" s="244"/>
      <c r="R841" s="243"/>
      <c r="S841" s="244"/>
      <c r="T841" s="243"/>
      <c r="U841" s="244"/>
      <c r="V841" s="246"/>
      <c r="W841" s="244"/>
      <c r="X841" s="243"/>
      <c r="Y841" s="244"/>
      <c r="Z841" s="243"/>
      <c r="AA841" s="243"/>
      <c r="AB841" s="243"/>
    </row>
    <row r="842">
      <c r="A842" s="243"/>
      <c r="B842" s="244"/>
      <c r="C842" s="243"/>
      <c r="D842" s="243"/>
      <c r="E842" s="243"/>
      <c r="F842" s="243"/>
      <c r="G842" s="243"/>
      <c r="H842" s="245"/>
      <c r="I842" s="245"/>
      <c r="J842" s="243"/>
      <c r="K842" s="243"/>
      <c r="L842" s="243"/>
      <c r="M842" s="243"/>
      <c r="N842" s="243"/>
      <c r="O842" s="244"/>
      <c r="P842" s="243"/>
      <c r="Q842" s="244"/>
      <c r="R842" s="243"/>
      <c r="S842" s="244"/>
      <c r="T842" s="243"/>
      <c r="U842" s="244"/>
      <c r="V842" s="246"/>
      <c r="W842" s="244"/>
      <c r="X842" s="243"/>
      <c r="Y842" s="244"/>
      <c r="Z842" s="243"/>
      <c r="AA842" s="243"/>
      <c r="AB842" s="243"/>
    </row>
    <row r="843">
      <c r="A843" s="243"/>
      <c r="B843" s="244"/>
      <c r="C843" s="243"/>
      <c r="D843" s="243"/>
      <c r="E843" s="243"/>
      <c r="F843" s="243"/>
      <c r="G843" s="243"/>
      <c r="H843" s="245"/>
      <c r="I843" s="245"/>
      <c r="J843" s="243"/>
      <c r="K843" s="243"/>
      <c r="L843" s="243"/>
      <c r="M843" s="243"/>
      <c r="N843" s="243"/>
      <c r="O843" s="244"/>
      <c r="P843" s="243"/>
      <c r="Q843" s="244"/>
      <c r="R843" s="243"/>
      <c r="S843" s="244"/>
      <c r="T843" s="243"/>
      <c r="U843" s="244"/>
      <c r="V843" s="246"/>
      <c r="W843" s="244"/>
      <c r="X843" s="243"/>
      <c r="Y843" s="244"/>
      <c r="Z843" s="243"/>
      <c r="AA843" s="243"/>
      <c r="AB843" s="243"/>
    </row>
    <row r="844">
      <c r="A844" s="243"/>
      <c r="B844" s="244"/>
      <c r="C844" s="243"/>
      <c r="D844" s="243"/>
      <c r="E844" s="243"/>
      <c r="F844" s="243"/>
      <c r="G844" s="243"/>
      <c r="H844" s="245"/>
      <c r="I844" s="245"/>
      <c r="J844" s="243"/>
      <c r="K844" s="243"/>
      <c r="L844" s="243"/>
      <c r="M844" s="243"/>
      <c r="N844" s="243"/>
      <c r="O844" s="244"/>
      <c r="P844" s="243"/>
      <c r="Q844" s="244"/>
      <c r="R844" s="243"/>
      <c r="S844" s="244"/>
      <c r="T844" s="243"/>
      <c r="U844" s="244"/>
      <c r="V844" s="246"/>
      <c r="W844" s="244"/>
      <c r="X844" s="243"/>
      <c r="Y844" s="244"/>
      <c r="Z844" s="243"/>
      <c r="AA844" s="243"/>
      <c r="AB844" s="243"/>
    </row>
    <row r="845">
      <c r="A845" s="243"/>
      <c r="B845" s="244"/>
      <c r="C845" s="243"/>
      <c r="D845" s="243"/>
      <c r="E845" s="243"/>
      <c r="F845" s="243"/>
      <c r="G845" s="243"/>
      <c r="H845" s="245"/>
      <c r="I845" s="245"/>
      <c r="J845" s="243"/>
      <c r="K845" s="243"/>
      <c r="L845" s="243"/>
      <c r="M845" s="243"/>
      <c r="N845" s="243"/>
      <c r="O845" s="244"/>
      <c r="P845" s="243"/>
      <c r="Q845" s="244"/>
      <c r="R845" s="243"/>
      <c r="S845" s="244"/>
      <c r="T845" s="243"/>
      <c r="U845" s="244"/>
      <c r="V845" s="246"/>
      <c r="W845" s="244"/>
      <c r="X845" s="243"/>
      <c r="Y845" s="244"/>
      <c r="Z845" s="243"/>
      <c r="AA845" s="243"/>
      <c r="AB845" s="243"/>
    </row>
    <row r="846">
      <c r="A846" s="243"/>
      <c r="B846" s="244"/>
      <c r="C846" s="243"/>
      <c r="D846" s="243"/>
      <c r="E846" s="243"/>
      <c r="F846" s="243"/>
      <c r="G846" s="243"/>
      <c r="H846" s="245"/>
      <c r="I846" s="245"/>
      <c r="J846" s="243"/>
      <c r="K846" s="243"/>
      <c r="L846" s="243"/>
      <c r="M846" s="243"/>
      <c r="N846" s="243"/>
      <c r="O846" s="244"/>
      <c r="P846" s="243"/>
      <c r="Q846" s="244"/>
      <c r="R846" s="243"/>
      <c r="S846" s="244"/>
      <c r="T846" s="243"/>
      <c r="U846" s="244"/>
      <c r="V846" s="246"/>
      <c r="W846" s="244"/>
      <c r="X846" s="243"/>
      <c r="Y846" s="244"/>
      <c r="Z846" s="243"/>
      <c r="AA846" s="243"/>
      <c r="AB846" s="243"/>
    </row>
    <row r="847">
      <c r="A847" s="243"/>
      <c r="B847" s="244"/>
      <c r="C847" s="243"/>
      <c r="D847" s="243"/>
      <c r="E847" s="243"/>
      <c r="F847" s="243"/>
      <c r="G847" s="243"/>
      <c r="H847" s="245"/>
      <c r="I847" s="245"/>
      <c r="J847" s="243"/>
      <c r="K847" s="243"/>
      <c r="L847" s="243"/>
      <c r="M847" s="243"/>
      <c r="N847" s="243"/>
      <c r="O847" s="244"/>
      <c r="P847" s="243"/>
      <c r="Q847" s="244"/>
      <c r="R847" s="243"/>
      <c r="S847" s="244"/>
      <c r="T847" s="243"/>
      <c r="U847" s="244"/>
      <c r="V847" s="246"/>
      <c r="W847" s="244"/>
      <c r="X847" s="243"/>
      <c r="Y847" s="244"/>
      <c r="Z847" s="243"/>
      <c r="AA847" s="243"/>
      <c r="AB847" s="243"/>
    </row>
    <row r="848">
      <c r="A848" s="243"/>
      <c r="B848" s="244"/>
      <c r="C848" s="243"/>
      <c r="D848" s="243"/>
      <c r="E848" s="243"/>
      <c r="F848" s="243"/>
      <c r="G848" s="243"/>
      <c r="H848" s="245"/>
      <c r="I848" s="245"/>
      <c r="J848" s="243"/>
      <c r="K848" s="243"/>
      <c r="L848" s="243"/>
      <c r="M848" s="243"/>
      <c r="N848" s="243"/>
      <c r="O848" s="244"/>
      <c r="P848" s="243"/>
      <c r="Q848" s="244"/>
      <c r="R848" s="243"/>
      <c r="S848" s="244"/>
      <c r="T848" s="243"/>
      <c r="U848" s="244"/>
      <c r="V848" s="246"/>
      <c r="W848" s="244"/>
      <c r="X848" s="243"/>
      <c r="Y848" s="244"/>
      <c r="Z848" s="243"/>
      <c r="AA848" s="243"/>
      <c r="AB848" s="243"/>
    </row>
    <row r="849">
      <c r="A849" s="243"/>
      <c r="B849" s="244"/>
      <c r="C849" s="243"/>
      <c r="D849" s="243"/>
      <c r="E849" s="243"/>
      <c r="F849" s="243"/>
      <c r="G849" s="243"/>
      <c r="H849" s="245"/>
      <c r="I849" s="245"/>
      <c r="J849" s="243"/>
      <c r="K849" s="243"/>
      <c r="L849" s="243"/>
      <c r="M849" s="243"/>
      <c r="N849" s="243"/>
      <c r="O849" s="244"/>
      <c r="P849" s="243"/>
      <c r="Q849" s="244"/>
      <c r="R849" s="243"/>
      <c r="S849" s="244"/>
      <c r="T849" s="243"/>
      <c r="U849" s="244"/>
      <c r="V849" s="246"/>
      <c r="W849" s="244"/>
      <c r="X849" s="243"/>
      <c r="Y849" s="244"/>
      <c r="Z849" s="243"/>
      <c r="AA849" s="243"/>
      <c r="AB849" s="243"/>
    </row>
    <row r="850">
      <c r="A850" s="243"/>
      <c r="B850" s="244"/>
      <c r="C850" s="243"/>
      <c r="D850" s="243"/>
      <c r="E850" s="243"/>
      <c r="F850" s="243"/>
      <c r="G850" s="243"/>
      <c r="H850" s="245"/>
      <c r="I850" s="245"/>
      <c r="J850" s="243"/>
      <c r="K850" s="243"/>
      <c r="L850" s="243"/>
      <c r="M850" s="243"/>
      <c r="N850" s="243"/>
      <c r="O850" s="244"/>
      <c r="P850" s="243"/>
      <c r="Q850" s="244"/>
      <c r="R850" s="243"/>
      <c r="S850" s="244"/>
      <c r="T850" s="243"/>
      <c r="U850" s="244"/>
      <c r="V850" s="246"/>
      <c r="W850" s="244"/>
      <c r="X850" s="243"/>
      <c r="Y850" s="244"/>
      <c r="Z850" s="243"/>
      <c r="AA850" s="243"/>
      <c r="AB850" s="243"/>
    </row>
    <row r="851">
      <c r="A851" s="243"/>
      <c r="B851" s="244"/>
      <c r="C851" s="243"/>
      <c r="D851" s="243"/>
      <c r="E851" s="243"/>
      <c r="F851" s="243"/>
      <c r="G851" s="243"/>
      <c r="H851" s="245"/>
      <c r="I851" s="245"/>
      <c r="J851" s="243"/>
      <c r="K851" s="243"/>
      <c r="L851" s="243"/>
      <c r="M851" s="243"/>
      <c r="N851" s="243"/>
      <c r="O851" s="244"/>
      <c r="P851" s="243"/>
      <c r="Q851" s="244"/>
      <c r="R851" s="243"/>
      <c r="S851" s="244"/>
      <c r="T851" s="243"/>
      <c r="U851" s="244"/>
      <c r="V851" s="246"/>
      <c r="W851" s="244"/>
      <c r="X851" s="243"/>
      <c r="Y851" s="244"/>
      <c r="Z851" s="243"/>
      <c r="AA851" s="243"/>
      <c r="AB851" s="243"/>
    </row>
    <row r="852">
      <c r="A852" s="243"/>
      <c r="B852" s="244"/>
      <c r="C852" s="243"/>
      <c r="D852" s="243"/>
      <c r="E852" s="243"/>
      <c r="F852" s="243"/>
      <c r="G852" s="243"/>
      <c r="H852" s="245"/>
      <c r="I852" s="245"/>
      <c r="J852" s="243"/>
      <c r="K852" s="243"/>
      <c r="L852" s="243"/>
      <c r="M852" s="243"/>
      <c r="N852" s="243"/>
      <c r="O852" s="244"/>
      <c r="P852" s="243"/>
      <c r="Q852" s="244"/>
      <c r="R852" s="243"/>
      <c r="S852" s="244"/>
      <c r="T852" s="243"/>
      <c r="U852" s="244"/>
      <c r="V852" s="246"/>
      <c r="W852" s="244"/>
      <c r="X852" s="243"/>
      <c r="Y852" s="244"/>
      <c r="Z852" s="243"/>
      <c r="AA852" s="243"/>
      <c r="AB852" s="243"/>
    </row>
    <row r="853">
      <c r="A853" s="243"/>
      <c r="B853" s="244"/>
      <c r="C853" s="243"/>
      <c r="D853" s="243"/>
      <c r="E853" s="243"/>
      <c r="F853" s="243"/>
      <c r="G853" s="243"/>
      <c r="H853" s="245"/>
      <c r="I853" s="245"/>
      <c r="J853" s="243"/>
      <c r="K853" s="243"/>
      <c r="L853" s="243"/>
      <c r="M853" s="243"/>
      <c r="N853" s="243"/>
      <c r="O853" s="244"/>
      <c r="P853" s="243"/>
      <c r="Q853" s="244"/>
      <c r="R853" s="243"/>
      <c r="S853" s="244"/>
      <c r="T853" s="243"/>
      <c r="U853" s="244"/>
      <c r="V853" s="246"/>
      <c r="W853" s="244"/>
      <c r="X853" s="243"/>
      <c r="Y853" s="244"/>
      <c r="Z853" s="243"/>
      <c r="AA853" s="243"/>
      <c r="AB853" s="243"/>
    </row>
    <row r="854">
      <c r="A854" s="243"/>
      <c r="B854" s="244"/>
      <c r="C854" s="243"/>
      <c r="D854" s="243"/>
      <c r="E854" s="243"/>
      <c r="F854" s="243"/>
      <c r="G854" s="243"/>
      <c r="H854" s="245"/>
      <c r="I854" s="245"/>
      <c r="J854" s="243"/>
      <c r="K854" s="243"/>
      <c r="L854" s="243"/>
      <c r="M854" s="243"/>
      <c r="N854" s="243"/>
      <c r="O854" s="244"/>
      <c r="P854" s="243"/>
      <c r="Q854" s="244"/>
      <c r="R854" s="243"/>
      <c r="S854" s="244"/>
      <c r="T854" s="243"/>
      <c r="U854" s="244"/>
      <c r="V854" s="246"/>
      <c r="W854" s="244"/>
      <c r="X854" s="243"/>
      <c r="Y854" s="244"/>
      <c r="Z854" s="243"/>
      <c r="AA854" s="243"/>
      <c r="AB854" s="243"/>
    </row>
    <row r="855">
      <c r="A855" s="243"/>
      <c r="B855" s="244"/>
      <c r="C855" s="243"/>
      <c r="D855" s="243"/>
      <c r="E855" s="243"/>
      <c r="F855" s="243"/>
      <c r="G855" s="243"/>
      <c r="H855" s="245"/>
      <c r="I855" s="245"/>
      <c r="J855" s="243"/>
      <c r="K855" s="243"/>
      <c r="L855" s="243"/>
      <c r="M855" s="243"/>
      <c r="N855" s="243"/>
      <c r="O855" s="244"/>
      <c r="P855" s="243"/>
      <c r="Q855" s="244"/>
      <c r="R855" s="243"/>
      <c r="S855" s="244"/>
      <c r="T855" s="243"/>
      <c r="U855" s="244"/>
      <c r="V855" s="246"/>
      <c r="W855" s="244"/>
      <c r="X855" s="243"/>
      <c r="Y855" s="244"/>
      <c r="Z855" s="243"/>
      <c r="AA855" s="243"/>
      <c r="AB855" s="243"/>
    </row>
    <row r="856">
      <c r="A856" s="243"/>
      <c r="B856" s="244"/>
      <c r="C856" s="243"/>
      <c r="D856" s="243"/>
      <c r="E856" s="243"/>
      <c r="F856" s="243"/>
      <c r="G856" s="243"/>
      <c r="H856" s="245"/>
      <c r="I856" s="245"/>
      <c r="J856" s="243"/>
      <c r="K856" s="243"/>
      <c r="L856" s="243"/>
      <c r="M856" s="243"/>
      <c r="N856" s="243"/>
      <c r="O856" s="244"/>
      <c r="P856" s="243"/>
      <c r="Q856" s="244"/>
      <c r="R856" s="243"/>
      <c r="S856" s="244"/>
      <c r="T856" s="243"/>
      <c r="U856" s="244"/>
      <c r="V856" s="246"/>
      <c r="W856" s="244"/>
      <c r="X856" s="243"/>
      <c r="Y856" s="244"/>
      <c r="Z856" s="243"/>
      <c r="AA856" s="243"/>
      <c r="AB856" s="243"/>
    </row>
    <row r="857">
      <c r="A857" s="243"/>
      <c r="B857" s="244"/>
      <c r="C857" s="243"/>
      <c r="D857" s="243"/>
      <c r="E857" s="243"/>
      <c r="F857" s="243"/>
      <c r="G857" s="243"/>
      <c r="H857" s="245"/>
      <c r="I857" s="245"/>
      <c r="J857" s="243"/>
      <c r="K857" s="243"/>
      <c r="L857" s="243"/>
      <c r="M857" s="243"/>
      <c r="N857" s="243"/>
      <c r="O857" s="244"/>
      <c r="P857" s="243"/>
      <c r="Q857" s="244"/>
      <c r="R857" s="243"/>
      <c r="S857" s="244"/>
      <c r="T857" s="243"/>
      <c r="U857" s="244"/>
      <c r="V857" s="246"/>
      <c r="W857" s="244"/>
      <c r="X857" s="243"/>
      <c r="Y857" s="244"/>
      <c r="Z857" s="243"/>
      <c r="AA857" s="243"/>
      <c r="AB857" s="243"/>
    </row>
    <row r="858">
      <c r="A858" s="243"/>
      <c r="B858" s="244"/>
      <c r="C858" s="243"/>
      <c r="D858" s="243"/>
      <c r="E858" s="243"/>
      <c r="F858" s="243"/>
      <c r="G858" s="243"/>
      <c r="H858" s="245"/>
      <c r="I858" s="245"/>
      <c r="J858" s="243"/>
      <c r="K858" s="243"/>
      <c r="L858" s="243"/>
      <c r="M858" s="243"/>
      <c r="N858" s="243"/>
      <c r="O858" s="244"/>
      <c r="P858" s="243"/>
      <c r="Q858" s="244"/>
      <c r="R858" s="243"/>
      <c r="S858" s="244"/>
      <c r="T858" s="243"/>
      <c r="U858" s="244"/>
      <c r="V858" s="246"/>
      <c r="W858" s="244"/>
      <c r="X858" s="243"/>
      <c r="Y858" s="244"/>
      <c r="Z858" s="243"/>
      <c r="AA858" s="243"/>
      <c r="AB858" s="243"/>
    </row>
    <row r="859">
      <c r="A859" s="243"/>
      <c r="B859" s="244"/>
      <c r="C859" s="243"/>
      <c r="D859" s="243"/>
      <c r="E859" s="243"/>
      <c r="F859" s="243"/>
      <c r="G859" s="243"/>
      <c r="H859" s="245"/>
      <c r="I859" s="245"/>
      <c r="J859" s="243"/>
      <c r="K859" s="243"/>
      <c r="L859" s="243"/>
      <c r="M859" s="243"/>
      <c r="N859" s="243"/>
      <c r="O859" s="244"/>
      <c r="P859" s="243"/>
      <c r="Q859" s="244"/>
      <c r="R859" s="243"/>
      <c r="S859" s="244"/>
      <c r="T859" s="243"/>
      <c r="U859" s="244"/>
      <c r="V859" s="246"/>
      <c r="W859" s="244"/>
      <c r="X859" s="243"/>
      <c r="Y859" s="244"/>
      <c r="Z859" s="243"/>
      <c r="AA859" s="243"/>
      <c r="AB859" s="243"/>
    </row>
    <row r="860">
      <c r="A860" s="243"/>
      <c r="B860" s="244"/>
      <c r="C860" s="243"/>
      <c r="D860" s="243"/>
      <c r="E860" s="243"/>
      <c r="F860" s="243"/>
      <c r="G860" s="243"/>
      <c r="H860" s="245"/>
      <c r="I860" s="245"/>
      <c r="J860" s="243"/>
      <c r="K860" s="243"/>
      <c r="L860" s="243"/>
      <c r="M860" s="243"/>
      <c r="N860" s="243"/>
      <c r="O860" s="244"/>
      <c r="P860" s="243"/>
      <c r="Q860" s="244"/>
      <c r="R860" s="243"/>
      <c r="S860" s="244"/>
      <c r="T860" s="243"/>
      <c r="U860" s="244"/>
      <c r="V860" s="246"/>
      <c r="W860" s="244"/>
      <c r="X860" s="243"/>
      <c r="Y860" s="244"/>
      <c r="Z860" s="243"/>
      <c r="AA860" s="243"/>
      <c r="AB860" s="243"/>
    </row>
    <row r="861">
      <c r="A861" s="243"/>
      <c r="B861" s="244"/>
      <c r="C861" s="243"/>
      <c r="D861" s="243"/>
      <c r="E861" s="243"/>
      <c r="F861" s="243"/>
      <c r="G861" s="243"/>
      <c r="H861" s="245"/>
      <c r="I861" s="245"/>
      <c r="J861" s="243"/>
      <c r="K861" s="243"/>
      <c r="L861" s="243"/>
      <c r="M861" s="243"/>
      <c r="N861" s="243"/>
      <c r="O861" s="244"/>
      <c r="P861" s="243"/>
      <c r="Q861" s="244"/>
      <c r="R861" s="243"/>
      <c r="S861" s="244"/>
      <c r="T861" s="243"/>
      <c r="U861" s="244"/>
      <c r="V861" s="246"/>
      <c r="W861" s="244"/>
      <c r="X861" s="243"/>
      <c r="Y861" s="244"/>
      <c r="Z861" s="243"/>
      <c r="AA861" s="243"/>
      <c r="AB861" s="243"/>
    </row>
    <row r="862">
      <c r="A862" s="243"/>
      <c r="B862" s="244"/>
      <c r="C862" s="243"/>
      <c r="D862" s="243"/>
      <c r="E862" s="243"/>
      <c r="F862" s="243"/>
      <c r="G862" s="243"/>
      <c r="H862" s="245"/>
      <c r="I862" s="245"/>
      <c r="J862" s="243"/>
      <c r="K862" s="243"/>
      <c r="L862" s="243"/>
      <c r="M862" s="243"/>
      <c r="N862" s="243"/>
      <c r="O862" s="244"/>
      <c r="P862" s="243"/>
      <c r="Q862" s="244"/>
      <c r="R862" s="243"/>
      <c r="S862" s="244"/>
      <c r="T862" s="243"/>
      <c r="U862" s="244"/>
      <c r="V862" s="246"/>
      <c r="W862" s="244"/>
      <c r="X862" s="243"/>
      <c r="Y862" s="244"/>
      <c r="Z862" s="243"/>
      <c r="AA862" s="243"/>
      <c r="AB862" s="243"/>
    </row>
    <row r="863">
      <c r="A863" s="243"/>
      <c r="B863" s="244"/>
      <c r="C863" s="243"/>
      <c r="D863" s="243"/>
      <c r="E863" s="243"/>
      <c r="F863" s="243"/>
      <c r="G863" s="243"/>
      <c r="H863" s="245"/>
      <c r="I863" s="245"/>
      <c r="J863" s="243"/>
      <c r="K863" s="243"/>
      <c r="L863" s="243"/>
      <c r="M863" s="243"/>
      <c r="N863" s="243"/>
      <c r="O863" s="244"/>
      <c r="P863" s="243"/>
      <c r="Q863" s="244"/>
      <c r="R863" s="243"/>
      <c r="S863" s="244"/>
      <c r="T863" s="243"/>
      <c r="U863" s="244"/>
      <c r="V863" s="246"/>
      <c r="W863" s="244"/>
      <c r="X863" s="243"/>
      <c r="Y863" s="244"/>
      <c r="Z863" s="243"/>
      <c r="AA863" s="243"/>
      <c r="AB863" s="243"/>
    </row>
    <row r="864">
      <c r="A864" s="243"/>
      <c r="B864" s="244"/>
      <c r="C864" s="243"/>
      <c r="D864" s="243"/>
      <c r="E864" s="243"/>
      <c r="F864" s="243"/>
      <c r="G864" s="243"/>
      <c r="H864" s="245"/>
      <c r="I864" s="245"/>
      <c r="J864" s="243"/>
      <c r="K864" s="243"/>
      <c r="L864" s="243"/>
      <c r="M864" s="243"/>
      <c r="N864" s="243"/>
      <c r="O864" s="244"/>
      <c r="P864" s="243"/>
      <c r="Q864" s="244"/>
      <c r="R864" s="243"/>
      <c r="S864" s="244"/>
      <c r="T864" s="243"/>
      <c r="U864" s="244"/>
      <c r="V864" s="246"/>
      <c r="W864" s="244"/>
      <c r="X864" s="243"/>
      <c r="Y864" s="244"/>
      <c r="Z864" s="243"/>
      <c r="AA864" s="243"/>
      <c r="AB864" s="243"/>
    </row>
    <row r="865">
      <c r="A865" s="243"/>
      <c r="B865" s="244"/>
      <c r="C865" s="243"/>
      <c r="D865" s="243"/>
      <c r="E865" s="243"/>
      <c r="F865" s="243"/>
      <c r="G865" s="243"/>
      <c r="H865" s="245"/>
      <c r="I865" s="245"/>
      <c r="J865" s="243"/>
      <c r="K865" s="243"/>
      <c r="L865" s="243"/>
      <c r="M865" s="243"/>
      <c r="N865" s="243"/>
      <c r="O865" s="244"/>
      <c r="P865" s="243"/>
      <c r="Q865" s="244"/>
      <c r="R865" s="243"/>
      <c r="S865" s="244"/>
      <c r="T865" s="243"/>
      <c r="U865" s="244"/>
      <c r="V865" s="246"/>
      <c r="W865" s="244"/>
      <c r="X865" s="243"/>
      <c r="Y865" s="244"/>
      <c r="Z865" s="243"/>
      <c r="AA865" s="243"/>
      <c r="AB865" s="243"/>
    </row>
    <row r="866">
      <c r="A866" s="243"/>
      <c r="B866" s="244"/>
      <c r="C866" s="243"/>
      <c r="D866" s="243"/>
      <c r="E866" s="243"/>
      <c r="F866" s="243"/>
      <c r="G866" s="243"/>
      <c r="H866" s="245"/>
      <c r="I866" s="245"/>
      <c r="J866" s="243"/>
      <c r="K866" s="243"/>
      <c r="L866" s="243"/>
      <c r="M866" s="243"/>
      <c r="N866" s="243"/>
      <c r="O866" s="244"/>
      <c r="P866" s="243"/>
      <c r="Q866" s="244"/>
      <c r="R866" s="243"/>
      <c r="S866" s="244"/>
      <c r="T866" s="243"/>
      <c r="U866" s="244"/>
      <c r="V866" s="246"/>
      <c r="W866" s="244"/>
      <c r="X866" s="243"/>
      <c r="Y866" s="244"/>
      <c r="Z866" s="243"/>
      <c r="AA866" s="243"/>
      <c r="AB866" s="243"/>
    </row>
    <row r="867">
      <c r="A867" s="243"/>
      <c r="B867" s="244"/>
      <c r="C867" s="243"/>
      <c r="D867" s="243"/>
      <c r="E867" s="243"/>
      <c r="F867" s="243"/>
      <c r="G867" s="243"/>
      <c r="H867" s="245"/>
      <c r="I867" s="245"/>
      <c r="J867" s="243"/>
      <c r="K867" s="243"/>
      <c r="L867" s="243"/>
      <c r="M867" s="243"/>
      <c r="N867" s="243"/>
      <c r="O867" s="244"/>
      <c r="P867" s="243"/>
      <c r="Q867" s="244"/>
      <c r="R867" s="243"/>
      <c r="S867" s="244"/>
      <c r="T867" s="243"/>
      <c r="U867" s="244"/>
      <c r="V867" s="246"/>
      <c r="W867" s="244"/>
      <c r="X867" s="243"/>
      <c r="Y867" s="244"/>
      <c r="Z867" s="243"/>
      <c r="AA867" s="243"/>
      <c r="AB867" s="243"/>
    </row>
    <row r="868">
      <c r="A868" s="243"/>
      <c r="B868" s="244"/>
      <c r="C868" s="243"/>
      <c r="D868" s="243"/>
      <c r="E868" s="243"/>
      <c r="F868" s="243"/>
      <c r="G868" s="243"/>
      <c r="H868" s="245"/>
      <c r="I868" s="245"/>
      <c r="J868" s="243"/>
      <c r="K868" s="243"/>
      <c r="L868" s="243"/>
      <c r="M868" s="243"/>
      <c r="N868" s="243"/>
      <c r="O868" s="244"/>
      <c r="P868" s="243"/>
      <c r="Q868" s="244"/>
      <c r="R868" s="243"/>
      <c r="S868" s="244"/>
      <c r="T868" s="243"/>
      <c r="U868" s="244"/>
      <c r="V868" s="246"/>
      <c r="W868" s="244"/>
      <c r="X868" s="243"/>
      <c r="Y868" s="244"/>
      <c r="Z868" s="243"/>
      <c r="AA868" s="243"/>
      <c r="AB868" s="243"/>
    </row>
    <row r="869">
      <c r="A869" s="243"/>
      <c r="B869" s="244"/>
      <c r="C869" s="243"/>
      <c r="D869" s="243"/>
      <c r="E869" s="243"/>
      <c r="F869" s="243"/>
      <c r="G869" s="243"/>
      <c r="H869" s="245"/>
      <c r="I869" s="245"/>
      <c r="J869" s="243"/>
      <c r="K869" s="243"/>
      <c r="L869" s="243"/>
      <c r="M869" s="243"/>
      <c r="N869" s="243"/>
      <c r="O869" s="244"/>
      <c r="P869" s="243"/>
      <c r="Q869" s="244"/>
      <c r="R869" s="243"/>
      <c r="S869" s="244"/>
      <c r="T869" s="243"/>
      <c r="U869" s="244"/>
      <c r="V869" s="246"/>
      <c r="W869" s="244"/>
      <c r="X869" s="243"/>
      <c r="Y869" s="244"/>
      <c r="Z869" s="243"/>
      <c r="AA869" s="243"/>
      <c r="AB869" s="243"/>
    </row>
    <row r="870">
      <c r="A870" s="243"/>
      <c r="B870" s="244"/>
      <c r="C870" s="243"/>
      <c r="D870" s="243"/>
      <c r="E870" s="243"/>
      <c r="F870" s="243"/>
      <c r="G870" s="243"/>
      <c r="H870" s="245"/>
      <c r="I870" s="245"/>
      <c r="J870" s="243"/>
      <c r="K870" s="243"/>
      <c r="L870" s="243"/>
      <c r="M870" s="243"/>
      <c r="N870" s="243"/>
      <c r="O870" s="244"/>
      <c r="P870" s="243"/>
      <c r="Q870" s="244"/>
      <c r="R870" s="243"/>
      <c r="S870" s="244"/>
      <c r="T870" s="243"/>
      <c r="U870" s="244"/>
      <c r="V870" s="246"/>
      <c r="W870" s="244"/>
      <c r="X870" s="243"/>
      <c r="Y870" s="244"/>
      <c r="Z870" s="243"/>
      <c r="AA870" s="243"/>
      <c r="AB870" s="243"/>
    </row>
    <row r="871">
      <c r="A871" s="243"/>
      <c r="B871" s="244"/>
      <c r="C871" s="243"/>
      <c r="D871" s="243"/>
      <c r="E871" s="243"/>
      <c r="F871" s="243"/>
      <c r="G871" s="243"/>
      <c r="H871" s="245"/>
      <c r="I871" s="245"/>
      <c r="J871" s="243"/>
      <c r="K871" s="243"/>
      <c r="L871" s="243"/>
      <c r="M871" s="243"/>
      <c r="N871" s="243"/>
      <c r="O871" s="244"/>
      <c r="P871" s="243"/>
      <c r="Q871" s="244"/>
      <c r="R871" s="243"/>
      <c r="S871" s="244"/>
      <c r="T871" s="243"/>
      <c r="U871" s="244"/>
      <c r="V871" s="246"/>
      <c r="W871" s="244"/>
      <c r="X871" s="243"/>
      <c r="Y871" s="244"/>
      <c r="Z871" s="243"/>
      <c r="AA871" s="243"/>
      <c r="AB871" s="243"/>
    </row>
    <row r="872">
      <c r="A872" s="243"/>
      <c r="B872" s="244"/>
      <c r="C872" s="243"/>
      <c r="D872" s="243"/>
      <c r="E872" s="243"/>
      <c r="F872" s="243"/>
      <c r="G872" s="243"/>
      <c r="H872" s="245"/>
      <c r="I872" s="245"/>
      <c r="J872" s="243"/>
      <c r="K872" s="243"/>
      <c r="L872" s="243"/>
      <c r="M872" s="243"/>
      <c r="N872" s="243"/>
      <c r="O872" s="244"/>
      <c r="P872" s="243"/>
      <c r="Q872" s="244"/>
      <c r="R872" s="243"/>
      <c r="S872" s="244"/>
      <c r="T872" s="243"/>
      <c r="U872" s="244"/>
      <c r="V872" s="246"/>
      <c r="W872" s="244"/>
      <c r="X872" s="243"/>
      <c r="Y872" s="244"/>
      <c r="Z872" s="243"/>
      <c r="AA872" s="243"/>
      <c r="AB872" s="243"/>
    </row>
    <row r="873">
      <c r="A873" s="243"/>
      <c r="B873" s="244"/>
      <c r="C873" s="243"/>
      <c r="D873" s="243"/>
      <c r="E873" s="243"/>
      <c r="F873" s="243"/>
      <c r="G873" s="243"/>
      <c r="H873" s="245"/>
      <c r="I873" s="245"/>
      <c r="J873" s="243"/>
      <c r="K873" s="243"/>
      <c r="L873" s="243"/>
      <c r="M873" s="243"/>
      <c r="N873" s="243"/>
      <c r="O873" s="244"/>
      <c r="P873" s="243"/>
      <c r="Q873" s="244"/>
      <c r="R873" s="243"/>
      <c r="S873" s="244"/>
      <c r="T873" s="243"/>
      <c r="U873" s="244"/>
      <c r="V873" s="246"/>
      <c r="W873" s="244"/>
      <c r="X873" s="243"/>
      <c r="Y873" s="244"/>
      <c r="Z873" s="243"/>
      <c r="AA873" s="243"/>
      <c r="AB873" s="243"/>
    </row>
    <row r="874">
      <c r="A874" s="243"/>
      <c r="B874" s="244"/>
      <c r="C874" s="243"/>
      <c r="D874" s="243"/>
      <c r="E874" s="243"/>
      <c r="F874" s="243"/>
      <c r="G874" s="243"/>
      <c r="H874" s="245"/>
      <c r="I874" s="245"/>
      <c r="J874" s="243"/>
      <c r="K874" s="243"/>
      <c r="L874" s="243"/>
      <c r="M874" s="243"/>
      <c r="N874" s="243"/>
      <c r="O874" s="244"/>
      <c r="P874" s="243"/>
      <c r="Q874" s="244"/>
      <c r="R874" s="243"/>
      <c r="S874" s="244"/>
      <c r="T874" s="243"/>
      <c r="U874" s="244"/>
      <c r="V874" s="246"/>
      <c r="W874" s="244"/>
      <c r="X874" s="243"/>
      <c r="Y874" s="244"/>
      <c r="Z874" s="243"/>
      <c r="AA874" s="243"/>
      <c r="AB874" s="243"/>
    </row>
    <row r="875">
      <c r="A875" s="243"/>
      <c r="B875" s="244"/>
      <c r="C875" s="243"/>
      <c r="D875" s="243"/>
      <c r="E875" s="243"/>
      <c r="F875" s="243"/>
      <c r="G875" s="243"/>
      <c r="H875" s="245"/>
      <c r="I875" s="245"/>
      <c r="J875" s="243"/>
      <c r="K875" s="243"/>
      <c r="L875" s="243"/>
      <c r="M875" s="243"/>
      <c r="N875" s="243"/>
      <c r="O875" s="244"/>
      <c r="P875" s="243"/>
      <c r="Q875" s="244"/>
      <c r="R875" s="243"/>
      <c r="S875" s="244"/>
      <c r="T875" s="243"/>
      <c r="U875" s="244"/>
      <c r="V875" s="246"/>
      <c r="W875" s="244"/>
      <c r="X875" s="243"/>
      <c r="Y875" s="244"/>
      <c r="Z875" s="243"/>
      <c r="AA875" s="243"/>
      <c r="AB875" s="243"/>
    </row>
    <row r="876">
      <c r="A876" s="243"/>
      <c r="B876" s="244"/>
      <c r="C876" s="243"/>
      <c r="D876" s="243"/>
      <c r="E876" s="243"/>
      <c r="F876" s="243"/>
      <c r="G876" s="243"/>
      <c r="H876" s="245"/>
      <c r="I876" s="245"/>
      <c r="J876" s="243"/>
      <c r="K876" s="243"/>
      <c r="L876" s="243"/>
      <c r="M876" s="243"/>
      <c r="N876" s="243"/>
      <c r="O876" s="244"/>
      <c r="P876" s="243"/>
      <c r="Q876" s="244"/>
      <c r="R876" s="243"/>
      <c r="S876" s="244"/>
      <c r="T876" s="243"/>
      <c r="U876" s="244"/>
      <c r="V876" s="246"/>
      <c r="W876" s="244"/>
      <c r="X876" s="243"/>
      <c r="Y876" s="244"/>
      <c r="Z876" s="243"/>
      <c r="AA876" s="243"/>
      <c r="AB876" s="243"/>
    </row>
    <row r="877">
      <c r="A877" s="243"/>
      <c r="B877" s="244"/>
      <c r="C877" s="243"/>
      <c r="D877" s="243"/>
      <c r="E877" s="243"/>
      <c r="F877" s="243"/>
      <c r="G877" s="243"/>
      <c r="H877" s="245"/>
      <c r="I877" s="245"/>
      <c r="J877" s="243"/>
      <c r="K877" s="243"/>
      <c r="L877" s="243"/>
      <c r="M877" s="243"/>
      <c r="N877" s="243"/>
      <c r="O877" s="244"/>
      <c r="P877" s="243"/>
      <c r="Q877" s="244"/>
      <c r="R877" s="243"/>
      <c r="S877" s="244"/>
      <c r="T877" s="243"/>
      <c r="U877" s="244"/>
      <c r="V877" s="246"/>
      <c r="W877" s="244"/>
      <c r="X877" s="243"/>
      <c r="Y877" s="244"/>
      <c r="Z877" s="243"/>
      <c r="AA877" s="243"/>
      <c r="AB877" s="243"/>
    </row>
    <row r="878">
      <c r="A878" s="243"/>
      <c r="B878" s="244"/>
      <c r="C878" s="243"/>
      <c r="D878" s="243"/>
      <c r="E878" s="243"/>
      <c r="F878" s="243"/>
      <c r="G878" s="243"/>
      <c r="H878" s="245"/>
      <c r="I878" s="245"/>
      <c r="J878" s="243"/>
      <c r="K878" s="243"/>
      <c r="L878" s="243"/>
      <c r="M878" s="243"/>
      <c r="N878" s="243"/>
      <c r="O878" s="244"/>
      <c r="P878" s="243"/>
      <c r="Q878" s="244"/>
      <c r="R878" s="243"/>
      <c r="S878" s="244"/>
      <c r="T878" s="243"/>
      <c r="U878" s="244"/>
      <c r="V878" s="246"/>
      <c r="W878" s="244"/>
      <c r="X878" s="243"/>
      <c r="Y878" s="244"/>
      <c r="Z878" s="243"/>
      <c r="AA878" s="243"/>
      <c r="AB878" s="243"/>
    </row>
    <row r="879">
      <c r="A879" s="243"/>
      <c r="B879" s="244"/>
      <c r="C879" s="243"/>
      <c r="D879" s="243"/>
      <c r="E879" s="243"/>
      <c r="F879" s="243"/>
      <c r="G879" s="243"/>
      <c r="H879" s="245"/>
      <c r="I879" s="245"/>
      <c r="J879" s="243"/>
      <c r="K879" s="243"/>
      <c r="L879" s="243"/>
      <c r="M879" s="243"/>
      <c r="N879" s="243"/>
      <c r="O879" s="244"/>
      <c r="P879" s="243"/>
      <c r="Q879" s="244"/>
      <c r="R879" s="243"/>
      <c r="S879" s="244"/>
      <c r="T879" s="243"/>
      <c r="U879" s="244"/>
      <c r="V879" s="246"/>
      <c r="W879" s="244"/>
      <c r="X879" s="243"/>
      <c r="Y879" s="244"/>
      <c r="Z879" s="243"/>
      <c r="AA879" s="243"/>
      <c r="AB879" s="243"/>
    </row>
    <row r="880">
      <c r="A880" s="243"/>
      <c r="B880" s="244"/>
      <c r="C880" s="243"/>
      <c r="D880" s="243"/>
      <c r="E880" s="243"/>
      <c r="F880" s="243"/>
      <c r="G880" s="243"/>
      <c r="H880" s="245"/>
      <c r="I880" s="245"/>
      <c r="J880" s="243"/>
      <c r="K880" s="243"/>
      <c r="L880" s="243"/>
      <c r="M880" s="243"/>
      <c r="N880" s="243"/>
      <c r="O880" s="244"/>
      <c r="P880" s="243"/>
      <c r="Q880" s="244"/>
      <c r="R880" s="243"/>
      <c r="S880" s="244"/>
      <c r="T880" s="243"/>
      <c r="U880" s="244"/>
      <c r="V880" s="246"/>
      <c r="W880" s="244"/>
      <c r="X880" s="243"/>
      <c r="Y880" s="244"/>
      <c r="Z880" s="243"/>
      <c r="AA880" s="243"/>
      <c r="AB880" s="243"/>
    </row>
    <row r="881">
      <c r="A881" s="243"/>
      <c r="B881" s="244"/>
      <c r="C881" s="243"/>
      <c r="D881" s="243"/>
      <c r="E881" s="243"/>
      <c r="F881" s="243"/>
      <c r="G881" s="243"/>
      <c r="H881" s="245"/>
      <c r="I881" s="245"/>
      <c r="J881" s="243"/>
      <c r="K881" s="243"/>
      <c r="L881" s="243"/>
      <c r="M881" s="243"/>
      <c r="N881" s="243"/>
      <c r="O881" s="244"/>
      <c r="P881" s="243"/>
      <c r="Q881" s="244"/>
      <c r="R881" s="243"/>
      <c r="S881" s="244"/>
      <c r="T881" s="243"/>
      <c r="U881" s="244"/>
      <c r="V881" s="246"/>
      <c r="W881" s="244"/>
      <c r="X881" s="243"/>
      <c r="Y881" s="244"/>
      <c r="Z881" s="243"/>
      <c r="AA881" s="243"/>
      <c r="AB881" s="243"/>
    </row>
    <row r="882">
      <c r="A882" s="243"/>
      <c r="B882" s="244"/>
      <c r="C882" s="243"/>
      <c r="D882" s="243"/>
      <c r="E882" s="243"/>
      <c r="F882" s="243"/>
      <c r="G882" s="243"/>
      <c r="H882" s="245"/>
      <c r="I882" s="245"/>
      <c r="J882" s="243"/>
      <c r="K882" s="243"/>
      <c r="L882" s="243"/>
      <c r="M882" s="243"/>
      <c r="N882" s="243"/>
      <c r="O882" s="244"/>
      <c r="P882" s="243"/>
      <c r="Q882" s="244"/>
      <c r="R882" s="243"/>
      <c r="S882" s="244"/>
      <c r="T882" s="243"/>
      <c r="U882" s="244"/>
      <c r="V882" s="246"/>
      <c r="W882" s="244"/>
      <c r="X882" s="243"/>
      <c r="Y882" s="244"/>
      <c r="Z882" s="243"/>
      <c r="AA882" s="243"/>
      <c r="AB882" s="243"/>
    </row>
    <row r="883">
      <c r="A883" s="243"/>
      <c r="B883" s="244"/>
      <c r="C883" s="243"/>
      <c r="D883" s="243"/>
      <c r="E883" s="243"/>
      <c r="F883" s="243"/>
      <c r="G883" s="243"/>
      <c r="H883" s="245"/>
      <c r="I883" s="245"/>
      <c r="J883" s="243"/>
      <c r="K883" s="243"/>
      <c r="L883" s="243"/>
      <c r="M883" s="243"/>
      <c r="N883" s="243"/>
      <c r="O883" s="244"/>
      <c r="P883" s="243"/>
      <c r="Q883" s="244"/>
      <c r="R883" s="243"/>
      <c r="S883" s="244"/>
      <c r="T883" s="243"/>
      <c r="U883" s="244"/>
      <c r="V883" s="246"/>
      <c r="W883" s="244"/>
      <c r="X883" s="243"/>
      <c r="Y883" s="244"/>
      <c r="Z883" s="243"/>
      <c r="AA883" s="243"/>
      <c r="AB883" s="243"/>
    </row>
    <row r="884">
      <c r="A884" s="243"/>
      <c r="B884" s="244"/>
      <c r="C884" s="243"/>
      <c r="D884" s="243"/>
      <c r="E884" s="243"/>
      <c r="F884" s="243"/>
      <c r="G884" s="243"/>
      <c r="H884" s="245"/>
      <c r="I884" s="245"/>
      <c r="J884" s="243"/>
      <c r="K884" s="243"/>
      <c r="L884" s="243"/>
      <c r="M884" s="243"/>
      <c r="N884" s="243"/>
      <c r="O884" s="244"/>
      <c r="P884" s="243"/>
      <c r="Q884" s="244"/>
      <c r="R884" s="243"/>
      <c r="S884" s="244"/>
      <c r="T884" s="243"/>
      <c r="U884" s="244"/>
      <c r="V884" s="246"/>
      <c r="W884" s="244"/>
      <c r="X884" s="243"/>
      <c r="Y884" s="244"/>
      <c r="Z884" s="243"/>
      <c r="AA884" s="243"/>
      <c r="AB884" s="243"/>
    </row>
    <row r="885">
      <c r="A885" s="243"/>
      <c r="B885" s="244"/>
      <c r="C885" s="243"/>
      <c r="D885" s="243"/>
      <c r="E885" s="243"/>
      <c r="F885" s="243"/>
      <c r="G885" s="243"/>
      <c r="H885" s="245"/>
      <c r="I885" s="245"/>
      <c r="J885" s="243"/>
      <c r="K885" s="243"/>
      <c r="L885" s="243"/>
      <c r="M885" s="243"/>
      <c r="N885" s="243"/>
      <c r="O885" s="244"/>
      <c r="P885" s="243"/>
      <c r="Q885" s="244"/>
      <c r="R885" s="243"/>
      <c r="S885" s="244"/>
      <c r="T885" s="243"/>
      <c r="U885" s="244"/>
      <c r="V885" s="246"/>
      <c r="W885" s="244"/>
      <c r="X885" s="243"/>
      <c r="Y885" s="244"/>
      <c r="Z885" s="243"/>
      <c r="AA885" s="243"/>
      <c r="AB885" s="243"/>
    </row>
    <row r="886">
      <c r="A886" s="243"/>
      <c r="B886" s="244"/>
      <c r="C886" s="243"/>
      <c r="D886" s="243"/>
      <c r="E886" s="243"/>
      <c r="F886" s="243"/>
      <c r="G886" s="243"/>
      <c r="H886" s="245"/>
      <c r="I886" s="245"/>
      <c r="J886" s="243"/>
      <c r="K886" s="243"/>
      <c r="L886" s="243"/>
      <c r="M886" s="243"/>
      <c r="N886" s="243"/>
      <c r="O886" s="244"/>
      <c r="P886" s="243"/>
      <c r="Q886" s="244"/>
      <c r="R886" s="243"/>
      <c r="S886" s="244"/>
      <c r="T886" s="243"/>
      <c r="U886" s="244"/>
      <c r="V886" s="246"/>
      <c r="W886" s="244"/>
      <c r="X886" s="243"/>
      <c r="Y886" s="244"/>
      <c r="Z886" s="243"/>
      <c r="AA886" s="243"/>
      <c r="AB886" s="243"/>
    </row>
    <row r="887">
      <c r="A887" s="243"/>
      <c r="B887" s="244"/>
      <c r="C887" s="243"/>
      <c r="D887" s="243"/>
      <c r="E887" s="243"/>
      <c r="F887" s="243"/>
      <c r="G887" s="243"/>
      <c r="H887" s="245"/>
      <c r="I887" s="245"/>
      <c r="J887" s="243"/>
      <c r="K887" s="243"/>
      <c r="L887" s="243"/>
      <c r="M887" s="243"/>
      <c r="N887" s="243"/>
      <c r="O887" s="244"/>
      <c r="P887" s="243"/>
      <c r="Q887" s="244"/>
      <c r="R887" s="243"/>
      <c r="S887" s="244"/>
      <c r="T887" s="243"/>
      <c r="U887" s="244"/>
      <c r="V887" s="246"/>
      <c r="W887" s="244"/>
      <c r="X887" s="243"/>
      <c r="Y887" s="244"/>
      <c r="Z887" s="243"/>
      <c r="AA887" s="243"/>
      <c r="AB887" s="243"/>
    </row>
    <row r="888">
      <c r="A888" s="243"/>
      <c r="B888" s="244"/>
      <c r="C888" s="243"/>
      <c r="D888" s="243"/>
      <c r="E888" s="243"/>
      <c r="F888" s="243"/>
      <c r="G888" s="243"/>
      <c r="H888" s="245"/>
      <c r="I888" s="245"/>
      <c r="J888" s="243"/>
      <c r="K888" s="243"/>
      <c r="L888" s="243"/>
      <c r="M888" s="243"/>
      <c r="N888" s="243"/>
      <c r="O888" s="244"/>
      <c r="P888" s="243"/>
      <c r="Q888" s="244"/>
      <c r="R888" s="243"/>
      <c r="S888" s="244"/>
      <c r="T888" s="243"/>
      <c r="U888" s="244"/>
      <c r="V888" s="246"/>
      <c r="W888" s="244"/>
      <c r="X888" s="243"/>
      <c r="Y888" s="244"/>
      <c r="Z888" s="243"/>
      <c r="AA888" s="243"/>
      <c r="AB888" s="243"/>
    </row>
    <row r="889">
      <c r="A889" s="243"/>
      <c r="B889" s="244"/>
      <c r="C889" s="243"/>
      <c r="D889" s="243"/>
      <c r="E889" s="243"/>
      <c r="F889" s="243"/>
      <c r="G889" s="243"/>
      <c r="H889" s="245"/>
      <c r="I889" s="245"/>
      <c r="J889" s="243"/>
      <c r="K889" s="243"/>
      <c r="L889" s="243"/>
      <c r="M889" s="243"/>
      <c r="N889" s="243"/>
      <c r="O889" s="244"/>
      <c r="P889" s="243"/>
      <c r="Q889" s="244"/>
      <c r="R889" s="243"/>
      <c r="S889" s="244"/>
      <c r="T889" s="243"/>
      <c r="U889" s="244"/>
      <c r="V889" s="246"/>
      <c r="W889" s="244"/>
      <c r="X889" s="243"/>
      <c r="Y889" s="244"/>
      <c r="Z889" s="243"/>
      <c r="AA889" s="243"/>
      <c r="AB889" s="243"/>
    </row>
    <row r="890">
      <c r="A890" s="243"/>
      <c r="B890" s="244"/>
      <c r="C890" s="243"/>
      <c r="D890" s="243"/>
      <c r="E890" s="243"/>
      <c r="F890" s="243"/>
      <c r="G890" s="243"/>
      <c r="H890" s="245"/>
      <c r="I890" s="245"/>
      <c r="J890" s="243"/>
      <c r="K890" s="243"/>
      <c r="L890" s="243"/>
      <c r="M890" s="243"/>
      <c r="N890" s="243"/>
      <c r="O890" s="244"/>
      <c r="P890" s="243"/>
      <c r="Q890" s="244"/>
      <c r="R890" s="243"/>
      <c r="S890" s="244"/>
      <c r="T890" s="243"/>
      <c r="U890" s="244"/>
      <c r="V890" s="246"/>
      <c r="W890" s="244"/>
      <c r="X890" s="243"/>
      <c r="Y890" s="244"/>
      <c r="Z890" s="243"/>
      <c r="AA890" s="243"/>
      <c r="AB890" s="243"/>
    </row>
    <row r="891">
      <c r="A891" s="243"/>
      <c r="B891" s="244"/>
      <c r="C891" s="243"/>
      <c r="D891" s="243"/>
      <c r="E891" s="243"/>
      <c r="F891" s="243"/>
      <c r="G891" s="243"/>
      <c r="H891" s="245"/>
      <c r="I891" s="245"/>
      <c r="J891" s="243"/>
      <c r="K891" s="243"/>
      <c r="L891" s="243"/>
      <c r="M891" s="243"/>
      <c r="N891" s="243"/>
      <c r="O891" s="244"/>
      <c r="P891" s="243"/>
      <c r="Q891" s="244"/>
      <c r="R891" s="243"/>
      <c r="S891" s="244"/>
      <c r="T891" s="243"/>
      <c r="U891" s="244"/>
      <c r="V891" s="246"/>
      <c r="W891" s="244"/>
      <c r="X891" s="243"/>
      <c r="Y891" s="244"/>
      <c r="Z891" s="243"/>
      <c r="AA891" s="243"/>
      <c r="AB891" s="243"/>
    </row>
    <row r="892">
      <c r="A892" s="243"/>
      <c r="B892" s="244"/>
      <c r="C892" s="243"/>
      <c r="D892" s="243"/>
      <c r="E892" s="243"/>
      <c r="F892" s="243"/>
      <c r="G892" s="243"/>
      <c r="H892" s="245"/>
      <c r="I892" s="245"/>
      <c r="J892" s="243"/>
      <c r="K892" s="243"/>
      <c r="L892" s="243"/>
      <c r="M892" s="243"/>
      <c r="N892" s="243"/>
      <c r="O892" s="244"/>
      <c r="P892" s="243"/>
      <c r="Q892" s="244"/>
      <c r="R892" s="243"/>
      <c r="S892" s="244"/>
      <c r="T892" s="243"/>
      <c r="U892" s="244"/>
      <c r="V892" s="246"/>
      <c r="W892" s="244"/>
      <c r="X892" s="243"/>
      <c r="Y892" s="244"/>
      <c r="Z892" s="243"/>
      <c r="AA892" s="243"/>
      <c r="AB892" s="243"/>
    </row>
    <row r="893">
      <c r="A893" s="243"/>
      <c r="B893" s="244"/>
      <c r="C893" s="243"/>
      <c r="D893" s="243"/>
      <c r="E893" s="243"/>
      <c r="F893" s="243"/>
      <c r="G893" s="243"/>
      <c r="H893" s="245"/>
      <c r="I893" s="245"/>
      <c r="J893" s="243"/>
      <c r="K893" s="243"/>
      <c r="L893" s="243"/>
      <c r="M893" s="243"/>
      <c r="N893" s="243"/>
      <c r="O893" s="244"/>
      <c r="P893" s="243"/>
      <c r="Q893" s="244"/>
      <c r="R893" s="243"/>
      <c r="S893" s="244"/>
      <c r="T893" s="243"/>
      <c r="U893" s="244"/>
      <c r="V893" s="246"/>
      <c r="W893" s="244"/>
      <c r="X893" s="243"/>
      <c r="Y893" s="244"/>
      <c r="Z893" s="243"/>
      <c r="AA893" s="243"/>
      <c r="AB893" s="243"/>
    </row>
    <row r="894">
      <c r="A894" s="243"/>
      <c r="B894" s="244"/>
      <c r="C894" s="243"/>
      <c r="D894" s="243"/>
      <c r="E894" s="243"/>
      <c r="F894" s="243"/>
      <c r="G894" s="243"/>
      <c r="H894" s="245"/>
      <c r="I894" s="245"/>
      <c r="J894" s="243"/>
      <c r="K894" s="243"/>
      <c r="L894" s="243"/>
      <c r="M894" s="243"/>
      <c r="N894" s="243"/>
      <c r="O894" s="244"/>
      <c r="P894" s="243"/>
      <c r="Q894" s="244"/>
      <c r="R894" s="243"/>
      <c r="S894" s="244"/>
      <c r="T894" s="243"/>
      <c r="U894" s="244"/>
      <c r="V894" s="246"/>
      <c r="W894" s="244"/>
      <c r="X894" s="243"/>
      <c r="Y894" s="244"/>
      <c r="Z894" s="243"/>
      <c r="AA894" s="243"/>
      <c r="AB894" s="243"/>
    </row>
    <row r="895">
      <c r="A895" s="243"/>
      <c r="B895" s="244"/>
      <c r="C895" s="243"/>
      <c r="D895" s="243"/>
      <c r="E895" s="243"/>
      <c r="F895" s="243"/>
      <c r="G895" s="243"/>
      <c r="H895" s="245"/>
      <c r="I895" s="245"/>
      <c r="J895" s="243"/>
      <c r="K895" s="243"/>
      <c r="L895" s="243"/>
      <c r="M895" s="243"/>
      <c r="N895" s="243"/>
      <c r="O895" s="244"/>
      <c r="P895" s="243"/>
      <c r="Q895" s="244"/>
      <c r="R895" s="243"/>
      <c r="S895" s="244"/>
      <c r="T895" s="243"/>
      <c r="U895" s="244"/>
      <c r="V895" s="246"/>
      <c r="W895" s="244"/>
      <c r="X895" s="243"/>
      <c r="Y895" s="244"/>
      <c r="Z895" s="243"/>
      <c r="AA895" s="243"/>
      <c r="AB895" s="243"/>
    </row>
    <row r="896">
      <c r="A896" s="243"/>
      <c r="B896" s="244"/>
      <c r="C896" s="243"/>
      <c r="D896" s="243"/>
      <c r="E896" s="243"/>
      <c r="F896" s="243"/>
      <c r="G896" s="243"/>
      <c r="H896" s="245"/>
      <c r="I896" s="245"/>
      <c r="J896" s="243"/>
      <c r="K896" s="243"/>
      <c r="L896" s="243"/>
      <c r="M896" s="243"/>
      <c r="N896" s="243"/>
      <c r="O896" s="244"/>
      <c r="P896" s="243"/>
      <c r="Q896" s="244"/>
      <c r="R896" s="243"/>
      <c r="S896" s="244"/>
      <c r="T896" s="243"/>
      <c r="U896" s="244"/>
      <c r="V896" s="246"/>
      <c r="W896" s="244"/>
      <c r="X896" s="243"/>
      <c r="Y896" s="244"/>
      <c r="Z896" s="243"/>
      <c r="AA896" s="243"/>
      <c r="AB896" s="243"/>
    </row>
    <row r="897">
      <c r="A897" s="243"/>
      <c r="B897" s="244"/>
      <c r="C897" s="243"/>
      <c r="D897" s="243"/>
      <c r="E897" s="243"/>
      <c r="F897" s="243"/>
      <c r="G897" s="243"/>
      <c r="H897" s="245"/>
      <c r="I897" s="245"/>
      <c r="J897" s="243"/>
      <c r="K897" s="243"/>
      <c r="L897" s="243"/>
      <c r="M897" s="243"/>
      <c r="N897" s="243"/>
      <c r="O897" s="244"/>
      <c r="P897" s="243"/>
      <c r="Q897" s="244"/>
      <c r="R897" s="243"/>
      <c r="S897" s="244"/>
      <c r="T897" s="243"/>
      <c r="U897" s="244"/>
      <c r="V897" s="246"/>
      <c r="W897" s="244"/>
      <c r="X897" s="243"/>
      <c r="Y897" s="244"/>
      <c r="Z897" s="243"/>
      <c r="AA897" s="243"/>
      <c r="AB897" s="243"/>
    </row>
    <row r="898">
      <c r="A898" s="243"/>
      <c r="B898" s="244"/>
      <c r="C898" s="243"/>
      <c r="D898" s="243"/>
      <c r="E898" s="243"/>
      <c r="F898" s="243"/>
      <c r="G898" s="243"/>
      <c r="H898" s="245"/>
      <c r="I898" s="245"/>
      <c r="J898" s="243"/>
      <c r="K898" s="243"/>
      <c r="L898" s="243"/>
      <c r="M898" s="243"/>
      <c r="N898" s="243"/>
      <c r="O898" s="244"/>
      <c r="P898" s="243"/>
      <c r="Q898" s="244"/>
      <c r="R898" s="243"/>
      <c r="S898" s="244"/>
      <c r="T898" s="243"/>
      <c r="U898" s="244"/>
      <c r="V898" s="246"/>
      <c r="W898" s="244"/>
      <c r="X898" s="243"/>
      <c r="Y898" s="244"/>
      <c r="Z898" s="243"/>
      <c r="AA898" s="243"/>
      <c r="AB898" s="243"/>
    </row>
    <row r="899">
      <c r="A899" s="243"/>
      <c r="B899" s="244"/>
      <c r="C899" s="243"/>
      <c r="D899" s="243"/>
      <c r="E899" s="243"/>
      <c r="F899" s="243"/>
      <c r="G899" s="243"/>
      <c r="H899" s="245"/>
      <c r="I899" s="245"/>
      <c r="J899" s="243"/>
      <c r="K899" s="243"/>
      <c r="L899" s="243"/>
      <c r="M899" s="243"/>
      <c r="N899" s="243"/>
      <c r="O899" s="244"/>
      <c r="P899" s="243"/>
      <c r="Q899" s="244"/>
      <c r="R899" s="243"/>
      <c r="S899" s="244"/>
      <c r="T899" s="243"/>
      <c r="U899" s="244"/>
      <c r="V899" s="246"/>
      <c r="W899" s="244"/>
      <c r="X899" s="243"/>
      <c r="Y899" s="244"/>
      <c r="Z899" s="243"/>
      <c r="AA899" s="243"/>
      <c r="AB899" s="243"/>
    </row>
    <row r="900">
      <c r="A900" s="243"/>
      <c r="B900" s="244"/>
      <c r="C900" s="243"/>
      <c r="D900" s="243"/>
      <c r="E900" s="243"/>
      <c r="F900" s="243"/>
      <c r="G900" s="243"/>
      <c r="H900" s="245"/>
      <c r="I900" s="245"/>
      <c r="J900" s="243"/>
      <c r="K900" s="243"/>
      <c r="L900" s="243"/>
      <c r="M900" s="243"/>
      <c r="N900" s="243"/>
      <c r="O900" s="244"/>
      <c r="P900" s="243"/>
      <c r="Q900" s="244"/>
      <c r="R900" s="243"/>
      <c r="S900" s="244"/>
      <c r="T900" s="243"/>
      <c r="U900" s="244"/>
      <c r="V900" s="246"/>
      <c r="W900" s="244"/>
      <c r="X900" s="243"/>
      <c r="Y900" s="244"/>
      <c r="Z900" s="243"/>
      <c r="AA900" s="243"/>
      <c r="AB900" s="243"/>
    </row>
    <row r="901">
      <c r="A901" s="243"/>
      <c r="B901" s="244"/>
      <c r="C901" s="243"/>
      <c r="D901" s="243"/>
      <c r="E901" s="243"/>
      <c r="F901" s="243"/>
      <c r="G901" s="243"/>
      <c r="H901" s="245"/>
      <c r="I901" s="245"/>
      <c r="J901" s="243"/>
      <c r="K901" s="243"/>
      <c r="L901" s="243"/>
      <c r="M901" s="243"/>
      <c r="N901" s="243"/>
      <c r="O901" s="244"/>
      <c r="P901" s="243"/>
      <c r="Q901" s="244"/>
      <c r="R901" s="243"/>
      <c r="S901" s="244"/>
      <c r="T901" s="243"/>
      <c r="U901" s="244"/>
      <c r="V901" s="246"/>
      <c r="W901" s="244"/>
      <c r="X901" s="243"/>
      <c r="Y901" s="244"/>
      <c r="Z901" s="243"/>
      <c r="AA901" s="243"/>
      <c r="AB901" s="243"/>
    </row>
    <row r="902">
      <c r="A902" s="243"/>
      <c r="B902" s="244"/>
      <c r="C902" s="243"/>
      <c r="D902" s="243"/>
      <c r="E902" s="243"/>
      <c r="F902" s="243"/>
      <c r="G902" s="243"/>
      <c r="H902" s="245"/>
      <c r="I902" s="245"/>
      <c r="J902" s="243"/>
      <c r="K902" s="243"/>
      <c r="L902" s="243"/>
      <c r="M902" s="243"/>
      <c r="N902" s="243"/>
      <c r="O902" s="244"/>
      <c r="P902" s="243"/>
      <c r="Q902" s="244"/>
      <c r="R902" s="243"/>
      <c r="S902" s="244"/>
      <c r="T902" s="243"/>
      <c r="U902" s="244"/>
      <c r="V902" s="246"/>
      <c r="W902" s="244"/>
      <c r="X902" s="243"/>
      <c r="Y902" s="244"/>
      <c r="Z902" s="243"/>
      <c r="AA902" s="243"/>
      <c r="AB902" s="243"/>
    </row>
    <row r="903">
      <c r="A903" s="243"/>
      <c r="B903" s="244"/>
      <c r="C903" s="243"/>
      <c r="D903" s="243"/>
      <c r="E903" s="243"/>
      <c r="F903" s="243"/>
      <c r="G903" s="243"/>
      <c r="H903" s="245"/>
      <c r="I903" s="245"/>
      <c r="J903" s="243"/>
      <c r="K903" s="243"/>
      <c r="L903" s="243"/>
      <c r="M903" s="243"/>
      <c r="N903" s="243"/>
      <c r="O903" s="244"/>
      <c r="P903" s="243"/>
      <c r="Q903" s="244"/>
      <c r="R903" s="243"/>
      <c r="S903" s="244"/>
      <c r="T903" s="243"/>
      <c r="U903" s="244"/>
      <c r="V903" s="246"/>
      <c r="W903" s="244"/>
      <c r="X903" s="243"/>
      <c r="Y903" s="244"/>
      <c r="Z903" s="243"/>
      <c r="AA903" s="243"/>
      <c r="AB903" s="243"/>
    </row>
    <row r="904">
      <c r="A904" s="243"/>
      <c r="B904" s="244"/>
      <c r="C904" s="243"/>
      <c r="D904" s="243"/>
      <c r="E904" s="243"/>
      <c r="F904" s="243"/>
      <c r="G904" s="243"/>
      <c r="H904" s="245"/>
      <c r="I904" s="245"/>
      <c r="J904" s="243"/>
      <c r="K904" s="243"/>
      <c r="L904" s="243"/>
      <c r="M904" s="243"/>
      <c r="N904" s="243"/>
      <c r="O904" s="244"/>
      <c r="P904" s="243"/>
      <c r="Q904" s="244"/>
      <c r="R904" s="243"/>
      <c r="S904" s="244"/>
      <c r="T904" s="243"/>
      <c r="U904" s="244"/>
      <c r="V904" s="246"/>
      <c r="W904" s="244"/>
      <c r="X904" s="243"/>
      <c r="Y904" s="244"/>
      <c r="Z904" s="243"/>
      <c r="AA904" s="243"/>
      <c r="AB904" s="243"/>
    </row>
    <row r="905">
      <c r="A905" s="243"/>
      <c r="B905" s="244"/>
      <c r="C905" s="243"/>
      <c r="D905" s="243"/>
      <c r="E905" s="243"/>
      <c r="F905" s="243"/>
      <c r="G905" s="243"/>
      <c r="H905" s="245"/>
      <c r="I905" s="245"/>
      <c r="J905" s="243"/>
      <c r="K905" s="243"/>
      <c r="L905" s="243"/>
      <c r="M905" s="243"/>
      <c r="N905" s="243"/>
      <c r="O905" s="244"/>
      <c r="P905" s="243"/>
      <c r="Q905" s="244"/>
      <c r="R905" s="243"/>
      <c r="S905" s="244"/>
      <c r="T905" s="243"/>
      <c r="U905" s="244"/>
      <c r="V905" s="246"/>
      <c r="W905" s="244"/>
      <c r="X905" s="243"/>
      <c r="Y905" s="244"/>
      <c r="Z905" s="243"/>
      <c r="AA905" s="243"/>
      <c r="AB905" s="243"/>
    </row>
    <row r="906">
      <c r="A906" s="243"/>
      <c r="B906" s="244"/>
      <c r="C906" s="243"/>
      <c r="D906" s="243"/>
      <c r="E906" s="243"/>
      <c r="F906" s="243"/>
      <c r="G906" s="243"/>
      <c r="H906" s="245"/>
      <c r="I906" s="245"/>
      <c r="J906" s="243"/>
      <c r="K906" s="243"/>
      <c r="L906" s="243"/>
      <c r="M906" s="243"/>
      <c r="N906" s="243"/>
      <c r="O906" s="244"/>
      <c r="P906" s="243"/>
      <c r="Q906" s="244"/>
      <c r="R906" s="243"/>
      <c r="S906" s="244"/>
      <c r="T906" s="243"/>
      <c r="U906" s="244"/>
      <c r="V906" s="246"/>
      <c r="W906" s="244"/>
      <c r="X906" s="243"/>
      <c r="Y906" s="244"/>
      <c r="Z906" s="243"/>
      <c r="AA906" s="243"/>
      <c r="AB906" s="243"/>
    </row>
    <row r="907">
      <c r="A907" s="243"/>
      <c r="B907" s="244"/>
      <c r="C907" s="243"/>
      <c r="D907" s="243"/>
      <c r="E907" s="243"/>
      <c r="F907" s="243"/>
      <c r="G907" s="243"/>
      <c r="H907" s="245"/>
      <c r="I907" s="245"/>
      <c r="J907" s="243"/>
      <c r="K907" s="243"/>
      <c r="L907" s="243"/>
      <c r="M907" s="243"/>
      <c r="N907" s="243"/>
      <c r="O907" s="244"/>
      <c r="P907" s="243"/>
      <c r="Q907" s="244"/>
      <c r="R907" s="243"/>
      <c r="S907" s="244"/>
      <c r="T907" s="243"/>
      <c r="U907" s="244"/>
      <c r="V907" s="246"/>
      <c r="W907" s="244"/>
      <c r="X907" s="243"/>
      <c r="Y907" s="244"/>
      <c r="Z907" s="243"/>
      <c r="AA907" s="243"/>
      <c r="AB907" s="243"/>
    </row>
    <row r="908">
      <c r="A908" s="243"/>
      <c r="B908" s="244"/>
      <c r="C908" s="243"/>
      <c r="D908" s="243"/>
      <c r="E908" s="243"/>
      <c r="F908" s="243"/>
      <c r="G908" s="243"/>
      <c r="H908" s="245"/>
      <c r="I908" s="245"/>
      <c r="J908" s="243"/>
      <c r="K908" s="243"/>
      <c r="L908" s="243"/>
      <c r="M908" s="243"/>
      <c r="N908" s="243"/>
      <c r="O908" s="244"/>
      <c r="P908" s="243"/>
      <c r="Q908" s="244"/>
      <c r="R908" s="243"/>
      <c r="S908" s="244"/>
      <c r="T908" s="243"/>
      <c r="U908" s="244"/>
      <c r="V908" s="246"/>
      <c r="W908" s="244"/>
      <c r="X908" s="243"/>
      <c r="Y908" s="244"/>
      <c r="Z908" s="243"/>
      <c r="AA908" s="243"/>
      <c r="AB908" s="243"/>
    </row>
    <row r="909">
      <c r="A909" s="243"/>
      <c r="B909" s="244"/>
      <c r="C909" s="243"/>
      <c r="D909" s="243"/>
      <c r="E909" s="243"/>
      <c r="F909" s="243"/>
      <c r="G909" s="243"/>
      <c r="H909" s="245"/>
      <c r="I909" s="245"/>
      <c r="J909" s="243"/>
      <c r="K909" s="243"/>
      <c r="L909" s="243"/>
      <c r="M909" s="243"/>
      <c r="N909" s="243"/>
      <c r="O909" s="244"/>
      <c r="P909" s="243"/>
      <c r="Q909" s="244"/>
      <c r="R909" s="243"/>
      <c r="S909" s="244"/>
      <c r="T909" s="243"/>
      <c r="U909" s="244"/>
      <c r="V909" s="246"/>
      <c r="W909" s="244"/>
      <c r="X909" s="243"/>
      <c r="Y909" s="244"/>
      <c r="Z909" s="243"/>
      <c r="AA909" s="243"/>
      <c r="AB909" s="243"/>
    </row>
    <row r="910">
      <c r="A910" s="243"/>
      <c r="B910" s="244"/>
      <c r="C910" s="243"/>
      <c r="D910" s="243"/>
      <c r="E910" s="243"/>
      <c r="F910" s="243"/>
      <c r="G910" s="243"/>
      <c r="H910" s="245"/>
      <c r="I910" s="245"/>
      <c r="J910" s="243"/>
      <c r="K910" s="243"/>
      <c r="L910" s="243"/>
      <c r="M910" s="243"/>
      <c r="N910" s="243"/>
      <c r="O910" s="244"/>
      <c r="P910" s="243"/>
      <c r="Q910" s="244"/>
      <c r="R910" s="243"/>
      <c r="S910" s="244"/>
      <c r="T910" s="243"/>
      <c r="U910" s="244"/>
      <c r="V910" s="246"/>
      <c r="W910" s="244"/>
      <c r="X910" s="243"/>
      <c r="Y910" s="244"/>
      <c r="Z910" s="243"/>
      <c r="AA910" s="243"/>
      <c r="AB910" s="243"/>
    </row>
    <row r="911">
      <c r="A911" s="243"/>
      <c r="B911" s="244"/>
      <c r="C911" s="243"/>
      <c r="D911" s="243"/>
      <c r="E911" s="243"/>
      <c r="F911" s="243"/>
      <c r="G911" s="243"/>
      <c r="H911" s="245"/>
      <c r="I911" s="245"/>
      <c r="J911" s="243"/>
      <c r="K911" s="243"/>
      <c r="L911" s="243"/>
      <c r="M911" s="243"/>
      <c r="N911" s="243"/>
      <c r="O911" s="244"/>
      <c r="P911" s="243"/>
      <c r="Q911" s="244"/>
      <c r="R911" s="243"/>
      <c r="S911" s="244"/>
      <c r="T911" s="243"/>
      <c r="U911" s="244"/>
      <c r="V911" s="246"/>
      <c r="W911" s="244"/>
      <c r="X911" s="243"/>
      <c r="Y911" s="244"/>
      <c r="Z911" s="243"/>
      <c r="AA911" s="243"/>
      <c r="AB911" s="243"/>
    </row>
    <row r="912">
      <c r="A912" s="243"/>
      <c r="B912" s="244"/>
      <c r="C912" s="243"/>
      <c r="D912" s="243"/>
      <c r="E912" s="243"/>
      <c r="F912" s="243"/>
      <c r="G912" s="243"/>
      <c r="H912" s="245"/>
      <c r="I912" s="245"/>
      <c r="J912" s="243"/>
      <c r="K912" s="243"/>
      <c r="L912" s="243"/>
      <c r="M912" s="243"/>
      <c r="N912" s="243"/>
      <c r="O912" s="244"/>
      <c r="P912" s="243"/>
      <c r="Q912" s="244"/>
      <c r="R912" s="243"/>
      <c r="S912" s="244"/>
      <c r="T912" s="243"/>
      <c r="U912" s="244"/>
      <c r="V912" s="246"/>
      <c r="W912" s="244"/>
      <c r="X912" s="243"/>
      <c r="Y912" s="244"/>
      <c r="Z912" s="243"/>
      <c r="AA912" s="243"/>
      <c r="AB912" s="243"/>
    </row>
    <row r="913">
      <c r="A913" s="243"/>
      <c r="B913" s="244"/>
      <c r="C913" s="243"/>
      <c r="D913" s="243"/>
      <c r="E913" s="243"/>
      <c r="F913" s="243"/>
      <c r="G913" s="243"/>
      <c r="H913" s="245"/>
      <c r="I913" s="245"/>
      <c r="J913" s="243"/>
      <c r="K913" s="243"/>
      <c r="L913" s="243"/>
      <c r="M913" s="243"/>
      <c r="N913" s="243"/>
      <c r="O913" s="244"/>
      <c r="P913" s="243"/>
      <c r="Q913" s="244"/>
      <c r="R913" s="243"/>
      <c r="S913" s="244"/>
      <c r="T913" s="243"/>
      <c r="U913" s="244"/>
      <c r="V913" s="246"/>
      <c r="W913" s="244"/>
      <c r="X913" s="243"/>
      <c r="Y913" s="244"/>
      <c r="Z913" s="243"/>
      <c r="AA913" s="243"/>
      <c r="AB913" s="243"/>
    </row>
    <row r="914">
      <c r="A914" s="243"/>
      <c r="B914" s="244"/>
      <c r="C914" s="243"/>
      <c r="D914" s="243"/>
      <c r="E914" s="243"/>
      <c r="F914" s="243"/>
      <c r="G914" s="243"/>
      <c r="H914" s="245"/>
      <c r="I914" s="245"/>
      <c r="J914" s="243"/>
      <c r="K914" s="243"/>
      <c r="L914" s="243"/>
      <c r="M914" s="243"/>
      <c r="N914" s="243"/>
      <c r="O914" s="244"/>
      <c r="P914" s="243"/>
      <c r="Q914" s="244"/>
      <c r="R914" s="243"/>
      <c r="S914" s="244"/>
      <c r="T914" s="243"/>
      <c r="U914" s="244"/>
      <c r="V914" s="246"/>
      <c r="W914" s="244"/>
      <c r="X914" s="243"/>
      <c r="Y914" s="244"/>
      <c r="Z914" s="243"/>
      <c r="AA914" s="243"/>
      <c r="AB914" s="243"/>
    </row>
    <row r="915">
      <c r="A915" s="243"/>
      <c r="B915" s="244"/>
      <c r="C915" s="243"/>
      <c r="D915" s="243"/>
      <c r="E915" s="243"/>
      <c r="F915" s="243"/>
      <c r="G915" s="243"/>
      <c r="H915" s="245"/>
      <c r="I915" s="245"/>
      <c r="J915" s="243"/>
      <c r="K915" s="243"/>
      <c r="L915" s="243"/>
      <c r="M915" s="243"/>
      <c r="N915" s="243"/>
      <c r="O915" s="244"/>
      <c r="P915" s="243"/>
      <c r="Q915" s="244"/>
      <c r="R915" s="243"/>
      <c r="S915" s="244"/>
      <c r="T915" s="243"/>
      <c r="U915" s="244"/>
      <c r="V915" s="246"/>
      <c r="W915" s="244"/>
      <c r="X915" s="243"/>
      <c r="Y915" s="244"/>
      <c r="Z915" s="243"/>
      <c r="AA915" s="243"/>
      <c r="AB915" s="243"/>
    </row>
    <row r="916">
      <c r="A916" s="243"/>
      <c r="B916" s="244"/>
      <c r="C916" s="243"/>
      <c r="D916" s="243"/>
      <c r="E916" s="243"/>
      <c r="F916" s="243"/>
      <c r="G916" s="243"/>
      <c r="H916" s="245"/>
      <c r="I916" s="245"/>
      <c r="J916" s="243"/>
      <c r="K916" s="243"/>
      <c r="L916" s="243"/>
      <c r="M916" s="243"/>
      <c r="N916" s="243"/>
      <c r="O916" s="244"/>
      <c r="P916" s="243"/>
      <c r="Q916" s="244"/>
      <c r="R916" s="243"/>
      <c r="S916" s="244"/>
      <c r="T916" s="243"/>
      <c r="U916" s="244"/>
      <c r="V916" s="246"/>
      <c r="W916" s="244"/>
      <c r="X916" s="243"/>
      <c r="Y916" s="244"/>
      <c r="Z916" s="243"/>
      <c r="AA916" s="243"/>
      <c r="AB916" s="243"/>
    </row>
    <row r="917">
      <c r="A917" s="243"/>
      <c r="B917" s="244"/>
      <c r="C917" s="243"/>
      <c r="D917" s="243"/>
      <c r="E917" s="243"/>
      <c r="F917" s="243"/>
      <c r="G917" s="243"/>
      <c r="H917" s="245"/>
      <c r="I917" s="245"/>
      <c r="J917" s="243"/>
      <c r="K917" s="243"/>
      <c r="L917" s="243"/>
      <c r="M917" s="243"/>
      <c r="N917" s="243"/>
      <c r="O917" s="244"/>
      <c r="P917" s="243"/>
      <c r="Q917" s="244"/>
      <c r="R917" s="243"/>
      <c r="S917" s="244"/>
      <c r="T917" s="243"/>
      <c r="U917" s="244"/>
      <c r="V917" s="246"/>
      <c r="W917" s="244"/>
      <c r="X917" s="243"/>
      <c r="Y917" s="244"/>
      <c r="Z917" s="243"/>
      <c r="AA917" s="243"/>
      <c r="AB917" s="243"/>
    </row>
    <row r="918">
      <c r="A918" s="243"/>
      <c r="B918" s="244"/>
      <c r="C918" s="243"/>
      <c r="D918" s="243"/>
      <c r="E918" s="243"/>
      <c r="F918" s="243"/>
      <c r="G918" s="243"/>
      <c r="H918" s="245"/>
      <c r="I918" s="245"/>
      <c r="J918" s="243"/>
      <c r="K918" s="243"/>
      <c r="L918" s="243"/>
      <c r="M918" s="243"/>
      <c r="N918" s="243"/>
      <c r="O918" s="244"/>
      <c r="P918" s="243"/>
      <c r="Q918" s="244"/>
      <c r="R918" s="243"/>
      <c r="S918" s="244"/>
      <c r="T918" s="243"/>
      <c r="U918" s="244"/>
      <c r="V918" s="246"/>
      <c r="W918" s="244"/>
      <c r="X918" s="243"/>
      <c r="Y918" s="244"/>
      <c r="Z918" s="243"/>
      <c r="AA918" s="243"/>
      <c r="AB918" s="243"/>
    </row>
    <row r="919">
      <c r="A919" s="243"/>
      <c r="B919" s="244"/>
      <c r="C919" s="243"/>
      <c r="D919" s="243"/>
      <c r="E919" s="243"/>
      <c r="F919" s="243"/>
      <c r="G919" s="243"/>
      <c r="H919" s="245"/>
      <c r="I919" s="245"/>
      <c r="J919" s="243"/>
      <c r="K919" s="243"/>
      <c r="L919" s="243"/>
      <c r="M919" s="243"/>
      <c r="N919" s="243"/>
      <c r="O919" s="244"/>
      <c r="P919" s="243"/>
      <c r="Q919" s="244"/>
      <c r="R919" s="243"/>
      <c r="S919" s="244"/>
      <c r="T919" s="243"/>
      <c r="U919" s="244"/>
      <c r="V919" s="246"/>
      <c r="W919" s="244"/>
      <c r="X919" s="243"/>
      <c r="Y919" s="244"/>
      <c r="Z919" s="243"/>
      <c r="AA919" s="243"/>
      <c r="AB919" s="243"/>
    </row>
    <row r="920">
      <c r="A920" s="243"/>
      <c r="B920" s="244"/>
      <c r="C920" s="243"/>
      <c r="D920" s="243"/>
      <c r="E920" s="243"/>
      <c r="F920" s="243"/>
      <c r="G920" s="243"/>
      <c r="H920" s="245"/>
      <c r="I920" s="245"/>
      <c r="J920" s="243"/>
      <c r="K920" s="243"/>
      <c r="L920" s="243"/>
      <c r="M920" s="243"/>
      <c r="N920" s="243"/>
      <c r="O920" s="244"/>
      <c r="P920" s="243"/>
      <c r="Q920" s="244"/>
      <c r="R920" s="243"/>
      <c r="S920" s="244"/>
      <c r="T920" s="243"/>
      <c r="U920" s="244"/>
      <c r="V920" s="246"/>
      <c r="W920" s="244"/>
      <c r="X920" s="243"/>
      <c r="Y920" s="244"/>
      <c r="Z920" s="243"/>
      <c r="AA920" s="243"/>
      <c r="AB920" s="243"/>
    </row>
    <row r="921">
      <c r="A921" s="243"/>
      <c r="B921" s="244"/>
      <c r="C921" s="243"/>
      <c r="D921" s="243"/>
      <c r="E921" s="243"/>
      <c r="F921" s="243"/>
      <c r="G921" s="243"/>
      <c r="H921" s="245"/>
      <c r="I921" s="245"/>
      <c r="J921" s="243"/>
      <c r="K921" s="243"/>
      <c r="L921" s="243"/>
      <c r="M921" s="243"/>
      <c r="N921" s="243"/>
      <c r="O921" s="244"/>
      <c r="P921" s="243"/>
      <c r="Q921" s="244"/>
      <c r="R921" s="243"/>
      <c r="S921" s="244"/>
      <c r="T921" s="243"/>
      <c r="U921" s="244"/>
      <c r="V921" s="246"/>
      <c r="W921" s="244"/>
      <c r="X921" s="243"/>
      <c r="Y921" s="244"/>
      <c r="Z921" s="243"/>
      <c r="AA921" s="243"/>
      <c r="AB921" s="243"/>
    </row>
    <row r="922">
      <c r="A922" s="243"/>
      <c r="B922" s="244"/>
      <c r="C922" s="243"/>
      <c r="D922" s="243"/>
      <c r="E922" s="243"/>
      <c r="F922" s="243"/>
      <c r="G922" s="243"/>
      <c r="H922" s="245"/>
      <c r="I922" s="245"/>
      <c r="J922" s="243"/>
      <c r="K922" s="243"/>
      <c r="L922" s="243"/>
      <c r="M922" s="243"/>
      <c r="N922" s="243"/>
      <c r="O922" s="244"/>
      <c r="P922" s="243"/>
      <c r="Q922" s="244"/>
      <c r="R922" s="243"/>
      <c r="S922" s="244"/>
      <c r="T922" s="243"/>
      <c r="U922" s="244"/>
      <c r="V922" s="246"/>
      <c r="W922" s="244"/>
      <c r="X922" s="243"/>
      <c r="Y922" s="244"/>
      <c r="Z922" s="243"/>
      <c r="AA922" s="243"/>
      <c r="AB922" s="243"/>
    </row>
    <row r="923">
      <c r="A923" s="243"/>
      <c r="B923" s="244"/>
      <c r="C923" s="243"/>
      <c r="D923" s="243"/>
      <c r="E923" s="243"/>
      <c r="F923" s="243"/>
      <c r="G923" s="243"/>
      <c r="H923" s="245"/>
      <c r="I923" s="245"/>
      <c r="J923" s="243"/>
      <c r="K923" s="243"/>
      <c r="L923" s="243"/>
      <c r="M923" s="243"/>
      <c r="N923" s="243"/>
      <c r="O923" s="244"/>
      <c r="P923" s="243"/>
      <c r="Q923" s="244"/>
      <c r="R923" s="243"/>
      <c r="S923" s="244"/>
      <c r="T923" s="243"/>
      <c r="U923" s="244"/>
      <c r="V923" s="246"/>
      <c r="W923" s="244"/>
      <c r="X923" s="243"/>
      <c r="Y923" s="244"/>
      <c r="Z923" s="243"/>
      <c r="AA923" s="243"/>
      <c r="AB923" s="243"/>
    </row>
    <row r="924">
      <c r="A924" s="243"/>
      <c r="B924" s="244"/>
      <c r="C924" s="243"/>
      <c r="D924" s="243"/>
      <c r="E924" s="243"/>
      <c r="F924" s="243"/>
      <c r="G924" s="243"/>
      <c r="H924" s="245"/>
      <c r="I924" s="245"/>
      <c r="J924" s="243"/>
      <c r="K924" s="243"/>
      <c r="L924" s="243"/>
      <c r="M924" s="243"/>
      <c r="N924" s="243"/>
      <c r="O924" s="244"/>
      <c r="P924" s="243"/>
      <c r="Q924" s="244"/>
      <c r="R924" s="243"/>
      <c r="S924" s="244"/>
      <c r="T924" s="243"/>
      <c r="U924" s="244"/>
      <c r="V924" s="246"/>
      <c r="W924" s="244"/>
      <c r="X924" s="243"/>
      <c r="Y924" s="244"/>
      <c r="Z924" s="243"/>
      <c r="AA924" s="243"/>
      <c r="AB924" s="243"/>
    </row>
    <row r="925">
      <c r="A925" s="243"/>
      <c r="B925" s="244"/>
      <c r="C925" s="243"/>
      <c r="D925" s="243"/>
      <c r="E925" s="243"/>
      <c r="F925" s="243"/>
      <c r="G925" s="243"/>
      <c r="H925" s="245"/>
      <c r="I925" s="245"/>
      <c r="J925" s="243"/>
      <c r="K925" s="243"/>
      <c r="L925" s="243"/>
      <c r="M925" s="243"/>
      <c r="N925" s="243"/>
      <c r="O925" s="244"/>
      <c r="P925" s="243"/>
      <c r="Q925" s="244"/>
      <c r="R925" s="243"/>
      <c r="S925" s="244"/>
      <c r="T925" s="243"/>
      <c r="U925" s="244"/>
      <c r="V925" s="246"/>
      <c r="W925" s="244"/>
      <c r="X925" s="243"/>
      <c r="Y925" s="244"/>
      <c r="Z925" s="243"/>
      <c r="AA925" s="243"/>
      <c r="AB925" s="243"/>
    </row>
    <row r="926">
      <c r="A926" s="243"/>
      <c r="B926" s="244"/>
      <c r="C926" s="243"/>
      <c r="D926" s="243"/>
      <c r="E926" s="243"/>
      <c r="F926" s="243"/>
      <c r="G926" s="243"/>
      <c r="H926" s="245"/>
      <c r="I926" s="245"/>
      <c r="J926" s="243"/>
      <c r="K926" s="243"/>
      <c r="L926" s="243"/>
      <c r="M926" s="243"/>
      <c r="N926" s="243"/>
      <c r="O926" s="244"/>
      <c r="P926" s="243"/>
      <c r="Q926" s="244"/>
      <c r="R926" s="243"/>
      <c r="S926" s="244"/>
      <c r="T926" s="243"/>
      <c r="U926" s="244"/>
      <c r="V926" s="246"/>
      <c r="W926" s="244"/>
      <c r="X926" s="243"/>
      <c r="Y926" s="244"/>
      <c r="Z926" s="243"/>
      <c r="AA926" s="243"/>
      <c r="AB926" s="243"/>
    </row>
    <row r="927">
      <c r="A927" s="243"/>
      <c r="B927" s="244"/>
      <c r="C927" s="243"/>
      <c r="D927" s="243"/>
      <c r="E927" s="243"/>
      <c r="F927" s="243"/>
      <c r="G927" s="243"/>
      <c r="H927" s="245"/>
      <c r="I927" s="245"/>
      <c r="J927" s="243"/>
      <c r="K927" s="243"/>
      <c r="L927" s="243"/>
      <c r="M927" s="243"/>
      <c r="N927" s="243"/>
      <c r="O927" s="244"/>
      <c r="P927" s="243"/>
      <c r="Q927" s="244"/>
      <c r="R927" s="243"/>
      <c r="S927" s="244"/>
      <c r="T927" s="243"/>
      <c r="U927" s="244"/>
      <c r="V927" s="246"/>
      <c r="W927" s="244"/>
      <c r="X927" s="243"/>
      <c r="Y927" s="244"/>
      <c r="Z927" s="243"/>
      <c r="AA927" s="243"/>
      <c r="AB927" s="243"/>
    </row>
    <row r="928">
      <c r="A928" s="243"/>
      <c r="B928" s="244"/>
      <c r="C928" s="243"/>
      <c r="D928" s="243"/>
      <c r="E928" s="243"/>
      <c r="F928" s="243"/>
      <c r="G928" s="243"/>
      <c r="H928" s="245"/>
      <c r="I928" s="245"/>
      <c r="J928" s="243"/>
      <c r="K928" s="243"/>
      <c r="L928" s="243"/>
      <c r="M928" s="243"/>
      <c r="N928" s="243"/>
      <c r="O928" s="244"/>
      <c r="P928" s="243"/>
      <c r="Q928" s="244"/>
      <c r="R928" s="243"/>
      <c r="S928" s="244"/>
      <c r="T928" s="243"/>
      <c r="U928" s="244"/>
      <c r="V928" s="246"/>
      <c r="W928" s="244"/>
      <c r="X928" s="243"/>
      <c r="Y928" s="244"/>
      <c r="Z928" s="243"/>
      <c r="AA928" s="243"/>
      <c r="AB928" s="243"/>
    </row>
    <row r="929">
      <c r="A929" s="243"/>
      <c r="B929" s="244"/>
      <c r="C929" s="243"/>
      <c r="D929" s="243"/>
      <c r="E929" s="243"/>
      <c r="F929" s="243"/>
      <c r="G929" s="243"/>
      <c r="H929" s="245"/>
      <c r="I929" s="245"/>
      <c r="J929" s="243"/>
      <c r="K929" s="243"/>
      <c r="L929" s="243"/>
      <c r="M929" s="243"/>
      <c r="N929" s="243"/>
      <c r="O929" s="244"/>
      <c r="P929" s="243"/>
      <c r="Q929" s="244"/>
      <c r="R929" s="243"/>
      <c r="S929" s="244"/>
      <c r="T929" s="243"/>
      <c r="U929" s="244"/>
      <c r="V929" s="246"/>
      <c r="W929" s="244"/>
      <c r="X929" s="243"/>
      <c r="Y929" s="244"/>
      <c r="Z929" s="243"/>
      <c r="AA929" s="243"/>
      <c r="AB929" s="243"/>
    </row>
    <row r="930">
      <c r="A930" s="243"/>
      <c r="B930" s="244"/>
      <c r="C930" s="243"/>
      <c r="D930" s="243"/>
      <c r="E930" s="243"/>
      <c r="F930" s="243"/>
      <c r="G930" s="243"/>
      <c r="H930" s="245"/>
      <c r="I930" s="245"/>
      <c r="J930" s="243"/>
      <c r="K930" s="243"/>
      <c r="L930" s="243"/>
      <c r="M930" s="243"/>
      <c r="N930" s="243"/>
      <c r="O930" s="244"/>
      <c r="P930" s="243"/>
      <c r="Q930" s="244"/>
      <c r="R930" s="243"/>
      <c r="S930" s="244"/>
      <c r="T930" s="243"/>
      <c r="U930" s="244"/>
      <c r="V930" s="246"/>
      <c r="W930" s="244"/>
      <c r="X930" s="243"/>
      <c r="Y930" s="244"/>
      <c r="Z930" s="243"/>
      <c r="AA930" s="243"/>
      <c r="AB930" s="243"/>
    </row>
    <row r="931">
      <c r="A931" s="243"/>
      <c r="B931" s="244"/>
      <c r="C931" s="243"/>
      <c r="D931" s="243"/>
      <c r="E931" s="243"/>
      <c r="F931" s="243"/>
      <c r="G931" s="243"/>
      <c r="H931" s="245"/>
      <c r="I931" s="245"/>
      <c r="J931" s="243"/>
      <c r="K931" s="243"/>
      <c r="L931" s="243"/>
      <c r="M931" s="243"/>
      <c r="N931" s="243"/>
      <c r="O931" s="244"/>
      <c r="P931" s="243"/>
      <c r="Q931" s="244"/>
      <c r="R931" s="243"/>
      <c r="S931" s="244"/>
      <c r="T931" s="243"/>
      <c r="U931" s="244"/>
      <c r="V931" s="246"/>
      <c r="W931" s="244"/>
      <c r="X931" s="243"/>
      <c r="Y931" s="244"/>
      <c r="Z931" s="243"/>
      <c r="AA931" s="243"/>
      <c r="AB931" s="243"/>
    </row>
    <row r="932">
      <c r="A932" s="243"/>
      <c r="B932" s="244"/>
      <c r="C932" s="243"/>
      <c r="D932" s="243"/>
      <c r="E932" s="243"/>
      <c r="F932" s="243"/>
      <c r="G932" s="243"/>
      <c r="H932" s="245"/>
      <c r="I932" s="245"/>
      <c r="J932" s="243"/>
      <c r="K932" s="243"/>
      <c r="L932" s="243"/>
      <c r="M932" s="243"/>
      <c r="N932" s="243"/>
      <c r="O932" s="244"/>
      <c r="P932" s="243"/>
      <c r="Q932" s="244"/>
      <c r="R932" s="243"/>
      <c r="S932" s="244"/>
      <c r="T932" s="243"/>
      <c r="U932" s="244"/>
      <c r="V932" s="246"/>
      <c r="W932" s="244"/>
      <c r="X932" s="243"/>
      <c r="Y932" s="244"/>
      <c r="Z932" s="243"/>
      <c r="AA932" s="243"/>
      <c r="AB932" s="243"/>
    </row>
    <row r="933">
      <c r="A933" s="243"/>
      <c r="B933" s="244"/>
      <c r="C933" s="243"/>
      <c r="D933" s="243"/>
      <c r="E933" s="243"/>
      <c r="F933" s="243"/>
      <c r="G933" s="243"/>
      <c r="H933" s="245"/>
      <c r="I933" s="245"/>
      <c r="J933" s="243"/>
      <c r="K933" s="243"/>
      <c r="L933" s="243"/>
      <c r="M933" s="243"/>
      <c r="N933" s="243"/>
      <c r="O933" s="244"/>
      <c r="P933" s="243"/>
      <c r="Q933" s="244"/>
      <c r="R933" s="243"/>
      <c r="S933" s="244"/>
      <c r="T933" s="243"/>
      <c r="U933" s="244"/>
      <c r="V933" s="246"/>
      <c r="W933" s="244"/>
      <c r="X933" s="243"/>
      <c r="Y933" s="244"/>
      <c r="Z933" s="243"/>
      <c r="AA933" s="243"/>
      <c r="AB933" s="243"/>
    </row>
    <row r="934">
      <c r="A934" s="243"/>
      <c r="B934" s="244"/>
      <c r="C934" s="243"/>
      <c r="D934" s="243"/>
      <c r="E934" s="243"/>
      <c r="F934" s="243"/>
      <c r="G934" s="243"/>
      <c r="H934" s="245"/>
      <c r="I934" s="245"/>
      <c r="J934" s="243"/>
      <c r="K934" s="243"/>
      <c r="L934" s="243"/>
      <c r="M934" s="243"/>
      <c r="N934" s="243"/>
      <c r="O934" s="244"/>
      <c r="P934" s="243"/>
      <c r="Q934" s="244"/>
      <c r="R934" s="243"/>
      <c r="S934" s="244"/>
      <c r="T934" s="243"/>
      <c r="U934" s="244"/>
      <c r="V934" s="246"/>
      <c r="W934" s="244"/>
      <c r="X934" s="243"/>
      <c r="Y934" s="244"/>
      <c r="Z934" s="243"/>
      <c r="AA934" s="243"/>
      <c r="AB934" s="243"/>
    </row>
    <row r="935">
      <c r="A935" s="243"/>
      <c r="B935" s="244"/>
      <c r="C935" s="243"/>
      <c r="D935" s="243"/>
      <c r="E935" s="243"/>
      <c r="F935" s="243"/>
      <c r="G935" s="243"/>
      <c r="H935" s="245"/>
      <c r="I935" s="245"/>
      <c r="J935" s="243"/>
      <c r="K935" s="243"/>
      <c r="L935" s="243"/>
      <c r="M935" s="243"/>
      <c r="N935" s="243"/>
      <c r="O935" s="244"/>
      <c r="P935" s="243"/>
      <c r="Q935" s="244"/>
      <c r="R935" s="243"/>
      <c r="S935" s="244"/>
      <c r="T935" s="243"/>
      <c r="U935" s="244"/>
      <c r="V935" s="246"/>
      <c r="W935" s="244"/>
      <c r="X935" s="243"/>
      <c r="Y935" s="244"/>
      <c r="Z935" s="243"/>
      <c r="AA935" s="243"/>
      <c r="AB935" s="243"/>
    </row>
    <row r="936">
      <c r="A936" s="243"/>
      <c r="B936" s="244"/>
      <c r="C936" s="243"/>
      <c r="D936" s="243"/>
      <c r="E936" s="243"/>
      <c r="F936" s="243"/>
      <c r="G936" s="243"/>
      <c r="H936" s="245"/>
      <c r="I936" s="245"/>
      <c r="J936" s="243"/>
      <c r="K936" s="243"/>
      <c r="L936" s="243"/>
      <c r="M936" s="243"/>
      <c r="N936" s="243"/>
      <c r="O936" s="244"/>
      <c r="P936" s="243"/>
      <c r="Q936" s="244"/>
      <c r="R936" s="243"/>
      <c r="S936" s="244"/>
      <c r="T936" s="243"/>
      <c r="U936" s="244"/>
      <c r="V936" s="246"/>
      <c r="W936" s="244"/>
      <c r="X936" s="243"/>
      <c r="Y936" s="244"/>
      <c r="Z936" s="243"/>
      <c r="AA936" s="243"/>
      <c r="AB936" s="243"/>
    </row>
    <row r="937">
      <c r="A937" s="243"/>
      <c r="B937" s="244"/>
      <c r="C937" s="243"/>
      <c r="D937" s="243"/>
      <c r="E937" s="243"/>
      <c r="F937" s="243"/>
      <c r="G937" s="243"/>
      <c r="H937" s="245"/>
      <c r="I937" s="245"/>
      <c r="J937" s="243"/>
      <c r="K937" s="243"/>
      <c r="L937" s="243"/>
      <c r="M937" s="243"/>
      <c r="N937" s="243"/>
      <c r="O937" s="244"/>
      <c r="P937" s="243"/>
      <c r="Q937" s="244"/>
      <c r="R937" s="243"/>
      <c r="S937" s="244"/>
      <c r="T937" s="243"/>
      <c r="U937" s="244"/>
      <c r="V937" s="246"/>
      <c r="W937" s="244"/>
      <c r="X937" s="243"/>
      <c r="Y937" s="244"/>
      <c r="Z937" s="243"/>
      <c r="AA937" s="243"/>
      <c r="AB937" s="243"/>
    </row>
    <row r="938">
      <c r="A938" s="243"/>
      <c r="B938" s="244"/>
      <c r="C938" s="243"/>
      <c r="D938" s="243"/>
      <c r="E938" s="243"/>
      <c r="F938" s="243"/>
      <c r="G938" s="243"/>
      <c r="H938" s="245"/>
      <c r="I938" s="245"/>
      <c r="J938" s="243"/>
      <c r="K938" s="243"/>
      <c r="L938" s="243"/>
      <c r="M938" s="243"/>
      <c r="N938" s="243"/>
      <c r="O938" s="244"/>
      <c r="P938" s="243"/>
      <c r="Q938" s="244"/>
      <c r="R938" s="243"/>
      <c r="S938" s="244"/>
      <c r="T938" s="243"/>
      <c r="U938" s="244"/>
      <c r="V938" s="246"/>
      <c r="W938" s="244"/>
      <c r="X938" s="243"/>
      <c r="Y938" s="244"/>
      <c r="Z938" s="243"/>
      <c r="AA938" s="243"/>
      <c r="AB938" s="243"/>
    </row>
    <row r="939">
      <c r="A939" s="243"/>
      <c r="B939" s="244"/>
      <c r="C939" s="243"/>
      <c r="D939" s="243"/>
      <c r="E939" s="243"/>
      <c r="F939" s="243"/>
      <c r="G939" s="243"/>
      <c r="H939" s="245"/>
      <c r="I939" s="245"/>
      <c r="J939" s="243"/>
      <c r="K939" s="243"/>
      <c r="L939" s="243"/>
      <c r="M939" s="243"/>
      <c r="N939" s="243"/>
      <c r="O939" s="244"/>
      <c r="P939" s="243"/>
      <c r="Q939" s="244"/>
      <c r="R939" s="243"/>
      <c r="S939" s="244"/>
      <c r="T939" s="243"/>
      <c r="U939" s="244"/>
      <c r="V939" s="246"/>
      <c r="W939" s="244"/>
      <c r="X939" s="243"/>
      <c r="Y939" s="244"/>
      <c r="Z939" s="243"/>
      <c r="AA939" s="243"/>
      <c r="AB939" s="243"/>
    </row>
    <row r="940">
      <c r="A940" s="243"/>
      <c r="B940" s="244"/>
      <c r="C940" s="243"/>
      <c r="D940" s="243"/>
      <c r="E940" s="243"/>
      <c r="F940" s="243"/>
      <c r="G940" s="243"/>
      <c r="H940" s="245"/>
      <c r="I940" s="245"/>
      <c r="J940" s="243"/>
      <c r="K940" s="243"/>
      <c r="L940" s="243"/>
      <c r="M940" s="243"/>
      <c r="N940" s="243"/>
      <c r="O940" s="244"/>
      <c r="P940" s="243"/>
      <c r="Q940" s="244"/>
      <c r="R940" s="243"/>
      <c r="S940" s="244"/>
      <c r="T940" s="243"/>
      <c r="U940" s="244"/>
      <c r="V940" s="246"/>
      <c r="W940" s="244"/>
      <c r="X940" s="243"/>
      <c r="Y940" s="244"/>
      <c r="Z940" s="243"/>
      <c r="AA940" s="243"/>
      <c r="AB940" s="243"/>
    </row>
    <row r="941">
      <c r="A941" s="243"/>
      <c r="B941" s="244"/>
      <c r="C941" s="243"/>
      <c r="D941" s="243"/>
      <c r="E941" s="243"/>
      <c r="F941" s="243"/>
      <c r="G941" s="243"/>
      <c r="H941" s="245"/>
      <c r="I941" s="245"/>
      <c r="J941" s="243"/>
      <c r="K941" s="243"/>
      <c r="L941" s="243"/>
      <c r="M941" s="243"/>
      <c r="N941" s="243"/>
      <c r="O941" s="244"/>
      <c r="P941" s="243"/>
      <c r="Q941" s="244"/>
      <c r="R941" s="243"/>
      <c r="S941" s="244"/>
      <c r="T941" s="243"/>
      <c r="U941" s="244"/>
      <c r="V941" s="246"/>
      <c r="W941" s="244"/>
      <c r="X941" s="243"/>
      <c r="Y941" s="244"/>
      <c r="Z941" s="243"/>
      <c r="AA941" s="243"/>
      <c r="AB941" s="243"/>
    </row>
    <row r="942">
      <c r="A942" s="243"/>
      <c r="B942" s="244"/>
      <c r="C942" s="243"/>
      <c r="D942" s="243"/>
      <c r="E942" s="243"/>
      <c r="F942" s="243"/>
      <c r="G942" s="243"/>
      <c r="H942" s="245"/>
      <c r="I942" s="245"/>
      <c r="J942" s="243"/>
      <c r="K942" s="243"/>
      <c r="L942" s="243"/>
      <c r="M942" s="243"/>
      <c r="N942" s="243"/>
      <c r="O942" s="244"/>
      <c r="P942" s="243"/>
      <c r="Q942" s="244"/>
      <c r="R942" s="243"/>
      <c r="S942" s="244"/>
      <c r="T942" s="243"/>
      <c r="U942" s="244"/>
      <c r="V942" s="246"/>
      <c r="W942" s="244"/>
      <c r="X942" s="243"/>
      <c r="Y942" s="244"/>
      <c r="Z942" s="243"/>
      <c r="AA942" s="243"/>
      <c r="AB942" s="243"/>
    </row>
    <row r="943">
      <c r="A943" s="243"/>
      <c r="B943" s="244"/>
      <c r="C943" s="243"/>
      <c r="D943" s="243"/>
      <c r="E943" s="243"/>
      <c r="F943" s="243"/>
      <c r="G943" s="243"/>
      <c r="H943" s="245"/>
      <c r="I943" s="245"/>
      <c r="J943" s="243"/>
      <c r="K943" s="243"/>
      <c r="L943" s="243"/>
      <c r="M943" s="243"/>
      <c r="N943" s="243"/>
      <c r="O943" s="244"/>
      <c r="P943" s="243"/>
      <c r="Q943" s="244"/>
      <c r="R943" s="243"/>
      <c r="S943" s="244"/>
      <c r="T943" s="243"/>
      <c r="U943" s="244"/>
      <c r="V943" s="246"/>
      <c r="W943" s="244"/>
      <c r="X943" s="243"/>
      <c r="Y943" s="244"/>
      <c r="Z943" s="243"/>
      <c r="AA943" s="243"/>
      <c r="AB943" s="243"/>
    </row>
    <row r="944">
      <c r="A944" s="243"/>
      <c r="B944" s="244"/>
      <c r="C944" s="243"/>
      <c r="D944" s="243"/>
      <c r="E944" s="243"/>
      <c r="F944" s="243"/>
      <c r="G944" s="243"/>
      <c r="H944" s="245"/>
      <c r="I944" s="245"/>
      <c r="J944" s="243"/>
      <c r="K944" s="243"/>
      <c r="L944" s="243"/>
      <c r="M944" s="243"/>
      <c r="N944" s="243"/>
      <c r="O944" s="244"/>
      <c r="P944" s="243"/>
      <c r="Q944" s="244"/>
      <c r="R944" s="243"/>
      <c r="S944" s="244"/>
      <c r="T944" s="243"/>
      <c r="U944" s="244"/>
      <c r="V944" s="246"/>
      <c r="W944" s="244"/>
      <c r="X944" s="243"/>
      <c r="Y944" s="244"/>
      <c r="Z944" s="243"/>
      <c r="AA944" s="243"/>
      <c r="AB944" s="243"/>
    </row>
    <row r="945">
      <c r="A945" s="243"/>
      <c r="B945" s="244"/>
      <c r="C945" s="243"/>
      <c r="D945" s="243"/>
      <c r="E945" s="243"/>
      <c r="F945" s="243"/>
      <c r="G945" s="243"/>
      <c r="H945" s="245"/>
      <c r="I945" s="245"/>
      <c r="J945" s="243"/>
      <c r="K945" s="243"/>
      <c r="L945" s="243"/>
      <c r="M945" s="243"/>
      <c r="N945" s="243"/>
      <c r="O945" s="244"/>
      <c r="P945" s="243"/>
      <c r="Q945" s="244"/>
      <c r="R945" s="243"/>
      <c r="S945" s="244"/>
      <c r="T945" s="243"/>
      <c r="U945" s="244"/>
      <c r="V945" s="246"/>
      <c r="W945" s="244"/>
      <c r="X945" s="243"/>
      <c r="Y945" s="244"/>
      <c r="Z945" s="243"/>
      <c r="AA945" s="243"/>
      <c r="AB945" s="243"/>
    </row>
    <row r="946">
      <c r="A946" s="243"/>
      <c r="B946" s="244"/>
      <c r="C946" s="243"/>
      <c r="D946" s="243"/>
      <c r="E946" s="243"/>
      <c r="F946" s="243"/>
      <c r="G946" s="243"/>
      <c r="H946" s="245"/>
      <c r="I946" s="245"/>
      <c r="J946" s="243"/>
      <c r="K946" s="243"/>
      <c r="L946" s="243"/>
      <c r="M946" s="243"/>
      <c r="N946" s="243"/>
      <c r="O946" s="244"/>
      <c r="P946" s="243"/>
      <c r="Q946" s="244"/>
      <c r="R946" s="243"/>
      <c r="S946" s="244"/>
      <c r="T946" s="243"/>
      <c r="U946" s="244"/>
      <c r="V946" s="246"/>
      <c r="W946" s="244"/>
      <c r="X946" s="243"/>
      <c r="Y946" s="244"/>
      <c r="Z946" s="243"/>
      <c r="AA946" s="243"/>
      <c r="AB946" s="243"/>
    </row>
    <row r="947">
      <c r="A947" s="243"/>
      <c r="B947" s="244"/>
      <c r="C947" s="243"/>
      <c r="D947" s="243"/>
      <c r="E947" s="243"/>
      <c r="F947" s="243"/>
      <c r="G947" s="243"/>
      <c r="H947" s="245"/>
      <c r="I947" s="245"/>
      <c r="J947" s="243"/>
      <c r="K947" s="243"/>
      <c r="L947" s="243"/>
      <c r="M947" s="243"/>
      <c r="N947" s="243"/>
      <c r="O947" s="244"/>
      <c r="P947" s="243"/>
      <c r="Q947" s="244"/>
      <c r="R947" s="243"/>
      <c r="S947" s="244"/>
      <c r="T947" s="243"/>
      <c r="U947" s="244"/>
      <c r="V947" s="246"/>
      <c r="W947" s="244"/>
      <c r="X947" s="243"/>
      <c r="Y947" s="244"/>
      <c r="Z947" s="243"/>
      <c r="AA947" s="243"/>
      <c r="AB947" s="243"/>
    </row>
    <row r="948">
      <c r="A948" s="243"/>
      <c r="B948" s="244"/>
      <c r="C948" s="243"/>
      <c r="D948" s="243"/>
      <c r="E948" s="243"/>
      <c r="F948" s="243"/>
      <c r="G948" s="243"/>
      <c r="H948" s="245"/>
      <c r="I948" s="245"/>
      <c r="J948" s="243"/>
      <c r="K948" s="243"/>
      <c r="L948" s="243"/>
      <c r="M948" s="243"/>
      <c r="N948" s="243"/>
      <c r="O948" s="244"/>
      <c r="P948" s="243"/>
      <c r="Q948" s="244"/>
      <c r="R948" s="243"/>
      <c r="S948" s="244"/>
      <c r="T948" s="243"/>
      <c r="U948" s="244"/>
      <c r="V948" s="246"/>
      <c r="W948" s="244"/>
      <c r="X948" s="243"/>
      <c r="Y948" s="244"/>
      <c r="Z948" s="243"/>
      <c r="AA948" s="243"/>
      <c r="AB948" s="243"/>
    </row>
    <row r="949">
      <c r="A949" s="243"/>
      <c r="B949" s="244"/>
      <c r="C949" s="243"/>
      <c r="D949" s="243"/>
      <c r="E949" s="243"/>
      <c r="F949" s="243"/>
      <c r="G949" s="243"/>
      <c r="H949" s="245"/>
      <c r="I949" s="245"/>
      <c r="J949" s="243"/>
      <c r="K949" s="243"/>
      <c r="L949" s="243"/>
      <c r="M949" s="243"/>
      <c r="N949" s="243"/>
      <c r="O949" s="244"/>
      <c r="P949" s="243"/>
      <c r="Q949" s="244"/>
      <c r="R949" s="243"/>
      <c r="S949" s="244"/>
      <c r="T949" s="243"/>
      <c r="U949" s="244"/>
      <c r="V949" s="246"/>
      <c r="W949" s="244"/>
      <c r="X949" s="243"/>
      <c r="Y949" s="244"/>
      <c r="Z949" s="243"/>
      <c r="AA949" s="243"/>
      <c r="AB949" s="243"/>
    </row>
    <row r="950">
      <c r="A950" s="243"/>
      <c r="B950" s="244"/>
      <c r="C950" s="243"/>
      <c r="D950" s="243"/>
      <c r="E950" s="243"/>
      <c r="F950" s="243"/>
      <c r="G950" s="243"/>
      <c r="H950" s="245"/>
      <c r="I950" s="245"/>
      <c r="J950" s="243"/>
      <c r="K950" s="243"/>
      <c r="L950" s="243"/>
      <c r="M950" s="243"/>
      <c r="N950" s="243"/>
      <c r="O950" s="244"/>
      <c r="P950" s="243"/>
      <c r="Q950" s="244"/>
      <c r="R950" s="243"/>
      <c r="S950" s="244"/>
      <c r="T950" s="243"/>
      <c r="U950" s="244"/>
      <c r="V950" s="246"/>
      <c r="W950" s="244"/>
      <c r="X950" s="243"/>
      <c r="Y950" s="244"/>
      <c r="Z950" s="243"/>
      <c r="AA950" s="243"/>
      <c r="AB950" s="243"/>
    </row>
    <row r="951">
      <c r="A951" s="243"/>
      <c r="B951" s="244"/>
      <c r="C951" s="243"/>
      <c r="D951" s="243"/>
      <c r="E951" s="243"/>
      <c r="F951" s="243"/>
      <c r="G951" s="243"/>
      <c r="H951" s="245"/>
      <c r="I951" s="245"/>
      <c r="J951" s="243"/>
      <c r="K951" s="243"/>
      <c r="L951" s="243"/>
      <c r="M951" s="243"/>
      <c r="N951" s="243"/>
      <c r="O951" s="244"/>
      <c r="P951" s="243"/>
      <c r="Q951" s="244"/>
      <c r="R951" s="243"/>
      <c r="S951" s="244"/>
      <c r="T951" s="243"/>
      <c r="U951" s="244"/>
      <c r="V951" s="246"/>
      <c r="W951" s="244"/>
      <c r="X951" s="243"/>
      <c r="Y951" s="244"/>
      <c r="Z951" s="243"/>
      <c r="AA951" s="243"/>
      <c r="AB951" s="243"/>
    </row>
    <row r="952">
      <c r="A952" s="243"/>
      <c r="B952" s="244"/>
      <c r="C952" s="243"/>
      <c r="D952" s="243"/>
      <c r="E952" s="243"/>
      <c r="F952" s="243"/>
      <c r="G952" s="243"/>
      <c r="H952" s="245"/>
      <c r="I952" s="245"/>
      <c r="J952" s="243"/>
      <c r="K952" s="243"/>
      <c r="L952" s="243"/>
      <c r="M952" s="243"/>
      <c r="N952" s="243"/>
      <c r="O952" s="244"/>
      <c r="P952" s="243"/>
      <c r="Q952" s="244"/>
      <c r="R952" s="243"/>
      <c r="S952" s="244"/>
      <c r="T952" s="243"/>
      <c r="U952" s="244"/>
      <c r="V952" s="246"/>
      <c r="W952" s="244"/>
      <c r="X952" s="243"/>
      <c r="Y952" s="244"/>
      <c r="Z952" s="243"/>
      <c r="AA952" s="243"/>
      <c r="AB952" s="243"/>
    </row>
    <row r="953">
      <c r="A953" s="243"/>
      <c r="B953" s="244"/>
      <c r="C953" s="243"/>
      <c r="D953" s="243"/>
      <c r="E953" s="243"/>
      <c r="F953" s="243"/>
      <c r="G953" s="243"/>
      <c r="H953" s="245"/>
      <c r="I953" s="245"/>
      <c r="J953" s="243"/>
      <c r="K953" s="243"/>
      <c r="L953" s="243"/>
      <c r="M953" s="243"/>
      <c r="N953" s="243"/>
      <c r="O953" s="244"/>
      <c r="P953" s="243"/>
      <c r="Q953" s="244"/>
      <c r="R953" s="243"/>
      <c r="S953" s="244"/>
      <c r="T953" s="243"/>
      <c r="U953" s="244"/>
      <c r="V953" s="246"/>
      <c r="W953" s="244"/>
      <c r="X953" s="243"/>
      <c r="Y953" s="244"/>
      <c r="Z953" s="243"/>
      <c r="AA953" s="243"/>
      <c r="AB953" s="243"/>
    </row>
    <row r="954">
      <c r="A954" s="243"/>
      <c r="B954" s="244"/>
      <c r="C954" s="243"/>
      <c r="D954" s="243"/>
      <c r="E954" s="243"/>
      <c r="F954" s="243"/>
      <c r="G954" s="243"/>
      <c r="H954" s="245"/>
      <c r="I954" s="245"/>
      <c r="J954" s="243"/>
      <c r="K954" s="243"/>
      <c r="L954" s="243"/>
      <c r="M954" s="243"/>
      <c r="N954" s="243"/>
      <c r="O954" s="244"/>
      <c r="P954" s="243"/>
      <c r="Q954" s="244"/>
      <c r="R954" s="243"/>
      <c r="S954" s="244"/>
      <c r="T954" s="243"/>
      <c r="U954" s="244"/>
      <c r="V954" s="246"/>
      <c r="W954" s="244"/>
      <c r="X954" s="243"/>
      <c r="Y954" s="244"/>
      <c r="Z954" s="243"/>
      <c r="AA954" s="243"/>
      <c r="AB954" s="243"/>
    </row>
    <row r="955">
      <c r="A955" s="243"/>
      <c r="B955" s="244"/>
      <c r="C955" s="243"/>
      <c r="D955" s="243"/>
      <c r="E955" s="243"/>
      <c r="F955" s="243"/>
      <c r="G955" s="243"/>
      <c r="H955" s="245"/>
      <c r="I955" s="245"/>
      <c r="J955" s="243"/>
      <c r="K955" s="243"/>
      <c r="L955" s="243"/>
      <c r="M955" s="243"/>
      <c r="N955" s="243"/>
      <c r="O955" s="244"/>
      <c r="P955" s="243"/>
      <c r="Q955" s="244"/>
      <c r="R955" s="243"/>
      <c r="S955" s="244"/>
      <c r="T955" s="243"/>
      <c r="U955" s="244"/>
      <c r="V955" s="246"/>
      <c r="W955" s="244"/>
      <c r="X955" s="243"/>
      <c r="Y955" s="244"/>
      <c r="Z955" s="243"/>
      <c r="AA955" s="243"/>
      <c r="AB955" s="243"/>
    </row>
    <row r="956">
      <c r="A956" s="243"/>
      <c r="B956" s="244"/>
      <c r="C956" s="243"/>
      <c r="D956" s="243"/>
      <c r="E956" s="243"/>
      <c r="F956" s="243"/>
      <c r="G956" s="243"/>
      <c r="H956" s="245"/>
      <c r="I956" s="245"/>
      <c r="J956" s="243"/>
      <c r="K956" s="243"/>
      <c r="L956" s="243"/>
      <c r="M956" s="243"/>
      <c r="N956" s="243"/>
      <c r="O956" s="244"/>
      <c r="P956" s="243"/>
      <c r="Q956" s="244"/>
      <c r="R956" s="243"/>
      <c r="S956" s="244"/>
      <c r="T956" s="243"/>
      <c r="U956" s="244"/>
      <c r="V956" s="246"/>
      <c r="W956" s="244"/>
      <c r="X956" s="243"/>
      <c r="Y956" s="244"/>
      <c r="Z956" s="243"/>
      <c r="AA956" s="243"/>
      <c r="AB956" s="243"/>
    </row>
    <row r="957">
      <c r="A957" s="243"/>
      <c r="B957" s="244"/>
      <c r="C957" s="243"/>
      <c r="D957" s="243"/>
      <c r="E957" s="243"/>
      <c r="F957" s="243"/>
      <c r="G957" s="243"/>
      <c r="H957" s="245"/>
      <c r="I957" s="245"/>
      <c r="J957" s="243"/>
      <c r="K957" s="243"/>
      <c r="L957" s="243"/>
      <c r="M957" s="243"/>
      <c r="N957" s="243"/>
      <c r="O957" s="244"/>
      <c r="P957" s="243"/>
      <c r="Q957" s="244"/>
      <c r="R957" s="243"/>
      <c r="S957" s="244"/>
      <c r="T957" s="243"/>
      <c r="U957" s="244"/>
      <c r="V957" s="246"/>
      <c r="W957" s="244"/>
      <c r="X957" s="243"/>
      <c r="Y957" s="244"/>
      <c r="Z957" s="243"/>
      <c r="AA957" s="243"/>
      <c r="AB957" s="243"/>
    </row>
    <row r="958">
      <c r="A958" s="243"/>
      <c r="B958" s="244"/>
      <c r="C958" s="243"/>
      <c r="D958" s="243"/>
      <c r="E958" s="243"/>
      <c r="F958" s="243"/>
      <c r="G958" s="243"/>
      <c r="H958" s="245"/>
      <c r="I958" s="245"/>
      <c r="J958" s="243"/>
      <c r="K958" s="243"/>
      <c r="L958" s="243"/>
      <c r="M958" s="243"/>
      <c r="N958" s="243"/>
      <c r="O958" s="244"/>
      <c r="P958" s="243"/>
      <c r="Q958" s="244"/>
      <c r="R958" s="243"/>
      <c r="S958" s="244"/>
      <c r="T958" s="243"/>
      <c r="U958" s="244"/>
      <c r="V958" s="246"/>
      <c r="W958" s="244"/>
      <c r="X958" s="243"/>
      <c r="Y958" s="244"/>
      <c r="Z958" s="243"/>
      <c r="AA958" s="243"/>
      <c r="AB958" s="243"/>
    </row>
    <row r="959">
      <c r="A959" s="243"/>
      <c r="B959" s="244"/>
      <c r="C959" s="243"/>
      <c r="D959" s="243"/>
      <c r="E959" s="243"/>
      <c r="F959" s="243"/>
      <c r="G959" s="243"/>
      <c r="H959" s="245"/>
      <c r="I959" s="245"/>
      <c r="J959" s="243"/>
      <c r="K959" s="243"/>
      <c r="L959" s="243"/>
      <c r="M959" s="243"/>
      <c r="N959" s="243"/>
      <c r="O959" s="244"/>
      <c r="P959" s="243"/>
      <c r="Q959" s="244"/>
      <c r="R959" s="243"/>
      <c r="S959" s="244"/>
      <c r="T959" s="243"/>
      <c r="U959" s="244"/>
      <c r="V959" s="246"/>
      <c r="W959" s="244"/>
      <c r="X959" s="243"/>
      <c r="Y959" s="244"/>
      <c r="Z959" s="243"/>
      <c r="AA959" s="243"/>
      <c r="AB959" s="243"/>
    </row>
    <row r="960">
      <c r="A960" s="243"/>
      <c r="B960" s="244"/>
      <c r="C960" s="243"/>
      <c r="D960" s="243"/>
      <c r="E960" s="243"/>
      <c r="F960" s="243"/>
      <c r="G960" s="243"/>
      <c r="H960" s="245"/>
      <c r="I960" s="245"/>
      <c r="J960" s="243"/>
      <c r="K960" s="243"/>
      <c r="L960" s="243"/>
      <c r="M960" s="243"/>
      <c r="N960" s="243"/>
      <c r="O960" s="244"/>
      <c r="P960" s="243"/>
      <c r="Q960" s="244"/>
      <c r="R960" s="243"/>
      <c r="S960" s="244"/>
      <c r="T960" s="243"/>
      <c r="U960" s="244"/>
      <c r="V960" s="246"/>
      <c r="W960" s="244"/>
      <c r="X960" s="243"/>
      <c r="Y960" s="244"/>
      <c r="Z960" s="243"/>
      <c r="AA960" s="243"/>
      <c r="AB960" s="243"/>
    </row>
    <row r="961">
      <c r="A961" s="243"/>
      <c r="B961" s="244"/>
      <c r="C961" s="243"/>
      <c r="D961" s="243"/>
      <c r="E961" s="243"/>
      <c r="F961" s="243"/>
      <c r="G961" s="243"/>
      <c r="H961" s="245"/>
      <c r="I961" s="245"/>
      <c r="J961" s="243"/>
      <c r="K961" s="243"/>
      <c r="L961" s="243"/>
      <c r="M961" s="243"/>
      <c r="N961" s="243"/>
      <c r="O961" s="244"/>
      <c r="P961" s="243"/>
      <c r="Q961" s="244"/>
      <c r="R961" s="243"/>
      <c r="S961" s="244"/>
      <c r="T961" s="243"/>
      <c r="U961" s="244"/>
      <c r="V961" s="246"/>
      <c r="W961" s="244"/>
      <c r="X961" s="243"/>
      <c r="Y961" s="244"/>
      <c r="Z961" s="243"/>
      <c r="AA961" s="243"/>
      <c r="AB961" s="243"/>
    </row>
    <row r="962">
      <c r="A962" s="243"/>
      <c r="B962" s="244"/>
      <c r="C962" s="243"/>
      <c r="D962" s="243"/>
      <c r="E962" s="243"/>
      <c r="F962" s="243"/>
      <c r="G962" s="243"/>
      <c r="H962" s="245"/>
      <c r="I962" s="245"/>
      <c r="J962" s="243"/>
      <c r="K962" s="243"/>
      <c r="L962" s="243"/>
      <c r="M962" s="243"/>
      <c r="N962" s="243"/>
      <c r="O962" s="244"/>
      <c r="P962" s="243"/>
      <c r="Q962" s="244"/>
      <c r="R962" s="243"/>
      <c r="S962" s="244"/>
      <c r="T962" s="243"/>
      <c r="U962" s="244"/>
      <c r="V962" s="246"/>
      <c r="W962" s="244"/>
      <c r="X962" s="243"/>
      <c r="Y962" s="244"/>
      <c r="Z962" s="243"/>
      <c r="AA962" s="243"/>
      <c r="AB962" s="243"/>
    </row>
    <row r="963">
      <c r="A963" s="243"/>
      <c r="B963" s="244"/>
      <c r="C963" s="243"/>
      <c r="D963" s="243"/>
      <c r="E963" s="243"/>
      <c r="F963" s="243"/>
      <c r="G963" s="243"/>
      <c r="H963" s="245"/>
      <c r="I963" s="245"/>
      <c r="J963" s="243"/>
      <c r="K963" s="243"/>
      <c r="L963" s="243"/>
      <c r="M963" s="243"/>
      <c r="N963" s="243"/>
      <c r="O963" s="244"/>
      <c r="P963" s="243"/>
      <c r="Q963" s="244"/>
      <c r="R963" s="243"/>
      <c r="S963" s="244"/>
      <c r="T963" s="243"/>
      <c r="U963" s="244"/>
      <c r="V963" s="246"/>
      <c r="W963" s="244"/>
      <c r="X963" s="243"/>
      <c r="Y963" s="244"/>
      <c r="Z963" s="243"/>
      <c r="AA963" s="243"/>
      <c r="AB963" s="243"/>
    </row>
    <row r="964">
      <c r="A964" s="243"/>
      <c r="B964" s="244"/>
      <c r="C964" s="243"/>
      <c r="D964" s="243"/>
      <c r="E964" s="243"/>
      <c r="F964" s="243"/>
      <c r="G964" s="243"/>
      <c r="H964" s="245"/>
      <c r="I964" s="245"/>
      <c r="J964" s="243"/>
      <c r="K964" s="243"/>
      <c r="L964" s="243"/>
      <c r="M964" s="243"/>
      <c r="N964" s="243"/>
      <c r="O964" s="244"/>
      <c r="P964" s="243"/>
      <c r="Q964" s="244"/>
      <c r="R964" s="243"/>
      <c r="S964" s="244"/>
      <c r="T964" s="243"/>
      <c r="U964" s="244"/>
      <c r="V964" s="246"/>
      <c r="W964" s="244"/>
      <c r="X964" s="243"/>
      <c r="Y964" s="244"/>
      <c r="Z964" s="243"/>
      <c r="AA964" s="243"/>
      <c r="AB964" s="243"/>
    </row>
    <row r="965">
      <c r="A965" s="243"/>
      <c r="B965" s="244"/>
      <c r="C965" s="243"/>
      <c r="D965" s="243"/>
      <c r="E965" s="243"/>
      <c r="F965" s="243"/>
      <c r="G965" s="243"/>
      <c r="H965" s="245"/>
      <c r="I965" s="245"/>
      <c r="J965" s="243"/>
      <c r="K965" s="243"/>
      <c r="L965" s="243"/>
      <c r="M965" s="243"/>
      <c r="N965" s="243"/>
      <c r="O965" s="244"/>
      <c r="P965" s="243"/>
      <c r="Q965" s="244"/>
      <c r="R965" s="243"/>
      <c r="S965" s="244"/>
      <c r="T965" s="243"/>
      <c r="U965" s="244"/>
      <c r="V965" s="246"/>
      <c r="W965" s="244"/>
      <c r="X965" s="243"/>
      <c r="Y965" s="244"/>
      <c r="Z965" s="243"/>
      <c r="AA965" s="243"/>
      <c r="AB965" s="243"/>
    </row>
    <row r="966">
      <c r="A966" s="243"/>
      <c r="B966" s="244"/>
      <c r="C966" s="243"/>
      <c r="D966" s="243"/>
      <c r="E966" s="243"/>
      <c r="F966" s="243"/>
      <c r="G966" s="243"/>
      <c r="H966" s="245"/>
      <c r="I966" s="245"/>
      <c r="J966" s="243"/>
      <c r="K966" s="243"/>
      <c r="L966" s="243"/>
      <c r="M966" s="243"/>
      <c r="N966" s="243"/>
      <c r="O966" s="244"/>
      <c r="P966" s="243"/>
      <c r="Q966" s="244"/>
      <c r="R966" s="243"/>
      <c r="S966" s="244"/>
      <c r="T966" s="243"/>
      <c r="U966" s="244"/>
      <c r="V966" s="246"/>
      <c r="W966" s="244"/>
      <c r="X966" s="243"/>
      <c r="Y966" s="244"/>
      <c r="Z966" s="243"/>
      <c r="AA966" s="243"/>
      <c r="AB966" s="243"/>
    </row>
    <row r="967">
      <c r="A967" s="243"/>
      <c r="B967" s="244"/>
      <c r="C967" s="243"/>
      <c r="D967" s="243"/>
      <c r="E967" s="243"/>
      <c r="F967" s="243"/>
      <c r="G967" s="243"/>
      <c r="H967" s="245"/>
      <c r="I967" s="245"/>
      <c r="J967" s="243"/>
      <c r="K967" s="243"/>
      <c r="L967" s="243"/>
      <c r="M967" s="243"/>
      <c r="N967" s="243"/>
      <c r="O967" s="244"/>
      <c r="P967" s="243"/>
      <c r="Q967" s="244"/>
      <c r="R967" s="243"/>
      <c r="S967" s="244"/>
      <c r="T967" s="243"/>
      <c r="U967" s="244"/>
      <c r="V967" s="246"/>
      <c r="W967" s="244"/>
      <c r="X967" s="243"/>
      <c r="Y967" s="244"/>
      <c r="Z967" s="243"/>
      <c r="AA967" s="243"/>
      <c r="AB967" s="243"/>
    </row>
    <row r="968">
      <c r="A968" s="243"/>
      <c r="B968" s="244"/>
      <c r="C968" s="243"/>
      <c r="D968" s="243"/>
      <c r="E968" s="243"/>
      <c r="F968" s="243"/>
      <c r="G968" s="243"/>
      <c r="H968" s="245"/>
      <c r="I968" s="245"/>
      <c r="J968" s="243"/>
      <c r="K968" s="243"/>
      <c r="L968" s="243"/>
      <c r="M968" s="243"/>
      <c r="N968" s="243"/>
      <c r="O968" s="244"/>
      <c r="P968" s="243"/>
      <c r="Q968" s="244"/>
      <c r="R968" s="243"/>
      <c r="S968" s="244"/>
      <c r="T968" s="243"/>
      <c r="U968" s="244"/>
      <c r="V968" s="246"/>
      <c r="W968" s="244"/>
      <c r="X968" s="243"/>
      <c r="Y968" s="244"/>
      <c r="Z968" s="243"/>
      <c r="AA968" s="243"/>
      <c r="AB968" s="243"/>
    </row>
    <row r="969">
      <c r="A969" s="243"/>
      <c r="B969" s="244"/>
      <c r="C969" s="243"/>
      <c r="D969" s="243"/>
      <c r="E969" s="243"/>
      <c r="F969" s="243"/>
      <c r="G969" s="243"/>
      <c r="H969" s="245"/>
      <c r="I969" s="245"/>
      <c r="J969" s="243"/>
      <c r="K969" s="243"/>
      <c r="L969" s="243"/>
      <c r="M969" s="243"/>
      <c r="N969" s="243"/>
      <c r="O969" s="244"/>
      <c r="P969" s="243"/>
      <c r="Q969" s="244"/>
      <c r="R969" s="243"/>
      <c r="S969" s="244"/>
      <c r="T969" s="243"/>
      <c r="U969" s="244"/>
      <c r="V969" s="246"/>
      <c r="W969" s="244"/>
      <c r="X969" s="243"/>
      <c r="Y969" s="244"/>
      <c r="Z969" s="243"/>
      <c r="AA969" s="243"/>
      <c r="AB969" s="243"/>
    </row>
    <row r="970">
      <c r="A970" s="243"/>
      <c r="B970" s="244"/>
      <c r="C970" s="243"/>
      <c r="D970" s="243"/>
      <c r="E970" s="243"/>
      <c r="F970" s="243"/>
      <c r="G970" s="243"/>
      <c r="H970" s="245"/>
      <c r="I970" s="245"/>
      <c r="J970" s="243"/>
      <c r="K970" s="243"/>
      <c r="L970" s="243"/>
      <c r="M970" s="243"/>
      <c r="N970" s="243"/>
      <c r="O970" s="244"/>
      <c r="P970" s="243"/>
      <c r="Q970" s="244"/>
      <c r="R970" s="243"/>
      <c r="S970" s="244"/>
      <c r="T970" s="243"/>
      <c r="U970" s="244"/>
      <c r="V970" s="246"/>
      <c r="W970" s="244"/>
      <c r="X970" s="243"/>
      <c r="Y970" s="244"/>
      <c r="Z970" s="243"/>
      <c r="AA970" s="243"/>
      <c r="AB970" s="243"/>
    </row>
    <row r="971">
      <c r="A971" s="243"/>
      <c r="B971" s="244"/>
      <c r="C971" s="243"/>
      <c r="D971" s="243"/>
      <c r="E971" s="243"/>
      <c r="F971" s="243"/>
      <c r="G971" s="243"/>
      <c r="H971" s="245"/>
      <c r="I971" s="245"/>
      <c r="J971" s="243"/>
      <c r="K971" s="243"/>
      <c r="L971" s="243"/>
      <c r="M971" s="243"/>
      <c r="N971" s="243"/>
      <c r="O971" s="244"/>
      <c r="P971" s="243"/>
      <c r="Q971" s="244"/>
      <c r="R971" s="243"/>
      <c r="S971" s="244"/>
      <c r="T971" s="243"/>
      <c r="U971" s="244"/>
      <c r="V971" s="246"/>
      <c r="W971" s="244"/>
      <c r="X971" s="243"/>
      <c r="Y971" s="244"/>
      <c r="Z971" s="243"/>
      <c r="AA971" s="243"/>
      <c r="AB971" s="243"/>
    </row>
    <row r="972">
      <c r="A972" s="243"/>
      <c r="B972" s="244"/>
      <c r="C972" s="243"/>
      <c r="D972" s="243"/>
      <c r="E972" s="243"/>
      <c r="F972" s="243"/>
      <c r="G972" s="243"/>
      <c r="H972" s="245"/>
      <c r="I972" s="245"/>
      <c r="J972" s="243"/>
      <c r="K972" s="243"/>
      <c r="L972" s="243"/>
      <c r="M972" s="243"/>
      <c r="N972" s="243"/>
      <c r="O972" s="244"/>
      <c r="P972" s="243"/>
      <c r="Q972" s="244"/>
      <c r="R972" s="243"/>
      <c r="S972" s="244"/>
      <c r="T972" s="243"/>
      <c r="U972" s="244"/>
      <c r="V972" s="246"/>
      <c r="W972" s="244"/>
      <c r="X972" s="243"/>
      <c r="Y972" s="244"/>
      <c r="Z972" s="243"/>
      <c r="AA972" s="243"/>
      <c r="AB972" s="243"/>
    </row>
    <row r="973">
      <c r="A973" s="243"/>
      <c r="B973" s="244"/>
      <c r="C973" s="243"/>
      <c r="D973" s="243"/>
      <c r="E973" s="243"/>
      <c r="F973" s="243"/>
      <c r="G973" s="243"/>
      <c r="H973" s="245"/>
      <c r="I973" s="245"/>
      <c r="J973" s="243"/>
      <c r="K973" s="243"/>
      <c r="L973" s="243"/>
      <c r="M973" s="243"/>
      <c r="N973" s="243"/>
      <c r="O973" s="244"/>
      <c r="P973" s="243"/>
      <c r="Q973" s="244"/>
      <c r="R973" s="243"/>
      <c r="S973" s="244"/>
      <c r="T973" s="243"/>
      <c r="U973" s="244"/>
      <c r="V973" s="246"/>
      <c r="W973" s="244"/>
      <c r="X973" s="243"/>
      <c r="Y973" s="244"/>
      <c r="Z973" s="243"/>
      <c r="AA973" s="243"/>
      <c r="AB973" s="243"/>
    </row>
    <row r="974">
      <c r="A974" s="243"/>
      <c r="B974" s="244"/>
      <c r="C974" s="243"/>
      <c r="D974" s="243"/>
      <c r="E974" s="243"/>
      <c r="F974" s="243"/>
      <c r="G974" s="243"/>
      <c r="H974" s="245"/>
      <c r="I974" s="245"/>
      <c r="J974" s="243"/>
      <c r="K974" s="243"/>
      <c r="L974" s="243"/>
      <c r="M974" s="243"/>
      <c r="N974" s="243"/>
      <c r="O974" s="244"/>
      <c r="P974" s="243"/>
      <c r="Q974" s="244"/>
      <c r="R974" s="243"/>
      <c r="S974" s="244"/>
      <c r="T974" s="243"/>
      <c r="U974" s="244"/>
      <c r="V974" s="246"/>
      <c r="W974" s="244"/>
      <c r="X974" s="243"/>
      <c r="Y974" s="244"/>
      <c r="Z974" s="243"/>
      <c r="AA974" s="243"/>
      <c r="AB974" s="243"/>
    </row>
    <row r="975">
      <c r="A975" s="243"/>
      <c r="B975" s="244"/>
      <c r="C975" s="243"/>
      <c r="D975" s="243"/>
      <c r="E975" s="243"/>
      <c r="F975" s="243"/>
      <c r="G975" s="243"/>
      <c r="H975" s="245"/>
      <c r="I975" s="245"/>
      <c r="J975" s="243"/>
      <c r="K975" s="243"/>
      <c r="L975" s="243"/>
      <c r="M975" s="243"/>
      <c r="N975" s="243"/>
      <c r="O975" s="244"/>
      <c r="P975" s="243"/>
      <c r="Q975" s="244"/>
      <c r="R975" s="243"/>
      <c r="S975" s="244"/>
      <c r="T975" s="243"/>
      <c r="U975" s="244"/>
      <c r="V975" s="246"/>
      <c r="W975" s="244"/>
      <c r="X975" s="243"/>
      <c r="Y975" s="244"/>
      <c r="Z975" s="243"/>
      <c r="AA975" s="243"/>
      <c r="AB975" s="243"/>
    </row>
    <row r="976">
      <c r="A976" s="243"/>
      <c r="B976" s="244"/>
      <c r="C976" s="243"/>
      <c r="D976" s="243"/>
      <c r="E976" s="243"/>
      <c r="F976" s="243"/>
      <c r="G976" s="243"/>
      <c r="H976" s="245"/>
      <c r="I976" s="245"/>
      <c r="J976" s="243"/>
      <c r="K976" s="243"/>
      <c r="L976" s="243"/>
      <c r="M976" s="243"/>
      <c r="N976" s="243"/>
      <c r="O976" s="244"/>
      <c r="P976" s="243"/>
      <c r="Q976" s="244"/>
      <c r="R976" s="243"/>
      <c r="S976" s="244"/>
      <c r="T976" s="243"/>
      <c r="U976" s="244"/>
      <c r="V976" s="246"/>
      <c r="W976" s="244"/>
      <c r="X976" s="243"/>
      <c r="Y976" s="244"/>
      <c r="Z976" s="243"/>
      <c r="AA976" s="243"/>
      <c r="AB976" s="243"/>
    </row>
    <row r="977">
      <c r="A977" s="243"/>
      <c r="B977" s="244"/>
      <c r="C977" s="243"/>
      <c r="D977" s="243"/>
      <c r="E977" s="243"/>
      <c r="F977" s="243"/>
      <c r="G977" s="243"/>
      <c r="H977" s="245"/>
      <c r="I977" s="245"/>
      <c r="J977" s="243"/>
      <c r="K977" s="243"/>
      <c r="L977" s="243"/>
      <c r="M977" s="243"/>
      <c r="N977" s="243"/>
      <c r="O977" s="244"/>
      <c r="P977" s="243"/>
      <c r="Q977" s="244"/>
      <c r="R977" s="243"/>
      <c r="S977" s="244"/>
      <c r="T977" s="243"/>
      <c r="U977" s="244"/>
      <c r="V977" s="246"/>
      <c r="W977" s="244"/>
      <c r="X977" s="243"/>
      <c r="Y977" s="244"/>
      <c r="Z977" s="243"/>
      <c r="AA977" s="243"/>
      <c r="AB977" s="243"/>
    </row>
    <row r="978">
      <c r="A978" s="243"/>
      <c r="B978" s="244"/>
      <c r="C978" s="243"/>
      <c r="D978" s="243"/>
      <c r="E978" s="243"/>
      <c r="F978" s="243"/>
      <c r="G978" s="243"/>
      <c r="H978" s="245"/>
      <c r="I978" s="245"/>
      <c r="J978" s="243"/>
      <c r="K978" s="243"/>
      <c r="L978" s="243"/>
      <c r="M978" s="243"/>
      <c r="N978" s="243"/>
      <c r="O978" s="244"/>
      <c r="P978" s="243"/>
      <c r="Q978" s="244"/>
      <c r="R978" s="243"/>
      <c r="S978" s="244"/>
      <c r="T978" s="243"/>
      <c r="U978" s="244"/>
      <c r="V978" s="246"/>
      <c r="W978" s="244"/>
      <c r="X978" s="243"/>
      <c r="Y978" s="244"/>
      <c r="Z978" s="243"/>
      <c r="AA978" s="243"/>
      <c r="AB978" s="243"/>
    </row>
    <row r="979">
      <c r="A979" s="243"/>
      <c r="B979" s="244"/>
      <c r="C979" s="243"/>
      <c r="D979" s="243"/>
      <c r="E979" s="243"/>
      <c r="F979" s="243"/>
      <c r="G979" s="243"/>
      <c r="H979" s="245"/>
      <c r="I979" s="245"/>
      <c r="J979" s="243"/>
      <c r="K979" s="243"/>
      <c r="L979" s="243"/>
      <c r="M979" s="243"/>
      <c r="N979" s="243"/>
      <c r="O979" s="244"/>
      <c r="P979" s="243"/>
      <c r="Q979" s="244"/>
      <c r="R979" s="243"/>
      <c r="S979" s="244"/>
      <c r="T979" s="243"/>
      <c r="U979" s="244"/>
      <c r="V979" s="246"/>
      <c r="W979" s="244"/>
      <c r="X979" s="243"/>
      <c r="Y979" s="244"/>
      <c r="Z979" s="243"/>
      <c r="AA979" s="243"/>
      <c r="AB979" s="243"/>
    </row>
    <row r="980">
      <c r="A980" s="243"/>
      <c r="B980" s="244"/>
      <c r="C980" s="243"/>
      <c r="D980" s="243"/>
      <c r="E980" s="243"/>
      <c r="F980" s="243"/>
      <c r="G980" s="243"/>
      <c r="H980" s="245"/>
      <c r="I980" s="245"/>
      <c r="J980" s="243"/>
      <c r="K980" s="243"/>
      <c r="L980" s="243"/>
      <c r="M980" s="243"/>
      <c r="N980" s="243"/>
      <c r="O980" s="244"/>
      <c r="P980" s="243"/>
      <c r="Q980" s="244"/>
      <c r="R980" s="243"/>
      <c r="S980" s="244"/>
      <c r="T980" s="243"/>
      <c r="U980" s="244"/>
      <c r="V980" s="246"/>
      <c r="W980" s="244"/>
      <c r="X980" s="243"/>
      <c r="Y980" s="244"/>
      <c r="Z980" s="243"/>
      <c r="AA980" s="243"/>
      <c r="AB980" s="243"/>
    </row>
    <row r="981">
      <c r="A981" s="243"/>
      <c r="B981" s="244"/>
      <c r="C981" s="243"/>
      <c r="D981" s="243"/>
      <c r="E981" s="243"/>
      <c r="F981" s="243"/>
      <c r="G981" s="243"/>
      <c r="H981" s="245"/>
      <c r="I981" s="245"/>
      <c r="J981" s="243"/>
      <c r="K981" s="243"/>
      <c r="L981" s="243"/>
      <c r="M981" s="243"/>
      <c r="N981" s="243"/>
      <c r="O981" s="244"/>
      <c r="P981" s="243"/>
      <c r="Q981" s="244"/>
      <c r="R981" s="243"/>
      <c r="S981" s="244"/>
      <c r="T981" s="243"/>
      <c r="U981" s="244"/>
      <c r="V981" s="246"/>
      <c r="W981" s="244"/>
      <c r="X981" s="243"/>
      <c r="Y981" s="244"/>
      <c r="Z981" s="243"/>
      <c r="AA981" s="243"/>
      <c r="AB981" s="243"/>
    </row>
    <row r="982">
      <c r="A982" s="243"/>
      <c r="B982" s="244"/>
      <c r="C982" s="243"/>
      <c r="D982" s="243"/>
      <c r="E982" s="243"/>
      <c r="F982" s="243"/>
      <c r="G982" s="243"/>
      <c r="H982" s="245"/>
      <c r="I982" s="245"/>
      <c r="J982" s="243"/>
      <c r="K982" s="243"/>
      <c r="L982" s="243"/>
      <c r="M982" s="243"/>
      <c r="N982" s="243"/>
      <c r="O982" s="244"/>
      <c r="P982" s="243"/>
      <c r="Q982" s="244"/>
      <c r="R982" s="243"/>
      <c r="S982" s="244"/>
      <c r="T982" s="243"/>
      <c r="U982" s="244"/>
      <c r="V982" s="246"/>
      <c r="W982" s="244"/>
      <c r="X982" s="243"/>
      <c r="Y982" s="244"/>
      <c r="Z982" s="243"/>
      <c r="AA982" s="243"/>
      <c r="AB982" s="243"/>
    </row>
    <row r="983">
      <c r="A983" s="243"/>
      <c r="B983" s="244"/>
      <c r="C983" s="243"/>
      <c r="D983" s="243"/>
      <c r="E983" s="243"/>
      <c r="F983" s="243"/>
      <c r="G983" s="243"/>
      <c r="H983" s="245"/>
      <c r="I983" s="245"/>
      <c r="J983" s="243"/>
      <c r="K983" s="243"/>
      <c r="L983" s="243"/>
      <c r="M983" s="243"/>
      <c r="N983" s="243"/>
      <c r="O983" s="244"/>
      <c r="P983" s="243"/>
      <c r="Q983" s="244"/>
      <c r="R983" s="243"/>
      <c r="S983" s="244"/>
      <c r="T983" s="243"/>
      <c r="U983" s="244"/>
      <c r="V983" s="246"/>
      <c r="W983" s="244"/>
      <c r="X983" s="243"/>
      <c r="Y983" s="244"/>
      <c r="Z983" s="243"/>
      <c r="AA983" s="243"/>
      <c r="AB983" s="243"/>
    </row>
    <row r="984">
      <c r="A984" s="243"/>
      <c r="B984" s="244"/>
      <c r="C984" s="243"/>
      <c r="D984" s="243"/>
      <c r="E984" s="243"/>
      <c r="F984" s="243"/>
      <c r="G984" s="243"/>
      <c r="H984" s="245"/>
      <c r="I984" s="245"/>
      <c r="J984" s="243"/>
      <c r="K984" s="243"/>
      <c r="L984" s="243"/>
      <c r="M984" s="243"/>
      <c r="N984" s="243"/>
      <c r="O984" s="244"/>
      <c r="P984" s="243"/>
      <c r="Q984" s="244"/>
      <c r="R984" s="243"/>
      <c r="S984" s="244"/>
      <c r="T984" s="243"/>
      <c r="U984" s="244"/>
      <c r="V984" s="246"/>
      <c r="W984" s="244"/>
      <c r="X984" s="243"/>
      <c r="Y984" s="244"/>
      <c r="Z984" s="243"/>
      <c r="AA984" s="243"/>
      <c r="AB984" s="243"/>
    </row>
    <row r="985">
      <c r="A985" s="243"/>
      <c r="B985" s="244"/>
      <c r="C985" s="243"/>
      <c r="D985" s="243"/>
      <c r="E985" s="243"/>
      <c r="F985" s="243"/>
      <c r="G985" s="243"/>
      <c r="H985" s="245"/>
      <c r="I985" s="245"/>
      <c r="J985" s="243"/>
      <c r="K985" s="243"/>
      <c r="L985" s="243"/>
      <c r="M985" s="243"/>
      <c r="N985" s="243"/>
      <c r="O985" s="244"/>
      <c r="P985" s="243"/>
      <c r="Q985" s="244"/>
      <c r="R985" s="243"/>
      <c r="S985" s="244"/>
      <c r="T985" s="243"/>
      <c r="U985" s="244"/>
      <c r="V985" s="246"/>
      <c r="W985" s="244"/>
      <c r="X985" s="243"/>
      <c r="Y985" s="244"/>
      <c r="Z985" s="243"/>
      <c r="AA985" s="243"/>
      <c r="AB985" s="243"/>
    </row>
    <row r="986">
      <c r="A986" s="243"/>
      <c r="B986" s="244"/>
      <c r="C986" s="243"/>
      <c r="D986" s="243"/>
      <c r="E986" s="243"/>
      <c r="F986" s="243"/>
      <c r="G986" s="243"/>
      <c r="H986" s="245"/>
      <c r="I986" s="245"/>
      <c r="J986" s="243"/>
      <c r="K986" s="243"/>
      <c r="L986" s="243"/>
      <c r="M986" s="243"/>
      <c r="N986" s="243"/>
      <c r="O986" s="244"/>
      <c r="P986" s="243"/>
      <c r="Q986" s="244"/>
      <c r="R986" s="243"/>
      <c r="S986" s="244"/>
      <c r="T986" s="243"/>
      <c r="U986" s="244"/>
      <c r="V986" s="246"/>
      <c r="W986" s="244"/>
      <c r="X986" s="243"/>
      <c r="Y986" s="244"/>
      <c r="Z986" s="243"/>
      <c r="AA986" s="243"/>
      <c r="AB986" s="243"/>
    </row>
    <row r="987">
      <c r="A987" s="243"/>
      <c r="B987" s="244"/>
      <c r="C987" s="243"/>
      <c r="D987" s="243"/>
      <c r="E987" s="243"/>
      <c r="F987" s="243"/>
      <c r="G987" s="243"/>
      <c r="H987" s="245"/>
      <c r="I987" s="245"/>
      <c r="J987" s="243"/>
      <c r="K987" s="243"/>
      <c r="L987" s="243"/>
      <c r="M987" s="243"/>
      <c r="N987" s="243"/>
      <c r="O987" s="244"/>
      <c r="P987" s="243"/>
      <c r="Q987" s="244"/>
      <c r="R987" s="243"/>
      <c r="S987" s="244"/>
      <c r="T987" s="243"/>
      <c r="U987" s="244"/>
      <c r="V987" s="246"/>
      <c r="W987" s="244"/>
      <c r="X987" s="243"/>
      <c r="Y987" s="244"/>
      <c r="Z987" s="243"/>
      <c r="AA987" s="243"/>
      <c r="AB987" s="243"/>
    </row>
    <row r="988">
      <c r="A988" s="243"/>
      <c r="B988" s="244"/>
      <c r="C988" s="243"/>
      <c r="D988" s="243"/>
      <c r="E988" s="243"/>
      <c r="F988" s="243"/>
      <c r="G988" s="243"/>
      <c r="H988" s="245"/>
      <c r="I988" s="245"/>
      <c r="J988" s="243"/>
      <c r="K988" s="243"/>
      <c r="L988" s="243"/>
      <c r="M988" s="243"/>
      <c r="N988" s="243"/>
      <c r="O988" s="244"/>
      <c r="P988" s="243"/>
      <c r="Q988" s="244"/>
      <c r="R988" s="243"/>
      <c r="S988" s="244"/>
      <c r="T988" s="243"/>
      <c r="U988" s="244"/>
      <c r="V988" s="246"/>
      <c r="W988" s="244"/>
      <c r="X988" s="243"/>
      <c r="Y988" s="244"/>
      <c r="Z988" s="243"/>
      <c r="AA988" s="243"/>
      <c r="AB988" s="243"/>
    </row>
    <row r="989">
      <c r="A989" s="243"/>
      <c r="B989" s="244"/>
      <c r="C989" s="243"/>
      <c r="D989" s="243"/>
      <c r="E989" s="243"/>
      <c r="F989" s="243"/>
      <c r="G989" s="243"/>
      <c r="H989" s="245"/>
      <c r="I989" s="245"/>
      <c r="J989" s="243"/>
      <c r="K989" s="243"/>
      <c r="L989" s="243"/>
      <c r="M989" s="243"/>
      <c r="N989" s="243"/>
      <c r="O989" s="244"/>
      <c r="P989" s="243"/>
      <c r="Q989" s="244"/>
      <c r="R989" s="243"/>
      <c r="S989" s="244"/>
      <c r="T989" s="243"/>
      <c r="U989" s="244"/>
      <c r="V989" s="246"/>
      <c r="W989" s="244"/>
      <c r="X989" s="243"/>
      <c r="Y989" s="244"/>
      <c r="Z989" s="243"/>
      <c r="AA989" s="243"/>
      <c r="AB989" s="243"/>
    </row>
    <row r="990">
      <c r="A990" s="243"/>
      <c r="B990" s="244"/>
      <c r="C990" s="243"/>
      <c r="D990" s="243"/>
      <c r="E990" s="243"/>
      <c r="F990" s="243"/>
      <c r="G990" s="243"/>
      <c r="H990" s="245"/>
      <c r="I990" s="245"/>
      <c r="J990" s="243"/>
      <c r="K990" s="243"/>
      <c r="L990" s="243"/>
      <c r="M990" s="243"/>
      <c r="N990" s="243"/>
      <c r="O990" s="244"/>
      <c r="P990" s="243"/>
      <c r="Q990" s="244"/>
      <c r="R990" s="243"/>
      <c r="S990" s="244"/>
      <c r="T990" s="243"/>
      <c r="U990" s="244"/>
      <c r="V990" s="246"/>
      <c r="W990" s="244"/>
      <c r="X990" s="243"/>
      <c r="Y990" s="244"/>
      <c r="Z990" s="243"/>
      <c r="AA990" s="243"/>
      <c r="AB990" s="243"/>
    </row>
    <row r="991">
      <c r="A991" s="243"/>
      <c r="B991" s="244"/>
      <c r="C991" s="243"/>
      <c r="D991" s="243"/>
      <c r="E991" s="243"/>
      <c r="F991" s="243"/>
      <c r="G991" s="243"/>
      <c r="H991" s="245"/>
      <c r="I991" s="245"/>
      <c r="J991" s="243"/>
      <c r="K991" s="243"/>
      <c r="L991" s="243"/>
      <c r="M991" s="243"/>
      <c r="N991" s="243"/>
      <c r="O991" s="244"/>
      <c r="P991" s="243"/>
      <c r="Q991" s="244"/>
      <c r="R991" s="243"/>
      <c r="S991" s="244"/>
      <c r="T991" s="243"/>
      <c r="U991" s="244"/>
      <c r="V991" s="246"/>
      <c r="W991" s="244"/>
      <c r="X991" s="243"/>
      <c r="Y991" s="244"/>
      <c r="Z991" s="243"/>
      <c r="AA991" s="243"/>
      <c r="AB991" s="243"/>
    </row>
    <row r="992">
      <c r="A992" s="243"/>
      <c r="B992" s="244"/>
      <c r="C992" s="243"/>
      <c r="D992" s="243"/>
      <c r="E992" s="243"/>
      <c r="F992" s="243"/>
      <c r="G992" s="243"/>
      <c r="H992" s="245"/>
      <c r="I992" s="245"/>
      <c r="J992" s="243"/>
      <c r="K992" s="243"/>
      <c r="L992" s="243"/>
      <c r="M992" s="243"/>
      <c r="N992" s="243"/>
      <c r="O992" s="244"/>
      <c r="P992" s="243"/>
      <c r="Q992" s="244"/>
      <c r="R992" s="243"/>
      <c r="S992" s="244"/>
      <c r="T992" s="243"/>
      <c r="U992" s="244"/>
      <c r="V992" s="246"/>
      <c r="W992" s="244"/>
      <c r="X992" s="243"/>
      <c r="Y992" s="244"/>
      <c r="Z992" s="243"/>
      <c r="AA992" s="243"/>
      <c r="AB992" s="243"/>
    </row>
    <row r="993">
      <c r="A993" s="243"/>
      <c r="B993" s="244"/>
      <c r="C993" s="243"/>
      <c r="D993" s="243"/>
      <c r="E993" s="243"/>
      <c r="F993" s="243"/>
      <c r="G993" s="243"/>
      <c r="H993" s="245"/>
      <c r="I993" s="245"/>
      <c r="J993" s="243"/>
      <c r="K993" s="243"/>
      <c r="L993" s="243"/>
      <c r="M993" s="243"/>
      <c r="N993" s="243"/>
      <c r="O993" s="244"/>
      <c r="P993" s="243"/>
      <c r="Q993" s="244"/>
      <c r="R993" s="243"/>
      <c r="S993" s="244"/>
      <c r="T993" s="243"/>
      <c r="U993" s="244"/>
      <c r="V993" s="246"/>
      <c r="W993" s="244"/>
      <c r="X993" s="243"/>
      <c r="Y993" s="244"/>
      <c r="Z993" s="243"/>
      <c r="AA993" s="243"/>
      <c r="AB993" s="243"/>
    </row>
    <row r="994">
      <c r="A994" s="243"/>
      <c r="B994" s="244"/>
      <c r="C994" s="243"/>
      <c r="D994" s="243"/>
      <c r="E994" s="243"/>
      <c r="F994" s="243"/>
      <c r="G994" s="243"/>
      <c r="H994" s="245"/>
      <c r="I994" s="245"/>
      <c r="J994" s="243"/>
      <c r="K994" s="243"/>
      <c r="L994" s="243"/>
      <c r="M994" s="243"/>
      <c r="N994" s="243"/>
      <c r="O994" s="244"/>
      <c r="P994" s="243"/>
      <c r="Q994" s="244"/>
      <c r="R994" s="243"/>
      <c r="S994" s="244"/>
      <c r="T994" s="243"/>
      <c r="U994" s="244"/>
      <c r="V994" s="246"/>
      <c r="W994" s="244"/>
      <c r="X994" s="243"/>
      <c r="Y994" s="244"/>
      <c r="Z994" s="243"/>
      <c r="AA994" s="243"/>
      <c r="AB994" s="243"/>
    </row>
    <row r="995">
      <c r="A995" s="243"/>
      <c r="B995" s="244"/>
      <c r="C995" s="243"/>
      <c r="D995" s="243"/>
      <c r="E995" s="243"/>
      <c r="F995" s="243"/>
      <c r="G995" s="243"/>
      <c r="H995" s="245"/>
      <c r="I995" s="245"/>
      <c r="J995" s="243"/>
      <c r="K995" s="243"/>
      <c r="L995" s="243"/>
      <c r="M995" s="243"/>
      <c r="N995" s="243"/>
      <c r="O995" s="244"/>
      <c r="P995" s="243"/>
      <c r="Q995" s="244"/>
      <c r="R995" s="243"/>
      <c r="S995" s="244"/>
      <c r="T995" s="243"/>
      <c r="U995" s="244"/>
      <c r="V995" s="246"/>
      <c r="W995" s="244"/>
      <c r="X995" s="243"/>
      <c r="Y995" s="244"/>
      <c r="Z995" s="243"/>
      <c r="AA995" s="243"/>
      <c r="AB995" s="243"/>
    </row>
    <row r="996">
      <c r="A996" s="243"/>
      <c r="B996" s="244"/>
      <c r="C996" s="243"/>
      <c r="D996" s="243"/>
      <c r="E996" s="243"/>
      <c r="F996" s="243"/>
      <c r="G996" s="243"/>
      <c r="H996" s="245"/>
      <c r="I996" s="245"/>
      <c r="J996" s="243"/>
      <c r="K996" s="243"/>
      <c r="L996" s="243"/>
      <c r="M996" s="243"/>
      <c r="N996" s="243"/>
      <c r="O996" s="244"/>
      <c r="P996" s="243"/>
      <c r="Q996" s="244"/>
      <c r="R996" s="243"/>
      <c r="S996" s="244"/>
      <c r="T996" s="243"/>
      <c r="U996" s="244"/>
      <c r="V996" s="246"/>
      <c r="W996" s="244"/>
      <c r="X996" s="243"/>
      <c r="Y996" s="244"/>
      <c r="Z996" s="243"/>
      <c r="AA996" s="243"/>
      <c r="AB996" s="243"/>
    </row>
    <row r="997">
      <c r="A997" s="243"/>
      <c r="B997" s="244"/>
      <c r="C997" s="243"/>
      <c r="D997" s="243"/>
      <c r="E997" s="243"/>
      <c r="F997" s="243"/>
      <c r="G997" s="243"/>
      <c r="H997" s="245"/>
      <c r="I997" s="245"/>
      <c r="J997" s="243"/>
      <c r="K997" s="243"/>
      <c r="L997" s="243"/>
      <c r="M997" s="243"/>
      <c r="N997" s="243"/>
      <c r="O997" s="244"/>
      <c r="P997" s="243"/>
      <c r="Q997" s="244"/>
      <c r="R997" s="243"/>
      <c r="S997" s="244"/>
      <c r="T997" s="243"/>
      <c r="U997" s="244"/>
      <c r="V997" s="246"/>
      <c r="W997" s="244"/>
      <c r="X997" s="243"/>
      <c r="Y997" s="244"/>
      <c r="Z997" s="243"/>
      <c r="AA997" s="243"/>
      <c r="AB997" s="243"/>
    </row>
    <row r="998">
      <c r="A998" s="243"/>
      <c r="B998" s="244"/>
      <c r="C998" s="243"/>
      <c r="D998" s="243"/>
      <c r="E998" s="243"/>
      <c r="F998" s="243"/>
      <c r="G998" s="243"/>
      <c r="H998" s="245"/>
      <c r="I998" s="245"/>
      <c r="J998" s="243"/>
      <c r="K998" s="243"/>
      <c r="L998" s="243"/>
      <c r="M998" s="243"/>
      <c r="N998" s="243"/>
      <c r="O998" s="244"/>
      <c r="P998" s="243"/>
      <c r="Q998" s="244"/>
      <c r="R998" s="243"/>
      <c r="S998" s="244"/>
      <c r="T998" s="243"/>
      <c r="U998" s="244"/>
      <c r="V998" s="246"/>
      <c r="W998" s="244"/>
      <c r="X998" s="243"/>
      <c r="Y998" s="244"/>
      <c r="Z998" s="243"/>
      <c r="AA998" s="243"/>
      <c r="AB998" s="243"/>
    </row>
    <row r="999">
      <c r="A999" s="243"/>
      <c r="B999" s="244"/>
      <c r="C999" s="243"/>
      <c r="D999" s="243"/>
      <c r="E999" s="243"/>
      <c r="F999" s="243"/>
      <c r="G999" s="243"/>
      <c r="H999" s="245"/>
      <c r="I999" s="245"/>
      <c r="J999" s="243"/>
      <c r="K999" s="243"/>
      <c r="L999" s="243"/>
      <c r="M999" s="243"/>
      <c r="N999" s="243"/>
      <c r="O999" s="244"/>
      <c r="P999" s="243"/>
      <c r="Q999" s="244"/>
      <c r="R999" s="243"/>
      <c r="S999" s="244"/>
      <c r="T999" s="243"/>
      <c r="U999" s="244"/>
      <c r="V999" s="246"/>
      <c r="W999" s="244"/>
      <c r="X999" s="243"/>
      <c r="Y999" s="244"/>
      <c r="Z999" s="243"/>
      <c r="AA999" s="243"/>
      <c r="AB999" s="243"/>
    </row>
    <row r="1000">
      <c r="A1000" s="243"/>
      <c r="B1000" s="244"/>
      <c r="C1000" s="243"/>
      <c r="D1000" s="243"/>
      <c r="E1000" s="243"/>
      <c r="F1000" s="243"/>
      <c r="G1000" s="243"/>
      <c r="H1000" s="245"/>
      <c r="I1000" s="245"/>
      <c r="J1000" s="243"/>
      <c r="K1000" s="243"/>
      <c r="L1000" s="243"/>
      <c r="M1000" s="243"/>
      <c r="N1000" s="243"/>
      <c r="O1000" s="244"/>
      <c r="P1000" s="243"/>
      <c r="Q1000" s="244"/>
      <c r="R1000" s="243"/>
      <c r="S1000" s="244"/>
      <c r="T1000" s="243"/>
      <c r="U1000" s="244"/>
      <c r="V1000" s="246"/>
      <c r="W1000" s="244"/>
      <c r="X1000" s="243"/>
      <c r="Y1000" s="244"/>
      <c r="Z1000" s="243"/>
      <c r="AA1000" s="243"/>
      <c r="AB1000" s="243"/>
    </row>
    <row r="1001">
      <c r="A1001" s="243"/>
      <c r="B1001" s="244"/>
      <c r="C1001" s="243"/>
      <c r="D1001" s="243"/>
      <c r="E1001" s="243"/>
      <c r="F1001" s="243"/>
      <c r="G1001" s="243"/>
      <c r="H1001" s="245"/>
      <c r="I1001" s="245"/>
      <c r="J1001" s="243"/>
      <c r="K1001" s="243"/>
      <c r="L1001" s="243"/>
      <c r="M1001" s="243"/>
      <c r="N1001" s="243"/>
      <c r="O1001" s="244"/>
      <c r="P1001" s="243"/>
      <c r="Q1001" s="244"/>
      <c r="R1001" s="243"/>
      <c r="S1001" s="244"/>
      <c r="T1001" s="243"/>
      <c r="U1001" s="244"/>
      <c r="V1001" s="246"/>
      <c r="W1001" s="244"/>
      <c r="X1001" s="243"/>
      <c r="Y1001" s="244"/>
      <c r="Z1001" s="243"/>
      <c r="AA1001" s="243"/>
      <c r="AB1001" s="243"/>
    </row>
    <row r="1002">
      <c r="A1002" s="243"/>
      <c r="B1002" s="244"/>
      <c r="C1002" s="243"/>
      <c r="D1002" s="243"/>
      <c r="E1002" s="243"/>
      <c r="F1002" s="243"/>
      <c r="G1002" s="243"/>
      <c r="H1002" s="245"/>
      <c r="I1002" s="245"/>
      <c r="J1002" s="243"/>
      <c r="K1002" s="243"/>
      <c r="L1002" s="243"/>
      <c r="M1002" s="243"/>
      <c r="N1002" s="243"/>
      <c r="O1002" s="244"/>
      <c r="P1002" s="243"/>
      <c r="Q1002" s="244"/>
      <c r="R1002" s="243"/>
      <c r="S1002" s="244"/>
      <c r="T1002" s="243"/>
      <c r="U1002" s="244"/>
      <c r="V1002" s="246"/>
      <c r="W1002" s="244"/>
      <c r="X1002" s="243"/>
      <c r="Y1002" s="244"/>
      <c r="Z1002" s="243"/>
      <c r="AA1002" s="243"/>
      <c r="AB1002" s="243"/>
    </row>
    <row r="1003">
      <c r="A1003" s="243"/>
      <c r="B1003" s="244"/>
      <c r="C1003" s="243"/>
      <c r="D1003" s="243"/>
      <c r="E1003" s="243"/>
      <c r="F1003" s="243"/>
      <c r="G1003" s="243"/>
      <c r="H1003" s="245"/>
      <c r="I1003" s="245"/>
      <c r="J1003" s="243"/>
      <c r="K1003" s="243"/>
      <c r="L1003" s="243"/>
      <c r="M1003" s="243"/>
      <c r="N1003" s="243"/>
      <c r="O1003" s="244"/>
      <c r="P1003" s="243"/>
      <c r="Q1003" s="244"/>
      <c r="R1003" s="243"/>
      <c r="S1003" s="244"/>
      <c r="T1003" s="243"/>
      <c r="U1003" s="244"/>
      <c r="V1003" s="246"/>
      <c r="W1003" s="244"/>
      <c r="X1003" s="243"/>
      <c r="Y1003" s="244"/>
      <c r="Z1003" s="243"/>
      <c r="AA1003" s="243"/>
      <c r="AB1003" s="243"/>
    </row>
    <row r="1004">
      <c r="A1004" s="243"/>
      <c r="B1004" s="244"/>
      <c r="C1004" s="243"/>
      <c r="D1004" s="243"/>
      <c r="E1004" s="243"/>
      <c r="F1004" s="243"/>
      <c r="G1004" s="243"/>
      <c r="H1004" s="245"/>
      <c r="I1004" s="245"/>
      <c r="J1004" s="243"/>
      <c r="K1004" s="243"/>
      <c r="L1004" s="243"/>
      <c r="M1004" s="243"/>
      <c r="N1004" s="243"/>
      <c r="O1004" s="244"/>
      <c r="P1004" s="243"/>
      <c r="Q1004" s="244"/>
      <c r="R1004" s="243"/>
      <c r="S1004" s="244"/>
      <c r="T1004" s="243"/>
      <c r="U1004" s="244"/>
      <c r="V1004" s="246"/>
      <c r="W1004" s="244"/>
      <c r="X1004" s="243"/>
      <c r="Y1004" s="244"/>
      <c r="Z1004" s="243"/>
      <c r="AA1004" s="243"/>
      <c r="AB1004" s="243"/>
    </row>
    <row r="1005">
      <c r="A1005" s="243"/>
      <c r="B1005" s="244"/>
      <c r="C1005" s="243"/>
      <c r="D1005" s="243"/>
      <c r="E1005" s="243"/>
      <c r="F1005" s="243"/>
      <c r="G1005" s="243"/>
      <c r="H1005" s="245"/>
      <c r="I1005" s="245"/>
      <c r="J1005" s="243"/>
      <c r="K1005" s="243"/>
      <c r="L1005" s="243"/>
      <c r="M1005" s="243"/>
      <c r="N1005" s="243"/>
      <c r="O1005" s="244"/>
      <c r="P1005" s="243"/>
      <c r="Q1005" s="244"/>
      <c r="R1005" s="243"/>
      <c r="S1005" s="244"/>
      <c r="T1005" s="243"/>
      <c r="U1005" s="244"/>
      <c r="V1005" s="246"/>
      <c r="W1005" s="244"/>
      <c r="X1005" s="243"/>
      <c r="Y1005" s="244"/>
      <c r="Z1005" s="243"/>
      <c r="AA1005" s="243"/>
      <c r="AB1005" s="243"/>
    </row>
    <row r="1006">
      <c r="A1006" s="243"/>
      <c r="B1006" s="244"/>
      <c r="C1006" s="243"/>
      <c r="D1006" s="243"/>
      <c r="E1006" s="243"/>
      <c r="F1006" s="243"/>
      <c r="G1006" s="243"/>
      <c r="H1006" s="245"/>
      <c r="I1006" s="245"/>
      <c r="J1006" s="243"/>
      <c r="K1006" s="243"/>
      <c r="L1006" s="243"/>
      <c r="M1006" s="243"/>
      <c r="N1006" s="243"/>
      <c r="O1006" s="244"/>
      <c r="P1006" s="243"/>
      <c r="Q1006" s="244"/>
      <c r="R1006" s="243"/>
      <c r="S1006" s="244"/>
      <c r="T1006" s="243"/>
      <c r="U1006" s="244"/>
      <c r="V1006" s="246"/>
      <c r="W1006" s="244"/>
      <c r="X1006" s="243"/>
      <c r="Y1006" s="244"/>
      <c r="Z1006" s="243"/>
      <c r="AA1006" s="243"/>
      <c r="AB1006" s="243"/>
    </row>
    <row r="1007">
      <c r="A1007" s="243"/>
      <c r="B1007" s="244"/>
      <c r="C1007" s="243"/>
      <c r="D1007" s="243"/>
      <c r="E1007" s="243"/>
      <c r="F1007" s="243"/>
      <c r="G1007" s="243"/>
      <c r="H1007" s="245"/>
      <c r="I1007" s="245"/>
      <c r="J1007" s="243"/>
      <c r="K1007" s="243"/>
      <c r="L1007" s="243"/>
      <c r="M1007" s="243"/>
      <c r="N1007" s="243"/>
      <c r="O1007" s="244"/>
      <c r="P1007" s="243"/>
      <c r="Q1007" s="244"/>
      <c r="R1007" s="243"/>
      <c r="S1007" s="244"/>
      <c r="T1007" s="243"/>
      <c r="U1007" s="244"/>
      <c r="V1007" s="246"/>
      <c r="W1007" s="244"/>
      <c r="X1007" s="243"/>
      <c r="Y1007" s="244"/>
      <c r="Z1007" s="243"/>
      <c r="AA1007" s="243"/>
      <c r="AB1007" s="243"/>
    </row>
    <row r="1008">
      <c r="A1008" s="243"/>
      <c r="B1008" s="244"/>
      <c r="C1008" s="243"/>
      <c r="D1008" s="243"/>
      <c r="E1008" s="243"/>
      <c r="F1008" s="243"/>
      <c r="G1008" s="243"/>
      <c r="H1008" s="245"/>
      <c r="I1008" s="245"/>
      <c r="J1008" s="243"/>
      <c r="K1008" s="243"/>
      <c r="L1008" s="243"/>
      <c r="M1008" s="243"/>
      <c r="N1008" s="243"/>
      <c r="O1008" s="244"/>
      <c r="P1008" s="243"/>
      <c r="Q1008" s="244"/>
      <c r="R1008" s="243"/>
      <c r="S1008" s="244"/>
      <c r="T1008" s="243"/>
      <c r="U1008" s="244"/>
      <c r="V1008" s="246"/>
      <c r="W1008" s="244"/>
      <c r="X1008" s="243"/>
      <c r="Y1008" s="244"/>
      <c r="Z1008" s="243"/>
      <c r="AA1008" s="243"/>
      <c r="AB1008" s="243"/>
    </row>
    <row r="1009">
      <c r="A1009" s="243"/>
      <c r="B1009" s="244"/>
      <c r="C1009" s="243"/>
      <c r="D1009" s="243"/>
      <c r="E1009" s="243"/>
      <c r="F1009" s="243"/>
      <c r="G1009" s="243"/>
      <c r="H1009" s="245"/>
      <c r="I1009" s="245"/>
      <c r="J1009" s="243"/>
      <c r="K1009" s="243"/>
      <c r="L1009" s="243"/>
      <c r="M1009" s="243"/>
      <c r="N1009" s="243"/>
      <c r="O1009" s="244"/>
      <c r="P1009" s="243"/>
      <c r="Q1009" s="244"/>
      <c r="R1009" s="243"/>
      <c r="S1009" s="244"/>
      <c r="T1009" s="243"/>
      <c r="U1009" s="244"/>
      <c r="V1009" s="246"/>
      <c r="W1009" s="244"/>
      <c r="X1009" s="243"/>
      <c r="Y1009" s="244"/>
      <c r="Z1009" s="243"/>
      <c r="AA1009" s="243"/>
      <c r="AB1009" s="243"/>
    </row>
    <row r="1010">
      <c r="A1010" s="243"/>
      <c r="B1010" s="244"/>
      <c r="C1010" s="243"/>
      <c r="D1010" s="243"/>
      <c r="E1010" s="243"/>
      <c r="F1010" s="243"/>
      <c r="G1010" s="243"/>
      <c r="H1010" s="245"/>
      <c r="I1010" s="245"/>
      <c r="J1010" s="243"/>
      <c r="K1010" s="243"/>
      <c r="L1010" s="243"/>
      <c r="M1010" s="243"/>
      <c r="N1010" s="243"/>
      <c r="O1010" s="244"/>
      <c r="P1010" s="243"/>
      <c r="Q1010" s="244"/>
      <c r="R1010" s="243"/>
      <c r="S1010" s="244"/>
      <c r="T1010" s="243"/>
      <c r="U1010" s="244"/>
      <c r="V1010" s="246"/>
      <c r="W1010" s="244"/>
      <c r="X1010" s="243"/>
      <c r="Y1010" s="244"/>
      <c r="Z1010" s="243"/>
      <c r="AA1010" s="243"/>
      <c r="AB1010" s="243"/>
    </row>
    <row r="1011">
      <c r="A1011" s="243"/>
      <c r="B1011" s="244"/>
      <c r="C1011" s="243"/>
      <c r="D1011" s="243"/>
      <c r="E1011" s="243"/>
      <c r="F1011" s="243"/>
      <c r="G1011" s="243"/>
      <c r="H1011" s="245"/>
      <c r="I1011" s="245"/>
      <c r="J1011" s="243"/>
      <c r="K1011" s="243"/>
      <c r="L1011" s="243"/>
      <c r="M1011" s="243"/>
      <c r="N1011" s="243"/>
      <c r="O1011" s="244"/>
      <c r="P1011" s="243"/>
      <c r="Q1011" s="244"/>
      <c r="R1011" s="243"/>
      <c r="S1011" s="244"/>
      <c r="T1011" s="243"/>
      <c r="U1011" s="244"/>
      <c r="V1011" s="246"/>
      <c r="W1011" s="244"/>
      <c r="X1011" s="243"/>
      <c r="Y1011" s="244"/>
      <c r="Z1011" s="243"/>
      <c r="AA1011" s="243"/>
      <c r="AB1011" s="243"/>
    </row>
    <row r="1012">
      <c r="A1012" s="243"/>
      <c r="B1012" s="244"/>
      <c r="C1012" s="243"/>
      <c r="D1012" s="243"/>
      <c r="E1012" s="243"/>
      <c r="F1012" s="243"/>
      <c r="G1012" s="243"/>
      <c r="H1012" s="245"/>
      <c r="I1012" s="245"/>
      <c r="J1012" s="243"/>
      <c r="K1012" s="243"/>
      <c r="L1012" s="243"/>
      <c r="M1012" s="243"/>
      <c r="N1012" s="243"/>
      <c r="O1012" s="244"/>
      <c r="P1012" s="243"/>
      <c r="Q1012" s="244"/>
      <c r="R1012" s="243"/>
      <c r="S1012" s="244"/>
      <c r="T1012" s="243"/>
      <c r="U1012" s="244"/>
      <c r="V1012" s="246"/>
      <c r="W1012" s="244"/>
      <c r="X1012" s="243"/>
      <c r="Y1012" s="244"/>
      <c r="Z1012" s="243"/>
      <c r="AA1012" s="243"/>
      <c r="AB1012" s="243"/>
    </row>
    <row r="1013">
      <c r="A1013" s="243"/>
      <c r="B1013" s="244"/>
      <c r="C1013" s="243"/>
      <c r="D1013" s="243"/>
      <c r="E1013" s="243"/>
      <c r="F1013" s="243"/>
      <c r="G1013" s="243"/>
      <c r="H1013" s="245"/>
      <c r="I1013" s="245"/>
      <c r="J1013" s="243"/>
      <c r="K1013" s="243"/>
      <c r="L1013" s="243"/>
      <c r="M1013" s="243"/>
      <c r="N1013" s="243"/>
      <c r="O1013" s="244"/>
      <c r="P1013" s="243"/>
      <c r="Q1013" s="244"/>
      <c r="R1013" s="243"/>
      <c r="S1013" s="244"/>
      <c r="T1013" s="243"/>
      <c r="U1013" s="244"/>
      <c r="V1013" s="246"/>
      <c r="W1013" s="244"/>
      <c r="X1013" s="243"/>
      <c r="Y1013" s="244"/>
      <c r="Z1013" s="243"/>
      <c r="AA1013" s="243"/>
      <c r="AB1013" s="243"/>
    </row>
    <row r="1014">
      <c r="A1014" s="243"/>
      <c r="B1014" s="244"/>
      <c r="C1014" s="243"/>
      <c r="D1014" s="243"/>
      <c r="E1014" s="243"/>
      <c r="F1014" s="243"/>
      <c r="G1014" s="243"/>
      <c r="H1014" s="245"/>
      <c r="I1014" s="245"/>
      <c r="J1014" s="243"/>
      <c r="K1014" s="243"/>
      <c r="L1014" s="243"/>
      <c r="M1014" s="243"/>
      <c r="N1014" s="243"/>
      <c r="O1014" s="244"/>
      <c r="P1014" s="243"/>
      <c r="Q1014" s="244"/>
      <c r="R1014" s="243"/>
      <c r="S1014" s="244"/>
      <c r="T1014" s="243"/>
      <c r="U1014" s="244"/>
      <c r="V1014" s="246"/>
      <c r="W1014" s="244"/>
      <c r="X1014" s="243"/>
      <c r="Y1014" s="244"/>
      <c r="Z1014" s="243"/>
      <c r="AA1014" s="243"/>
      <c r="AB1014" s="243"/>
    </row>
    <row r="1015">
      <c r="A1015" s="243"/>
      <c r="B1015" s="244"/>
      <c r="C1015" s="243"/>
      <c r="D1015" s="243"/>
      <c r="E1015" s="243"/>
      <c r="F1015" s="243"/>
      <c r="G1015" s="243"/>
      <c r="H1015" s="245"/>
      <c r="I1015" s="245"/>
      <c r="J1015" s="243"/>
      <c r="K1015" s="243"/>
      <c r="L1015" s="243"/>
      <c r="M1015" s="243"/>
      <c r="N1015" s="243"/>
      <c r="O1015" s="244"/>
      <c r="P1015" s="243"/>
      <c r="Q1015" s="244"/>
      <c r="R1015" s="243"/>
      <c r="S1015" s="244"/>
      <c r="T1015" s="243"/>
      <c r="U1015" s="244"/>
      <c r="V1015" s="246"/>
      <c r="W1015" s="244"/>
      <c r="X1015" s="243"/>
      <c r="Y1015" s="244"/>
      <c r="Z1015" s="243"/>
      <c r="AA1015" s="243"/>
      <c r="AB1015" s="243"/>
    </row>
    <row r="1016">
      <c r="A1016" s="243"/>
      <c r="B1016" s="244"/>
      <c r="C1016" s="243"/>
      <c r="D1016" s="243"/>
      <c r="E1016" s="243"/>
      <c r="F1016" s="243"/>
      <c r="G1016" s="243"/>
      <c r="H1016" s="245"/>
      <c r="I1016" s="245"/>
      <c r="J1016" s="243"/>
      <c r="K1016" s="243"/>
      <c r="L1016" s="243"/>
      <c r="M1016" s="243"/>
      <c r="N1016" s="243"/>
      <c r="O1016" s="244"/>
      <c r="P1016" s="243"/>
      <c r="Q1016" s="244"/>
      <c r="R1016" s="243"/>
      <c r="S1016" s="244"/>
      <c r="T1016" s="243"/>
      <c r="U1016" s="244"/>
      <c r="V1016" s="246"/>
      <c r="W1016" s="244"/>
      <c r="X1016" s="243"/>
      <c r="Y1016" s="244"/>
      <c r="Z1016" s="243"/>
      <c r="AA1016" s="243"/>
      <c r="AB1016" s="243"/>
    </row>
    <row r="1017">
      <c r="A1017" s="243"/>
      <c r="B1017" s="244"/>
      <c r="C1017" s="243"/>
      <c r="D1017" s="243"/>
      <c r="E1017" s="243"/>
      <c r="F1017" s="243"/>
      <c r="G1017" s="243"/>
      <c r="H1017" s="245"/>
      <c r="I1017" s="245"/>
      <c r="J1017" s="243"/>
      <c r="K1017" s="243"/>
      <c r="L1017" s="243"/>
      <c r="M1017" s="243"/>
      <c r="N1017" s="243"/>
      <c r="O1017" s="244"/>
      <c r="P1017" s="243"/>
      <c r="Q1017" s="244"/>
      <c r="R1017" s="243"/>
      <c r="S1017" s="244"/>
      <c r="T1017" s="243"/>
      <c r="U1017" s="244"/>
      <c r="V1017" s="246"/>
      <c r="W1017" s="244"/>
      <c r="X1017" s="243"/>
      <c r="Y1017" s="244"/>
      <c r="Z1017" s="243"/>
      <c r="AA1017" s="243"/>
      <c r="AB1017" s="243"/>
    </row>
    <row r="1018">
      <c r="A1018" s="243"/>
      <c r="B1018" s="244"/>
      <c r="C1018" s="243"/>
      <c r="D1018" s="243"/>
      <c r="E1018" s="243"/>
      <c r="F1018" s="243"/>
      <c r="G1018" s="243"/>
      <c r="H1018" s="245"/>
      <c r="I1018" s="245"/>
      <c r="J1018" s="243"/>
      <c r="K1018" s="243"/>
      <c r="L1018" s="243"/>
      <c r="M1018" s="243"/>
      <c r="N1018" s="243"/>
      <c r="O1018" s="244"/>
      <c r="P1018" s="243"/>
      <c r="Q1018" s="244"/>
      <c r="R1018" s="243"/>
      <c r="S1018" s="244"/>
      <c r="T1018" s="243"/>
      <c r="U1018" s="244"/>
      <c r="V1018" s="246"/>
      <c r="W1018" s="244"/>
      <c r="X1018" s="243"/>
      <c r="Y1018" s="244"/>
      <c r="Z1018" s="243"/>
      <c r="AA1018" s="243"/>
      <c r="AB1018" s="243"/>
    </row>
    <row r="1019">
      <c r="A1019" s="243"/>
      <c r="B1019" s="244"/>
      <c r="C1019" s="243"/>
      <c r="D1019" s="243"/>
      <c r="E1019" s="243"/>
      <c r="F1019" s="243"/>
      <c r="G1019" s="243"/>
      <c r="H1019" s="245"/>
      <c r="I1019" s="245"/>
      <c r="J1019" s="243"/>
      <c r="K1019" s="243"/>
      <c r="L1019" s="243"/>
      <c r="M1019" s="243"/>
      <c r="N1019" s="243"/>
      <c r="O1019" s="244"/>
      <c r="P1019" s="243"/>
      <c r="Q1019" s="244"/>
      <c r="R1019" s="243"/>
      <c r="S1019" s="244"/>
      <c r="T1019" s="243"/>
      <c r="U1019" s="244"/>
      <c r="V1019" s="246"/>
      <c r="W1019" s="244"/>
      <c r="X1019" s="243"/>
      <c r="Y1019" s="244"/>
      <c r="Z1019" s="243"/>
      <c r="AA1019" s="243"/>
      <c r="AB1019" s="243"/>
    </row>
    <row r="1020">
      <c r="A1020" s="243"/>
      <c r="B1020" s="244"/>
      <c r="C1020" s="243"/>
      <c r="D1020" s="243"/>
      <c r="E1020" s="243"/>
      <c r="F1020" s="243"/>
      <c r="G1020" s="243"/>
      <c r="H1020" s="245"/>
      <c r="I1020" s="245"/>
      <c r="J1020" s="243"/>
      <c r="K1020" s="243"/>
      <c r="L1020" s="243"/>
      <c r="M1020" s="243"/>
      <c r="N1020" s="243"/>
      <c r="O1020" s="244"/>
      <c r="P1020" s="243"/>
      <c r="Q1020" s="244"/>
      <c r="R1020" s="243"/>
      <c r="S1020" s="244"/>
      <c r="T1020" s="243"/>
      <c r="U1020" s="244"/>
      <c r="V1020" s="246"/>
      <c r="W1020" s="244"/>
      <c r="X1020" s="243"/>
      <c r="Y1020" s="244"/>
      <c r="Z1020" s="243"/>
      <c r="AA1020" s="243"/>
      <c r="AB1020" s="243"/>
    </row>
    <row r="1021">
      <c r="A1021" s="243"/>
      <c r="B1021" s="244"/>
      <c r="C1021" s="243"/>
      <c r="D1021" s="243"/>
      <c r="E1021" s="243"/>
      <c r="F1021" s="243"/>
      <c r="G1021" s="243"/>
      <c r="H1021" s="245"/>
      <c r="I1021" s="245"/>
      <c r="J1021" s="243"/>
      <c r="K1021" s="243"/>
      <c r="L1021" s="243"/>
      <c r="M1021" s="243"/>
      <c r="N1021" s="243"/>
      <c r="O1021" s="244"/>
      <c r="P1021" s="243"/>
      <c r="Q1021" s="244"/>
      <c r="R1021" s="243"/>
      <c r="S1021" s="244"/>
      <c r="T1021" s="243"/>
      <c r="U1021" s="244"/>
      <c r="V1021" s="246"/>
      <c r="W1021" s="244"/>
      <c r="X1021" s="243"/>
      <c r="Y1021" s="244"/>
      <c r="Z1021" s="243"/>
      <c r="AA1021" s="243"/>
      <c r="AB1021" s="243"/>
    </row>
    <row r="1022">
      <c r="A1022" s="243"/>
      <c r="B1022" s="244"/>
      <c r="C1022" s="243"/>
      <c r="D1022" s="243"/>
      <c r="E1022" s="243"/>
      <c r="F1022" s="243"/>
      <c r="G1022" s="243"/>
      <c r="H1022" s="245"/>
      <c r="I1022" s="245"/>
      <c r="J1022" s="243"/>
      <c r="K1022" s="243"/>
      <c r="L1022" s="243"/>
      <c r="M1022" s="243"/>
      <c r="N1022" s="243"/>
      <c r="O1022" s="244"/>
      <c r="P1022" s="243"/>
      <c r="Q1022" s="244"/>
      <c r="R1022" s="243"/>
      <c r="S1022" s="244"/>
      <c r="T1022" s="243"/>
      <c r="U1022" s="244"/>
      <c r="V1022" s="246"/>
      <c r="W1022" s="244"/>
      <c r="X1022" s="243"/>
      <c r="Y1022" s="244"/>
      <c r="Z1022" s="243"/>
      <c r="AA1022" s="243"/>
      <c r="AB1022" s="243"/>
    </row>
    <row r="1023">
      <c r="A1023" s="243"/>
      <c r="B1023" s="244"/>
      <c r="C1023" s="243"/>
      <c r="D1023" s="243"/>
      <c r="E1023" s="243"/>
      <c r="F1023" s="243"/>
      <c r="G1023" s="243"/>
      <c r="H1023" s="245"/>
      <c r="I1023" s="245"/>
      <c r="J1023" s="243"/>
      <c r="K1023" s="243"/>
      <c r="L1023" s="243"/>
      <c r="M1023" s="243"/>
      <c r="N1023" s="243"/>
      <c r="O1023" s="244"/>
      <c r="P1023" s="243"/>
      <c r="Q1023" s="244"/>
      <c r="R1023" s="243"/>
      <c r="S1023" s="244"/>
      <c r="T1023" s="243"/>
      <c r="U1023" s="244"/>
      <c r="V1023" s="246"/>
      <c r="W1023" s="244"/>
      <c r="X1023" s="243"/>
      <c r="Y1023" s="244"/>
      <c r="Z1023" s="243"/>
      <c r="AA1023" s="243"/>
      <c r="AB1023" s="243"/>
    </row>
    <row r="1024">
      <c r="A1024" s="243"/>
      <c r="B1024" s="244"/>
      <c r="C1024" s="243"/>
      <c r="D1024" s="243"/>
      <c r="E1024" s="243"/>
      <c r="F1024" s="243"/>
      <c r="G1024" s="243"/>
      <c r="H1024" s="245"/>
      <c r="I1024" s="245"/>
      <c r="J1024" s="243"/>
      <c r="K1024" s="243"/>
      <c r="L1024" s="243"/>
      <c r="M1024" s="243"/>
      <c r="N1024" s="243"/>
      <c r="O1024" s="244"/>
      <c r="P1024" s="243"/>
      <c r="Q1024" s="244"/>
      <c r="R1024" s="243"/>
      <c r="S1024" s="244"/>
      <c r="T1024" s="243"/>
      <c r="U1024" s="244"/>
      <c r="V1024" s="246"/>
      <c r="W1024" s="244"/>
      <c r="X1024" s="243"/>
      <c r="Y1024" s="244"/>
      <c r="Z1024" s="243"/>
      <c r="AA1024" s="243"/>
      <c r="AB1024" s="243"/>
    </row>
    <row r="1025">
      <c r="A1025" s="243"/>
      <c r="B1025" s="244"/>
      <c r="C1025" s="243"/>
      <c r="D1025" s="243"/>
      <c r="E1025" s="243"/>
      <c r="F1025" s="243"/>
      <c r="G1025" s="243"/>
      <c r="H1025" s="245"/>
      <c r="I1025" s="245"/>
      <c r="J1025" s="243"/>
      <c r="K1025" s="243"/>
      <c r="L1025" s="243"/>
      <c r="M1025" s="243"/>
      <c r="N1025" s="243"/>
      <c r="O1025" s="244"/>
      <c r="P1025" s="243"/>
      <c r="Q1025" s="244"/>
      <c r="R1025" s="243"/>
      <c r="S1025" s="244"/>
      <c r="T1025" s="243"/>
      <c r="U1025" s="244"/>
      <c r="V1025" s="246"/>
      <c r="W1025" s="244"/>
      <c r="X1025" s="243"/>
      <c r="Y1025" s="244"/>
      <c r="Z1025" s="243"/>
      <c r="AA1025" s="243"/>
      <c r="AB1025" s="243"/>
    </row>
    <row r="1026">
      <c r="A1026" s="243"/>
      <c r="B1026" s="244"/>
      <c r="C1026" s="243"/>
      <c r="D1026" s="243"/>
      <c r="E1026" s="243"/>
      <c r="F1026" s="243"/>
      <c r="G1026" s="243"/>
      <c r="H1026" s="245"/>
      <c r="I1026" s="245"/>
      <c r="J1026" s="243"/>
      <c r="K1026" s="243"/>
      <c r="L1026" s="243"/>
      <c r="M1026" s="243"/>
      <c r="N1026" s="243"/>
      <c r="O1026" s="244"/>
      <c r="P1026" s="243"/>
      <c r="Q1026" s="244"/>
      <c r="R1026" s="243"/>
      <c r="S1026" s="244"/>
      <c r="T1026" s="243"/>
      <c r="U1026" s="244"/>
      <c r="V1026" s="246"/>
      <c r="W1026" s="244"/>
      <c r="X1026" s="243"/>
      <c r="Y1026" s="244"/>
      <c r="Z1026" s="243"/>
      <c r="AA1026" s="243"/>
      <c r="AB1026" s="243"/>
    </row>
    <row r="1027">
      <c r="A1027" s="243"/>
      <c r="B1027" s="244"/>
      <c r="C1027" s="243"/>
      <c r="D1027" s="243"/>
      <c r="E1027" s="243"/>
      <c r="F1027" s="243"/>
      <c r="G1027" s="243"/>
      <c r="H1027" s="245"/>
      <c r="I1027" s="245"/>
      <c r="J1027" s="243"/>
      <c r="K1027" s="243"/>
      <c r="L1027" s="243"/>
      <c r="M1027" s="243"/>
      <c r="N1027" s="243"/>
      <c r="O1027" s="244"/>
      <c r="P1027" s="243"/>
      <c r="Q1027" s="244"/>
      <c r="R1027" s="243"/>
      <c r="S1027" s="244"/>
      <c r="T1027" s="243"/>
      <c r="U1027" s="244"/>
      <c r="V1027" s="246"/>
      <c r="W1027" s="244"/>
      <c r="X1027" s="243"/>
      <c r="Y1027" s="244"/>
      <c r="Z1027" s="243"/>
      <c r="AA1027" s="243"/>
      <c r="AB1027" s="243"/>
    </row>
    <row r="1028">
      <c r="A1028" s="243"/>
      <c r="B1028" s="244"/>
      <c r="C1028" s="243"/>
      <c r="D1028" s="243"/>
      <c r="E1028" s="243"/>
      <c r="F1028" s="243"/>
      <c r="G1028" s="243"/>
      <c r="H1028" s="245"/>
      <c r="I1028" s="245"/>
      <c r="J1028" s="243"/>
      <c r="K1028" s="243"/>
      <c r="L1028" s="243"/>
      <c r="M1028" s="243"/>
      <c r="N1028" s="243"/>
      <c r="O1028" s="244"/>
      <c r="P1028" s="243"/>
      <c r="Q1028" s="244"/>
      <c r="R1028" s="243"/>
      <c r="S1028" s="244"/>
      <c r="T1028" s="243"/>
      <c r="U1028" s="244"/>
      <c r="V1028" s="246"/>
      <c r="W1028" s="244"/>
      <c r="X1028" s="243"/>
      <c r="Y1028" s="244"/>
      <c r="Z1028" s="243"/>
      <c r="AA1028" s="243"/>
      <c r="AB1028" s="243"/>
    </row>
    <row r="1029">
      <c r="A1029" s="243"/>
      <c r="B1029" s="244"/>
      <c r="C1029" s="243"/>
      <c r="D1029" s="243"/>
      <c r="E1029" s="243"/>
      <c r="F1029" s="243"/>
      <c r="G1029" s="243"/>
      <c r="H1029" s="245"/>
      <c r="I1029" s="245"/>
      <c r="J1029" s="243"/>
      <c r="K1029" s="243"/>
      <c r="L1029" s="243"/>
      <c r="M1029" s="243"/>
      <c r="N1029" s="243"/>
      <c r="O1029" s="244"/>
      <c r="P1029" s="243"/>
      <c r="Q1029" s="244"/>
      <c r="R1029" s="243"/>
      <c r="S1029" s="244"/>
      <c r="T1029" s="243"/>
      <c r="U1029" s="244"/>
      <c r="V1029" s="246"/>
      <c r="W1029" s="244"/>
      <c r="X1029" s="243"/>
      <c r="Y1029" s="244"/>
      <c r="Z1029" s="243"/>
      <c r="AA1029" s="243"/>
      <c r="AB1029" s="243"/>
    </row>
    <row r="1030">
      <c r="A1030" s="243"/>
      <c r="B1030" s="244"/>
      <c r="C1030" s="243"/>
      <c r="D1030" s="243"/>
      <c r="E1030" s="243"/>
      <c r="F1030" s="243"/>
      <c r="G1030" s="243"/>
      <c r="H1030" s="245"/>
      <c r="I1030" s="245"/>
      <c r="J1030" s="243"/>
      <c r="K1030" s="243"/>
      <c r="L1030" s="243"/>
      <c r="M1030" s="243"/>
      <c r="N1030" s="243"/>
      <c r="O1030" s="244"/>
      <c r="P1030" s="243"/>
      <c r="Q1030" s="244"/>
      <c r="R1030" s="243"/>
      <c r="S1030" s="244"/>
      <c r="T1030" s="243"/>
      <c r="U1030" s="244"/>
      <c r="V1030" s="246"/>
      <c r="W1030" s="244"/>
      <c r="X1030" s="243"/>
      <c r="Y1030" s="244"/>
      <c r="Z1030" s="243"/>
      <c r="AA1030" s="243"/>
      <c r="AB1030" s="243"/>
    </row>
    <row r="1031">
      <c r="A1031" s="243"/>
      <c r="B1031" s="244"/>
      <c r="C1031" s="243"/>
      <c r="D1031" s="243"/>
      <c r="E1031" s="243"/>
      <c r="F1031" s="243"/>
      <c r="G1031" s="243"/>
      <c r="H1031" s="245"/>
      <c r="I1031" s="245"/>
      <c r="J1031" s="243"/>
      <c r="K1031" s="243"/>
      <c r="L1031" s="243"/>
      <c r="M1031" s="243"/>
      <c r="N1031" s="243"/>
      <c r="O1031" s="244"/>
      <c r="P1031" s="243"/>
      <c r="Q1031" s="244"/>
      <c r="R1031" s="243"/>
      <c r="S1031" s="244"/>
      <c r="T1031" s="243"/>
      <c r="U1031" s="244"/>
      <c r="V1031" s="246"/>
      <c r="W1031" s="244"/>
      <c r="X1031" s="243"/>
      <c r="Y1031" s="244"/>
      <c r="Z1031" s="243"/>
      <c r="AA1031" s="243"/>
      <c r="AB1031" s="243"/>
    </row>
    <row r="1032">
      <c r="A1032" s="243"/>
      <c r="B1032" s="244"/>
      <c r="C1032" s="243"/>
      <c r="D1032" s="243"/>
      <c r="E1032" s="243"/>
      <c r="F1032" s="243"/>
      <c r="G1032" s="243"/>
      <c r="H1032" s="245"/>
      <c r="I1032" s="245"/>
      <c r="J1032" s="243"/>
      <c r="K1032" s="243"/>
      <c r="L1032" s="243"/>
      <c r="M1032" s="243"/>
      <c r="N1032" s="243"/>
      <c r="O1032" s="244"/>
      <c r="P1032" s="243"/>
      <c r="Q1032" s="244"/>
      <c r="R1032" s="243"/>
      <c r="S1032" s="244"/>
      <c r="T1032" s="243"/>
      <c r="U1032" s="244"/>
      <c r="V1032" s="246"/>
      <c r="W1032" s="244"/>
      <c r="X1032" s="243"/>
      <c r="Y1032" s="244"/>
      <c r="Z1032" s="243"/>
      <c r="AA1032" s="243"/>
      <c r="AB1032" s="243"/>
    </row>
    <row r="1033">
      <c r="A1033" s="243"/>
      <c r="B1033" s="244"/>
      <c r="C1033" s="243"/>
      <c r="D1033" s="243"/>
      <c r="E1033" s="243"/>
      <c r="F1033" s="243"/>
      <c r="G1033" s="243"/>
      <c r="H1033" s="245"/>
      <c r="I1033" s="245"/>
      <c r="J1033" s="243"/>
      <c r="K1033" s="243"/>
      <c r="L1033" s="243"/>
      <c r="M1033" s="243"/>
      <c r="N1033" s="243"/>
      <c r="O1033" s="244"/>
      <c r="P1033" s="243"/>
      <c r="Q1033" s="244"/>
      <c r="R1033" s="243"/>
      <c r="S1033" s="244"/>
      <c r="T1033" s="243"/>
      <c r="U1033" s="244"/>
      <c r="V1033" s="246"/>
      <c r="W1033" s="244"/>
      <c r="X1033" s="243"/>
      <c r="Y1033" s="244"/>
      <c r="Z1033" s="243"/>
      <c r="AA1033" s="243"/>
      <c r="AB1033" s="243"/>
    </row>
    <row r="1034">
      <c r="A1034" s="243"/>
      <c r="B1034" s="244"/>
      <c r="C1034" s="243"/>
      <c r="D1034" s="243"/>
      <c r="E1034" s="243"/>
      <c r="F1034" s="243"/>
      <c r="G1034" s="243"/>
      <c r="H1034" s="245"/>
      <c r="I1034" s="245"/>
      <c r="J1034" s="243"/>
      <c r="K1034" s="243"/>
      <c r="L1034" s="243"/>
      <c r="M1034" s="243"/>
      <c r="N1034" s="243"/>
      <c r="O1034" s="244"/>
      <c r="P1034" s="243"/>
      <c r="Q1034" s="244"/>
      <c r="R1034" s="243"/>
      <c r="S1034" s="244"/>
      <c r="T1034" s="243"/>
      <c r="U1034" s="244"/>
      <c r="V1034" s="246"/>
      <c r="W1034" s="244"/>
      <c r="X1034" s="243"/>
      <c r="Y1034" s="244"/>
      <c r="Z1034" s="243"/>
      <c r="AA1034" s="243"/>
      <c r="AB1034" s="243"/>
    </row>
    <row r="1035">
      <c r="A1035" s="243"/>
      <c r="B1035" s="244"/>
      <c r="C1035" s="243"/>
      <c r="D1035" s="243"/>
      <c r="E1035" s="243"/>
      <c r="F1035" s="243"/>
      <c r="G1035" s="243"/>
      <c r="H1035" s="245"/>
      <c r="I1035" s="245"/>
      <c r="J1035" s="243"/>
      <c r="K1035" s="243"/>
      <c r="L1035" s="243"/>
      <c r="M1035" s="243"/>
      <c r="N1035" s="243"/>
      <c r="O1035" s="244"/>
      <c r="P1035" s="243"/>
      <c r="Q1035" s="244"/>
      <c r="R1035" s="243"/>
      <c r="S1035" s="244"/>
      <c r="T1035" s="243"/>
      <c r="U1035" s="244"/>
      <c r="V1035" s="246"/>
      <c r="W1035" s="244"/>
      <c r="X1035" s="243"/>
      <c r="Y1035" s="244"/>
      <c r="Z1035" s="243"/>
      <c r="AA1035" s="243"/>
      <c r="AB1035" s="243"/>
    </row>
    <row r="1036">
      <c r="A1036" s="243"/>
      <c r="B1036" s="244"/>
      <c r="C1036" s="243"/>
      <c r="D1036" s="243"/>
      <c r="E1036" s="243"/>
      <c r="F1036" s="243"/>
      <c r="G1036" s="243"/>
      <c r="H1036" s="245"/>
      <c r="I1036" s="245"/>
      <c r="J1036" s="243"/>
      <c r="K1036" s="243"/>
      <c r="L1036" s="243"/>
      <c r="M1036" s="243"/>
      <c r="N1036" s="243"/>
      <c r="O1036" s="244"/>
      <c r="P1036" s="243"/>
      <c r="Q1036" s="244"/>
      <c r="R1036" s="243"/>
      <c r="S1036" s="244"/>
      <c r="T1036" s="243"/>
      <c r="U1036" s="244"/>
      <c r="V1036" s="246"/>
      <c r="W1036" s="244"/>
      <c r="X1036" s="243"/>
      <c r="Y1036" s="244"/>
      <c r="Z1036" s="243"/>
      <c r="AA1036" s="243"/>
      <c r="AB1036" s="243"/>
    </row>
    <row r="1037">
      <c r="A1037" s="243"/>
      <c r="B1037" s="244"/>
      <c r="C1037" s="243"/>
      <c r="D1037" s="243"/>
      <c r="E1037" s="243"/>
      <c r="F1037" s="243"/>
      <c r="G1037" s="243"/>
      <c r="H1037" s="245"/>
      <c r="I1037" s="245"/>
      <c r="J1037" s="243"/>
      <c r="K1037" s="243"/>
      <c r="L1037" s="243"/>
      <c r="M1037" s="243"/>
      <c r="N1037" s="243"/>
      <c r="O1037" s="244"/>
      <c r="P1037" s="243"/>
      <c r="Q1037" s="244"/>
      <c r="R1037" s="243"/>
      <c r="S1037" s="244"/>
      <c r="T1037" s="243"/>
      <c r="U1037" s="244"/>
      <c r="V1037" s="246"/>
      <c r="W1037" s="244"/>
      <c r="X1037" s="243"/>
      <c r="Y1037" s="244"/>
      <c r="Z1037" s="243"/>
      <c r="AA1037" s="243"/>
      <c r="AB1037" s="243"/>
    </row>
    <row r="1038">
      <c r="A1038" s="243"/>
      <c r="B1038" s="244"/>
      <c r="C1038" s="243"/>
      <c r="D1038" s="243"/>
      <c r="E1038" s="243"/>
      <c r="F1038" s="243"/>
      <c r="G1038" s="243"/>
      <c r="H1038" s="245"/>
      <c r="I1038" s="245"/>
      <c r="J1038" s="243"/>
      <c r="K1038" s="243"/>
      <c r="L1038" s="243"/>
      <c r="M1038" s="243"/>
      <c r="N1038" s="243"/>
      <c r="O1038" s="244"/>
      <c r="P1038" s="243"/>
      <c r="Q1038" s="244"/>
      <c r="R1038" s="243"/>
      <c r="S1038" s="244"/>
      <c r="T1038" s="243"/>
      <c r="U1038" s="244"/>
      <c r="V1038" s="246"/>
      <c r="W1038" s="244"/>
      <c r="X1038" s="243"/>
      <c r="Y1038" s="244"/>
      <c r="Z1038" s="243"/>
      <c r="AA1038" s="243"/>
      <c r="AB1038" s="243"/>
    </row>
    <row r="1039">
      <c r="A1039" s="243"/>
      <c r="B1039" s="244"/>
      <c r="C1039" s="243"/>
      <c r="D1039" s="243"/>
      <c r="E1039" s="243"/>
      <c r="F1039" s="243"/>
      <c r="G1039" s="243"/>
      <c r="H1039" s="245"/>
      <c r="I1039" s="245"/>
      <c r="J1039" s="243"/>
      <c r="K1039" s="243"/>
      <c r="L1039" s="243"/>
      <c r="M1039" s="243"/>
      <c r="N1039" s="243"/>
      <c r="O1039" s="244"/>
      <c r="P1039" s="243"/>
      <c r="Q1039" s="244"/>
      <c r="R1039" s="243"/>
      <c r="S1039" s="244"/>
      <c r="T1039" s="243"/>
      <c r="U1039" s="244"/>
      <c r="V1039" s="246"/>
      <c r="W1039" s="244"/>
      <c r="X1039" s="243"/>
      <c r="Y1039" s="244"/>
      <c r="Z1039" s="243"/>
      <c r="AA1039" s="243"/>
      <c r="AB1039" s="243"/>
    </row>
    <row r="1040">
      <c r="A1040" s="243"/>
      <c r="B1040" s="244"/>
      <c r="C1040" s="243"/>
      <c r="D1040" s="243"/>
      <c r="E1040" s="243"/>
      <c r="F1040" s="243"/>
      <c r="G1040" s="243"/>
      <c r="H1040" s="245"/>
      <c r="I1040" s="245"/>
      <c r="J1040" s="243"/>
      <c r="K1040" s="243"/>
      <c r="L1040" s="243"/>
      <c r="M1040" s="243"/>
      <c r="N1040" s="243"/>
      <c r="O1040" s="244"/>
      <c r="P1040" s="243"/>
      <c r="Q1040" s="244"/>
      <c r="R1040" s="243"/>
      <c r="S1040" s="244"/>
      <c r="T1040" s="243"/>
      <c r="U1040" s="244"/>
      <c r="V1040" s="246"/>
      <c r="W1040" s="244"/>
      <c r="X1040" s="243"/>
      <c r="Y1040" s="244"/>
      <c r="Z1040" s="243"/>
      <c r="AA1040" s="243"/>
      <c r="AB1040" s="243"/>
    </row>
    <row r="1041">
      <c r="A1041" s="243"/>
      <c r="B1041" s="244"/>
      <c r="C1041" s="243"/>
      <c r="D1041" s="243"/>
      <c r="E1041" s="243"/>
      <c r="F1041" s="243"/>
      <c r="G1041" s="243"/>
      <c r="H1041" s="245"/>
      <c r="I1041" s="245"/>
      <c r="J1041" s="243"/>
      <c r="K1041" s="243"/>
      <c r="L1041" s="243"/>
      <c r="M1041" s="243"/>
      <c r="N1041" s="243"/>
      <c r="O1041" s="244"/>
      <c r="P1041" s="243"/>
      <c r="Q1041" s="244"/>
      <c r="R1041" s="243"/>
      <c r="S1041" s="244"/>
      <c r="T1041" s="243"/>
      <c r="U1041" s="244"/>
      <c r="V1041" s="246"/>
      <c r="W1041" s="244"/>
      <c r="X1041" s="243"/>
      <c r="Y1041" s="244"/>
      <c r="Z1041" s="243"/>
      <c r="AA1041" s="243"/>
      <c r="AB1041" s="243"/>
    </row>
    <row r="1042">
      <c r="A1042" s="243"/>
      <c r="B1042" s="244"/>
      <c r="C1042" s="243"/>
      <c r="D1042" s="243"/>
      <c r="E1042" s="243"/>
      <c r="F1042" s="243"/>
      <c r="G1042" s="243"/>
      <c r="H1042" s="245"/>
      <c r="I1042" s="245"/>
      <c r="J1042" s="243"/>
      <c r="K1042" s="243"/>
      <c r="L1042" s="243"/>
      <c r="M1042" s="243"/>
      <c r="N1042" s="243"/>
      <c r="O1042" s="244"/>
      <c r="P1042" s="243"/>
      <c r="Q1042" s="244"/>
      <c r="R1042" s="243"/>
      <c r="S1042" s="244"/>
      <c r="T1042" s="243"/>
      <c r="U1042" s="244"/>
      <c r="V1042" s="246"/>
      <c r="W1042" s="244"/>
      <c r="X1042" s="243"/>
      <c r="Y1042" s="244"/>
      <c r="Z1042" s="243"/>
      <c r="AA1042" s="243"/>
      <c r="AB1042" s="243"/>
    </row>
    <row r="1043">
      <c r="A1043" s="243"/>
      <c r="B1043" s="244"/>
      <c r="C1043" s="243"/>
      <c r="D1043" s="243"/>
      <c r="E1043" s="243"/>
      <c r="F1043" s="243"/>
      <c r="G1043" s="243"/>
      <c r="H1043" s="245"/>
      <c r="I1043" s="245"/>
      <c r="J1043" s="243"/>
      <c r="K1043" s="243"/>
      <c r="L1043" s="243"/>
      <c r="M1043" s="243"/>
      <c r="N1043" s="243"/>
      <c r="O1043" s="244"/>
      <c r="P1043" s="243"/>
      <c r="Q1043" s="244"/>
      <c r="R1043" s="243"/>
      <c r="S1043" s="244"/>
      <c r="T1043" s="243"/>
      <c r="U1043" s="244"/>
      <c r="V1043" s="246"/>
      <c r="W1043" s="244"/>
      <c r="X1043" s="243"/>
      <c r="Y1043" s="244"/>
      <c r="Z1043" s="243"/>
      <c r="AA1043" s="243"/>
      <c r="AB1043" s="243"/>
    </row>
    <row r="1044">
      <c r="A1044" s="243"/>
      <c r="B1044" s="244"/>
      <c r="C1044" s="243"/>
      <c r="D1044" s="243"/>
      <c r="E1044" s="243"/>
      <c r="F1044" s="243"/>
      <c r="G1044" s="243"/>
      <c r="H1044" s="245"/>
      <c r="I1044" s="245"/>
      <c r="J1044" s="243"/>
      <c r="K1044" s="243"/>
      <c r="L1044" s="243"/>
      <c r="M1044" s="243"/>
      <c r="N1044" s="243"/>
      <c r="O1044" s="244"/>
      <c r="P1044" s="243"/>
      <c r="Q1044" s="244"/>
      <c r="R1044" s="243"/>
      <c r="S1044" s="244"/>
      <c r="T1044" s="243"/>
      <c r="U1044" s="244"/>
      <c r="V1044" s="246"/>
      <c r="W1044" s="244"/>
      <c r="X1044" s="243"/>
      <c r="Y1044" s="244"/>
      <c r="Z1044" s="243"/>
      <c r="AA1044" s="243"/>
      <c r="AB1044" s="243"/>
    </row>
    <row r="1045">
      <c r="A1045" s="243"/>
      <c r="B1045" s="244"/>
      <c r="C1045" s="243"/>
      <c r="D1045" s="243"/>
      <c r="E1045" s="243"/>
      <c r="F1045" s="243"/>
      <c r="G1045" s="243"/>
      <c r="H1045" s="245"/>
      <c r="I1045" s="245"/>
      <c r="J1045" s="243"/>
      <c r="K1045" s="243"/>
      <c r="L1045" s="243"/>
      <c r="M1045" s="243"/>
      <c r="N1045" s="243"/>
      <c r="O1045" s="244"/>
      <c r="P1045" s="243"/>
      <c r="Q1045" s="244"/>
      <c r="R1045" s="243"/>
      <c r="S1045" s="244"/>
      <c r="T1045" s="243"/>
      <c r="U1045" s="244"/>
      <c r="V1045" s="246"/>
      <c r="W1045" s="244"/>
      <c r="X1045" s="243"/>
      <c r="Y1045" s="244"/>
      <c r="Z1045" s="243"/>
      <c r="AA1045" s="243"/>
      <c r="AB1045" s="243"/>
    </row>
    <row r="1046">
      <c r="A1046" s="243"/>
      <c r="B1046" s="244"/>
      <c r="C1046" s="243"/>
      <c r="D1046" s="243"/>
      <c r="E1046" s="243"/>
      <c r="F1046" s="243"/>
      <c r="G1046" s="243"/>
      <c r="H1046" s="245"/>
      <c r="I1046" s="245"/>
      <c r="J1046" s="243"/>
      <c r="K1046" s="243"/>
      <c r="L1046" s="243"/>
      <c r="M1046" s="243"/>
      <c r="N1046" s="243"/>
      <c r="O1046" s="244"/>
      <c r="P1046" s="243"/>
      <c r="Q1046" s="244"/>
      <c r="R1046" s="243"/>
      <c r="S1046" s="244"/>
      <c r="T1046" s="243"/>
      <c r="U1046" s="244"/>
      <c r="V1046" s="246"/>
      <c r="W1046" s="244"/>
      <c r="X1046" s="243"/>
      <c r="Y1046" s="244"/>
      <c r="Z1046" s="243"/>
      <c r="AA1046" s="243"/>
      <c r="AB1046" s="243"/>
    </row>
    <row r="1047">
      <c r="A1047" s="243"/>
      <c r="B1047" s="244"/>
      <c r="C1047" s="243"/>
      <c r="D1047" s="243"/>
      <c r="E1047" s="243"/>
      <c r="F1047" s="243"/>
      <c r="G1047" s="243"/>
      <c r="H1047" s="245"/>
      <c r="I1047" s="245"/>
      <c r="J1047" s="243"/>
      <c r="K1047" s="243"/>
      <c r="L1047" s="243"/>
      <c r="M1047" s="243"/>
      <c r="N1047" s="243"/>
      <c r="O1047" s="244"/>
      <c r="P1047" s="243"/>
      <c r="Q1047" s="244"/>
      <c r="R1047" s="243"/>
      <c r="S1047" s="244"/>
      <c r="T1047" s="243"/>
      <c r="U1047" s="244"/>
      <c r="V1047" s="246"/>
      <c r="W1047" s="244"/>
      <c r="X1047" s="243"/>
      <c r="Y1047" s="244"/>
      <c r="Z1047" s="243"/>
      <c r="AA1047" s="243"/>
      <c r="AB1047" s="243"/>
    </row>
    <row r="1048">
      <c r="A1048" s="243"/>
      <c r="B1048" s="244"/>
      <c r="C1048" s="243"/>
      <c r="D1048" s="243"/>
      <c r="E1048" s="243"/>
      <c r="F1048" s="243"/>
      <c r="G1048" s="243"/>
      <c r="H1048" s="245"/>
      <c r="I1048" s="245"/>
      <c r="J1048" s="243"/>
      <c r="K1048" s="243"/>
      <c r="L1048" s="243"/>
      <c r="M1048" s="243"/>
      <c r="N1048" s="243"/>
      <c r="O1048" s="244"/>
      <c r="P1048" s="243"/>
      <c r="Q1048" s="244"/>
      <c r="R1048" s="243"/>
      <c r="S1048" s="244"/>
      <c r="T1048" s="243"/>
      <c r="U1048" s="244"/>
      <c r="V1048" s="246"/>
      <c r="W1048" s="244"/>
      <c r="X1048" s="243"/>
      <c r="Y1048" s="244"/>
      <c r="Z1048" s="243"/>
      <c r="AA1048" s="243"/>
      <c r="AB1048" s="243"/>
    </row>
    <row r="1049">
      <c r="A1049" s="243"/>
      <c r="B1049" s="244"/>
      <c r="C1049" s="243"/>
      <c r="D1049" s="243"/>
      <c r="E1049" s="243"/>
      <c r="F1049" s="243"/>
      <c r="G1049" s="243"/>
      <c r="H1049" s="245"/>
      <c r="I1049" s="245"/>
      <c r="J1049" s="243"/>
      <c r="K1049" s="243"/>
      <c r="L1049" s="243"/>
      <c r="M1049" s="243"/>
      <c r="N1049" s="243"/>
      <c r="O1049" s="244"/>
      <c r="P1049" s="243"/>
      <c r="Q1049" s="244"/>
      <c r="R1049" s="243"/>
      <c r="S1049" s="244"/>
      <c r="T1049" s="243"/>
      <c r="U1049" s="244"/>
      <c r="V1049" s="246"/>
      <c r="W1049" s="244"/>
      <c r="X1049" s="243"/>
      <c r="Y1049" s="244"/>
      <c r="Z1049" s="243"/>
      <c r="AA1049" s="243"/>
      <c r="AB1049" s="243"/>
    </row>
    <row r="1050">
      <c r="A1050" s="243"/>
      <c r="B1050" s="244"/>
      <c r="C1050" s="243"/>
      <c r="D1050" s="243"/>
      <c r="E1050" s="243"/>
      <c r="F1050" s="243"/>
      <c r="G1050" s="243"/>
      <c r="H1050" s="245"/>
      <c r="I1050" s="245"/>
      <c r="J1050" s="243"/>
      <c r="K1050" s="243"/>
      <c r="L1050" s="243"/>
      <c r="M1050" s="243"/>
      <c r="N1050" s="243"/>
      <c r="O1050" s="244"/>
      <c r="P1050" s="243"/>
      <c r="Q1050" s="244"/>
      <c r="R1050" s="243"/>
      <c r="S1050" s="244"/>
      <c r="T1050" s="243"/>
      <c r="U1050" s="244"/>
      <c r="V1050" s="246"/>
      <c r="W1050" s="244"/>
      <c r="X1050" s="243"/>
      <c r="Y1050" s="244"/>
      <c r="Z1050" s="243"/>
      <c r="AA1050" s="243"/>
      <c r="AB1050" s="243"/>
    </row>
    <row r="1051">
      <c r="A1051" s="243"/>
      <c r="B1051" s="244"/>
      <c r="C1051" s="243"/>
      <c r="D1051" s="243"/>
      <c r="E1051" s="243"/>
      <c r="F1051" s="243"/>
      <c r="G1051" s="243"/>
      <c r="H1051" s="245"/>
      <c r="I1051" s="245"/>
      <c r="J1051" s="243"/>
      <c r="K1051" s="243"/>
      <c r="L1051" s="243"/>
      <c r="M1051" s="243"/>
      <c r="N1051" s="243"/>
      <c r="O1051" s="244"/>
      <c r="P1051" s="243"/>
      <c r="Q1051" s="244"/>
      <c r="R1051" s="243"/>
      <c r="S1051" s="244"/>
      <c r="T1051" s="243"/>
      <c r="U1051" s="244"/>
      <c r="V1051" s="246"/>
      <c r="W1051" s="244"/>
      <c r="X1051" s="243"/>
      <c r="Y1051" s="244"/>
      <c r="Z1051" s="243"/>
      <c r="AA1051" s="243"/>
      <c r="AB1051" s="243"/>
    </row>
    <row r="1052">
      <c r="A1052" s="243"/>
      <c r="B1052" s="244"/>
      <c r="C1052" s="243"/>
      <c r="D1052" s="243"/>
      <c r="E1052" s="243"/>
      <c r="F1052" s="243"/>
      <c r="G1052" s="243"/>
      <c r="H1052" s="245"/>
      <c r="I1052" s="245"/>
      <c r="J1052" s="243"/>
      <c r="K1052" s="243"/>
      <c r="L1052" s="243"/>
      <c r="M1052" s="243"/>
      <c r="N1052" s="243"/>
      <c r="O1052" s="244"/>
      <c r="P1052" s="243"/>
      <c r="Q1052" s="244"/>
      <c r="R1052" s="243"/>
      <c r="S1052" s="244"/>
      <c r="T1052" s="243"/>
      <c r="U1052" s="244"/>
      <c r="V1052" s="246"/>
      <c r="W1052" s="244"/>
      <c r="X1052" s="243"/>
      <c r="Y1052" s="244"/>
      <c r="Z1052" s="243"/>
      <c r="AA1052" s="243"/>
      <c r="AB1052" s="243"/>
    </row>
    <row r="1053">
      <c r="A1053" s="243"/>
      <c r="B1053" s="244"/>
      <c r="C1053" s="243"/>
      <c r="D1053" s="243"/>
      <c r="E1053" s="243"/>
      <c r="F1053" s="243"/>
      <c r="G1053" s="243"/>
      <c r="H1053" s="245"/>
      <c r="I1053" s="245"/>
      <c r="J1053" s="243"/>
      <c r="K1053" s="243"/>
      <c r="L1053" s="243"/>
      <c r="M1053" s="243"/>
      <c r="N1053" s="243"/>
      <c r="O1053" s="244"/>
      <c r="P1053" s="243"/>
      <c r="Q1053" s="244"/>
      <c r="R1053" s="243"/>
      <c r="S1053" s="244"/>
      <c r="T1053" s="243"/>
      <c r="U1053" s="244"/>
      <c r="V1053" s="246"/>
      <c r="W1053" s="244"/>
      <c r="X1053" s="243"/>
      <c r="Y1053" s="244"/>
      <c r="Z1053" s="243"/>
      <c r="AA1053" s="243"/>
      <c r="AB1053" s="243"/>
    </row>
    <row r="1054">
      <c r="A1054" s="243"/>
      <c r="B1054" s="244"/>
      <c r="C1054" s="243"/>
      <c r="D1054" s="243"/>
      <c r="E1054" s="243"/>
      <c r="F1054" s="243"/>
      <c r="G1054" s="243"/>
      <c r="H1054" s="245"/>
      <c r="I1054" s="245"/>
      <c r="J1054" s="243"/>
      <c r="K1054" s="243"/>
      <c r="L1054" s="243"/>
      <c r="M1054" s="243"/>
      <c r="N1054" s="243"/>
      <c r="O1054" s="244"/>
      <c r="P1054" s="243"/>
      <c r="Q1054" s="244"/>
      <c r="R1054" s="243"/>
      <c r="S1054" s="244"/>
      <c r="T1054" s="243"/>
      <c r="U1054" s="244"/>
      <c r="V1054" s="246"/>
      <c r="W1054" s="244"/>
      <c r="X1054" s="243"/>
      <c r="Y1054" s="244"/>
      <c r="Z1054" s="243"/>
      <c r="AA1054" s="243"/>
      <c r="AB1054" s="243"/>
    </row>
    <row r="1055">
      <c r="A1055" s="243"/>
      <c r="B1055" s="244"/>
      <c r="C1055" s="243"/>
      <c r="D1055" s="243"/>
      <c r="E1055" s="243"/>
      <c r="F1055" s="243"/>
      <c r="G1055" s="243"/>
      <c r="H1055" s="245"/>
      <c r="I1055" s="245"/>
      <c r="J1055" s="243"/>
      <c r="K1055" s="243"/>
      <c r="L1055" s="243"/>
      <c r="M1055" s="243"/>
      <c r="N1055" s="243"/>
      <c r="O1055" s="244"/>
      <c r="P1055" s="243"/>
      <c r="Q1055" s="244"/>
      <c r="R1055" s="243"/>
      <c r="S1055" s="244"/>
      <c r="T1055" s="243"/>
      <c r="U1055" s="244"/>
      <c r="V1055" s="246"/>
      <c r="W1055" s="244"/>
      <c r="X1055" s="243"/>
      <c r="Y1055" s="244"/>
      <c r="Z1055" s="243"/>
      <c r="AA1055" s="243"/>
      <c r="AB1055" s="243"/>
    </row>
    <row r="1056">
      <c r="A1056" s="243"/>
      <c r="B1056" s="244"/>
      <c r="C1056" s="243"/>
      <c r="D1056" s="243"/>
      <c r="E1056" s="243"/>
      <c r="F1056" s="243"/>
      <c r="G1056" s="243"/>
      <c r="H1056" s="245"/>
      <c r="I1056" s="245"/>
      <c r="J1056" s="243"/>
      <c r="K1056" s="243"/>
      <c r="L1056" s="243"/>
      <c r="M1056" s="243"/>
      <c r="N1056" s="243"/>
      <c r="O1056" s="244"/>
      <c r="P1056" s="243"/>
      <c r="Q1056" s="244"/>
      <c r="R1056" s="243"/>
      <c r="S1056" s="244"/>
      <c r="T1056" s="243"/>
      <c r="U1056" s="244"/>
      <c r="V1056" s="246"/>
      <c r="W1056" s="244"/>
      <c r="X1056" s="243"/>
      <c r="Y1056" s="244"/>
      <c r="Z1056" s="243"/>
      <c r="AA1056" s="243"/>
      <c r="AB1056" s="243"/>
    </row>
    <row r="1057">
      <c r="A1057" s="243"/>
      <c r="B1057" s="244"/>
      <c r="C1057" s="243"/>
      <c r="D1057" s="243"/>
      <c r="E1057" s="243"/>
      <c r="F1057" s="243"/>
      <c r="G1057" s="243"/>
      <c r="H1057" s="245"/>
      <c r="I1057" s="245"/>
      <c r="J1057" s="243"/>
      <c r="K1057" s="243"/>
      <c r="L1057" s="243"/>
      <c r="M1057" s="243"/>
      <c r="N1057" s="243"/>
      <c r="O1057" s="244"/>
      <c r="P1057" s="243"/>
      <c r="Q1057" s="244"/>
      <c r="R1057" s="243"/>
      <c r="S1057" s="244"/>
      <c r="T1057" s="243"/>
      <c r="U1057" s="244"/>
      <c r="V1057" s="246"/>
      <c r="W1057" s="244"/>
      <c r="X1057" s="243"/>
      <c r="Y1057" s="244"/>
      <c r="Z1057" s="243"/>
      <c r="AA1057" s="243"/>
      <c r="AB1057" s="243"/>
    </row>
    <row r="1058">
      <c r="A1058" s="243"/>
      <c r="B1058" s="244"/>
      <c r="C1058" s="243"/>
      <c r="D1058" s="243"/>
      <c r="E1058" s="243"/>
      <c r="F1058" s="243"/>
      <c r="G1058" s="243"/>
      <c r="H1058" s="245"/>
      <c r="I1058" s="245"/>
      <c r="J1058" s="243"/>
      <c r="K1058" s="243"/>
      <c r="L1058" s="243"/>
      <c r="M1058" s="243"/>
      <c r="N1058" s="243"/>
      <c r="O1058" s="244"/>
      <c r="P1058" s="243"/>
      <c r="Q1058" s="244"/>
      <c r="R1058" s="243"/>
      <c r="S1058" s="244"/>
      <c r="T1058" s="243"/>
      <c r="U1058" s="244"/>
      <c r="V1058" s="246"/>
      <c r="W1058" s="244"/>
      <c r="X1058" s="243"/>
      <c r="Y1058" s="244"/>
      <c r="Z1058" s="243"/>
      <c r="AA1058" s="243"/>
      <c r="AB1058" s="243"/>
    </row>
    <row r="1059">
      <c r="A1059" s="243"/>
      <c r="B1059" s="244"/>
      <c r="C1059" s="243"/>
      <c r="D1059" s="243"/>
      <c r="E1059" s="243"/>
      <c r="F1059" s="243"/>
      <c r="G1059" s="243"/>
      <c r="H1059" s="245"/>
      <c r="I1059" s="245"/>
      <c r="J1059" s="243"/>
      <c r="K1059" s="243"/>
      <c r="L1059" s="243"/>
      <c r="M1059" s="243"/>
      <c r="N1059" s="243"/>
      <c r="O1059" s="244"/>
      <c r="P1059" s="243"/>
      <c r="Q1059" s="244"/>
      <c r="R1059" s="243"/>
      <c r="S1059" s="244"/>
      <c r="T1059" s="243"/>
      <c r="U1059" s="244"/>
      <c r="V1059" s="246"/>
      <c r="W1059" s="244"/>
      <c r="X1059" s="243"/>
      <c r="Y1059" s="244"/>
      <c r="Z1059" s="243"/>
      <c r="AA1059" s="243"/>
      <c r="AB1059" s="243"/>
    </row>
    <row r="1060">
      <c r="A1060" s="243"/>
      <c r="B1060" s="244"/>
      <c r="C1060" s="243"/>
      <c r="D1060" s="243"/>
      <c r="E1060" s="243"/>
      <c r="F1060" s="243"/>
      <c r="G1060" s="243"/>
      <c r="H1060" s="245"/>
      <c r="I1060" s="245"/>
      <c r="J1060" s="243"/>
      <c r="K1060" s="243"/>
      <c r="L1060" s="243"/>
      <c r="M1060" s="243"/>
      <c r="N1060" s="243"/>
      <c r="O1060" s="244"/>
      <c r="P1060" s="243"/>
      <c r="Q1060" s="244"/>
      <c r="R1060" s="243"/>
      <c r="S1060" s="244"/>
      <c r="T1060" s="243"/>
      <c r="U1060" s="244"/>
      <c r="V1060" s="246"/>
      <c r="W1060" s="244"/>
      <c r="X1060" s="243"/>
      <c r="Y1060" s="244"/>
      <c r="Z1060" s="243"/>
      <c r="AA1060" s="243"/>
      <c r="AB1060" s="243"/>
    </row>
    <row r="1061">
      <c r="A1061" s="243"/>
      <c r="B1061" s="244"/>
      <c r="C1061" s="243"/>
      <c r="D1061" s="243"/>
      <c r="E1061" s="243"/>
      <c r="F1061" s="243"/>
      <c r="G1061" s="243"/>
      <c r="H1061" s="245"/>
      <c r="I1061" s="245"/>
      <c r="J1061" s="243"/>
      <c r="K1061" s="243"/>
      <c r="L1061" s="243"/>
      <c r="M1061" s="243"/>
      <c r="N1061" s="243"/>
      <c r="O1061" s="244"/>
      <c r="P1061" s="243"/>
      <c r="Q1061" s="244"/>
      <c r="R1061" s="243"/>
      <c r="S1061" s="244"/>
      <c r="T1061" s="243"/>
      <c r="U1061" s="244"/>
      <c r="V1061" s="246"/>
      <c r="W1061" s="244"/>
      <c r="X1061" s="243"/>
      <c r="Y1061" s="244"/>
      <c r="Z1061" s="243"/>
      <c r="AA1061" s="243"/>
      <c r="AB1061" s="243"/>
    </row>
    <row r="1062">
      <c r="A1062" s="243"/>
      <c r="B1062" s="244"/>
      <c r="C1062" s="243"/>
      <c r="D1062" s="243"/>
      <c r="E1062" s="243"/>
      <c r="F1062" s="243"/>
      <c r="G1062" s="243"/>
      <c r="H1062" s="245"/>
      <c r="I1062" s="245"/>
      <c r="J1062" s="243"/>
      <c r="K1062" s="243"/>
      <c r="L1062" s="243"/>
      <c r="M1062" s="243"/>
      <c r="N1062" s="243"/>
      <c r="O1062" s="244"/>
      <c r="P1062" s="243"/>
      <c r="Q1062" s="244"/>
      <c r="R1062" s="243"/>
      <c r="S1062" s="244"/>
      <c r="T1062" s="243"/>
      <c r="U1062" s="244"/>
      <c r="V1062" s="246"/>
      <c r="W1062" s="244"/>
      <c r="X1062" s="243"/>
      <c r="Y1062" s="244"/>
      <c r="Z1062" s="243"/>
      <c r="AA1062" s="243"/>
      <c r="AB1062" s="243"/>
    </row>
    <row r="1063">
      <c r="A1063" s="243"/>
      <c r="B1063" s="244"/>
      <c r="C1063" s="243"/>
      <c r="D1063" s="243"/>
      <c r="E1063" s="243"/>
      <c r="F1063" s="243"/>
      <c r="G1063" s="243"/>
      <c r="H1063" s="245"/>
      <c r="I1063" s="245"/>
      <c r="J1063" s="243"/>
      <c r="K1063" s="243"/>
      <c r="L1063" s="243"/>
      <c r="M1063" s="243"/>
      <c r="N1063" s="243"/>
      <c r="O1063" s="244"/>
      <c r="P1063" s="243"/>
      <c r="Q1063" s="244"/>
      <c r="R1063" s="243"/>
      <c r="S1063" s="244"/>
      <c r="T1063" s="243"/>
      <c r="U1063" s="244"/>
      <c r="V1063" s="246"/>
      <c r="W1063" s="244"/>
      <c r="X1063" s="243"/>
      <c r="Y1063" s="244"/>
      <c r="Z1063" s="243"/>
      <c r="AA1063" s="243"/>
      <c r="AB1063" s="243"/>
    </row>
    <row r="1064">
      <c r="A1064" s="243"/>
      <c r="B1064" s="244"/>
      <c r="C1064" s="243"/>
      <c r="D1064" s="243"/>
      <c r="E1064" s="243"/>
      <c r="F1064" s="243"/>
      <c r="G1064" s="243"/>
      <c r="H1064" s="245"/>
      <c r="I1064" s="245"/>
      <c r="J1064" s="243"/>
      <c r="K1064" s="243"/>
      <c r="L1064" s="243"/>
      <c r="M1064" s="243"/>
      <c r="N1064" s="243"/>
      <c r="O1064" s="244"/>
      <c r="P1064" s="243"/>
      <c r="Q1064" s="244"/>
      <c r="R1064" s="243"/>
      <c r="S1064" s="244"/>
      <c r="T1064" s="243"/>
      <c r="U1064" s="244"/>
      <c r="V1064" s="246"/>
      <c r="W1064" s="244"/>
      <c r="X1064" s="243"/>
      <c r="Y1064" s="244"/>
      <c r="Z1064" s="243"/>
      <c r="AA1064" s="243"/>
      <c r="AB1064" s="243"/>
    </row>
    <row r="1065">
      <c r="A1065" s="243"/>
      <c r="B1065" s="244"/>
      <c r="C1065" s="243"/>
      <c r="D1065" s="243"/>
      <c r="E1065" s="243"/>
      <c r="F1065" s="243"/>
      <c r="G1065" s="243"/>
      <c r="H1065" s="245"/>
      <c r="I1065" s="245"/>
      <c r="J1065" s="243"/>
      <c r="K1065" s="243"/>
      <c r="L1065" s="243"/>
      <c r="M1065" s="243"/>
      <c r="N1065" s="243"/>
      <c r="O1065" s="244"/>
      <c r="P1065" s="243"/>
      <c r="Q1065" s="244"/>
      <c r="R1065" s="243"/>
      <c r="S1065" s="244"/>
      <c r="T1065" s="243"/>
      <c r="U1065" s="244"/>
      <c r="V1065" s="246"/>
      <c r="W1065" s="244"/>
      <c r="X1065" s="243"/>
      <c r="Y1065" s="244"/>
      <c r="Z1065" s="243"/>
      <c r="AA1065" s="243"/>
      <c r="AB1065" s="243"/>
    </row>
    <row r="1066">
      <c r="A1066" s="243"/>
      <c r="B1066" s="244"/>
      <c r="C1066" s="243"/>
      <c r="D1066" s="243"/>
      <c r="E1066" s="243"/>
      <c r="F1066" s="243"/>
      <c r="G1066" s="243"/>
      <c r="H1066" s="245"/>
      <c r="I1066" s="245"/>
      <c r="J1066" s="243"/>
      <c r="K1066" s="243"/>
      <c r="L1066" s="243"/>
      <c r="M1066" s="243"/>
      <c r="N1066" s="243"/>
      <c r="O1066" s="244"/>
      <c r="P1066" s="243"/>
      <c r="Q1066" s="244"/>
      <c r="R1066" s="243"/>
      <c r="S1066" s="244"/>
      <c r="T1066" s="243"/>
      <c r="U1066" s="244"/>
      <c r="V1066" s="246"/>
      <c r="W1066" s="244"/>
      <c r="X1066" s="243"/>
      <c r="Y1066" s="244"/>
      <c r="Z1066" s="243"/>
      <c r="AA1066" s="243"/>
      <c r="AB1066" s="243"/>
    </row>
    <row r="1067">
      <c r="A1067" s="243"/>
      <c r="B1067" s="244"/>
      <c r="C1067" s="243"/>
      <c r="D1067" s="243"/>
      <c r="E1067" s="243"/>
      <c r="F1067" s="243"/>
      <c r="G1067" s="243"/>
      <c r="H1067" s="245"/>
      <c r="I1067" s="245"/>
      <c r="J1067" s="243"/>
      <c r="K1067" s="243"/>
      <c r="L1067" s="243"/>
      <c r="M1067" s="243"/>
      <c r="N1067" s="243"/>
      <c r="O1067" s="244"/>
      <c r="P1067" s="243"/>
      <c r="Q1067" s="244"/>
      <c r="R1067" s="243"/>
      <c r="S1067" s="244"/>
      <c r="T1067" s="243"/>
      <c r="U1067" s="244"/>
      <c r="V1067" s="246"/>
      <c r="W1067" s="244"/>
      <c r="X1067" s="243"/>
      <c r="Y1067" s="244"/>
      <c r="Z1067" s="243"/>
      <c r="AA1067" s="243"/>
      <c r="AB1067" s="243"/>
    </row>
    <row r="1068">
      <c r="A1068" s="243"/>
      <c r="B1068" s="244"/>
      <c r="C1068" s="243"/>
      <c r="D1068" s="243"/>
      <c r="E1068" s="243"/>
      <c r="F1068" s="243"/>
      <c r="G1068" s="243"/>
      <c r="H1068" s="245"/>
      <c r="I1068" s="245"/>
      <c r="J1068" s="243"/>
      <c r="K1068" s="243"/>
      <c r="L1068" s="243"/>
      <c r="M1068" s="243"/>
      <c r="N1068" s="243"/>
      <c r="O1068" s="244"/>
      <c r="P1068" s="243"/>
      <c r="Q1068" s="244"/>
      <c r="R1068" s="243"/>
      <c r="S1068" s="244"/>
      <c r="T1068" s="243"/>
      <c r="U1068" s="244"/>
      <c r="V1068" s="246"/>
      <c r="W1068" s="244"/>
      <c r="X1068" s="243"/>
      <c r="Y1068" s="244"/>
      <c r="Z1068" s="243"/>
      <c r="AA1068" s="243"/>
      <c r="AB1068" s="243"/>
    </row>
    <row r="1069">
      <c r="A1069" s="243"/>
      <c r="B1069" s="244"/>
      <c r="C1069" s="243"/>
      <c r="D1069" s="243"/>
      <c r="E1069" s="243"/>
      <c r="F1069" s="243"/>
      <c r="G1069" s="243"/>
      <c r="H1069" s="245"/>
      <c r="I1069" s="245"/>
      <c r="J1069" s="243"/>
      <c r="K1069" s="243"/>
      <c r="L1069" s="243"/>
      <c r="M1069" s="243"/>
      <c r="N1069" s="243"/>
      <c r="O1069" s="244"/>
      <c r="P1069" s="243"/>
      <c r="Q1069" s="244"/>
      <c r="R1069" s="243"/>
      <c r="S1069" s="244"/>
      <c r="T1069" s="243"/>
      <c r="U1069" s="244"/>
      <c r="V1069" s="246"/>
      <c r="W1069" s="244"/>
      <c r="X1069" s="243"/>
      <c r="Y1069" s="244"/>
      <c r="Z1069" s="243"/>
      <c r="AA1069" s="243"/>
      <c r="AB1069" s="243"/>
    </row>
    <row r="1070">
      <c r="A1070" s="243"/>
      <c r="B1070" s="244"/>
      <c r="C1070" s="243"/>
      <c r="D1070" s="243"/>
      <c r="E1070" s="243"/>
      <c r="F1070" s="243"/>
      <c r="G1070" s="243"/>
      <c r="H1070" s="245"/>
      <c r="I1070" s="245"/>
      <c r="J1070" s="243"/>
      <c r="K1070" s="243"/>
      <c r="L1070" s="243"/>
      <c r="M1070" s="243"/>
      <c r="N1070" s="243"/>
      <c r="O1070" s="244"/>
      <c r="P1070" s="243"/>
      <c r="Q1070" s="244"/>
      <c r="R1070" s="243"/>
      <c r="S1070" s="244"/>
      <c r="T1070" s="243"/>
      <c r="U1070" s="244"/>
      <c r="V1070" s="246"/>
      <c r="W1070" s="244"/>
      <c r="X1070" s="243"/>
      <c r="Y1070" s="244"/>
      <c r="Z1070" s="243"/>
      <c r="AA1070" s="243"/>
      <c r="AB1070" s="243"/>
    </row>
    <row r="1071">
      <c r="A1071" s="243"/>
      <c r="B1071" s="244"/>
      <c r="C1071" s="243"/>
      <c r="D1071" s="243"/>
      <c r="E1071" s="243"/>
      <c r="F1071" s="243"/>
      <c r="G1071" s="243"/>
      <c r="H1071" s="245"/>
      <c r="I1071" s="245"/>
      <c r="J1071" s="243"/>
      <c r="K1071" s="243"/>
      <c r="L1071" s="243"/>
      <c r="M1071" s="243"/>
      <c r="N1071" s="243"/>
      <c r="O1071" s="244"/>
      <c r="P1071" s="243"/>
      <c r="Q1071" s="244"/>
      <c r="R1071" s="243"/>
      <c r="S1071" s="244"/>
      <c r="T1071" s="243"/>
      <c r="U1071" s="244"/>
      <c r="V1071" s="246"/>
      <c r="W1071" s="244"/>
      <c r="X1071" s="243"/>
      <c r="Y1071" s="244"/>
      <c r="Z1071" s="243"/>
      <c r="AA1071" s="243"/>
      <c r="AB1071" s="243"/>
    </row>
    <row r="1072">
      <c r="A1072" s="243"/>
      <c r="B1072" s="244"/>
      <c r="C1072" s="243"/>
      <c r="D1072" s="243"/>
      <c r="E1072" s="243"/>
      <c r="F1072" s="243"/>
      <c r="G1072" s="243"/>
      <c r="H1072" s="245"/>
      <c r="I1072" s="245"/>
      <c r="J1072" s="243"/>
      <c r="K1072" s="243"/>
      <c r="L1072" s="243"/>
      <c r="M1072" s="243"/>
      <c r="N1072" s="243"/>
      <c r="O1072" s="244"/>
      <c r="P1072" s="243"/>
      <c r="Q1072" s="244"/>
      <c r="R1072" s="243"/>
      <c r="S1072" s="244"/>
      <c r="T1072" s="243"/>
      <c r="U1072" s="244"/>
      <c r="V1072" s="246"/>
      <c r="W1072" s="244"/>
      <c r="X1072" s="243"/>
      <c r="Y1072" s="244"/>
      <c r="Z1072" s="243"/>
      <c r="AA1072" s="243"/>
      <c r="AB1072" s="243"/>
    </row>
    <row r="1073">
      <c r="A1073" s="243"/>
      <c r="B1073" s="244"/>
      <c r="C1073" s="243"/>
      <c r="D1073" s="243"/>
      <c r="E1073" s="243"/>
      <c r="F1073" s="243"/>
      <c r="G1073" s="243"/>
      <c r="H1073" s="245"/>
      <c r="I1073" s="245"/>
      <c r="J1073" s="243"/>
      <c r="K1073" s="243"/>
      <c r="L1073" s="243"/>
      <c r="M1073" s="243"/>
      <c r="N1073" s="243"/>
      <c r="O1073" s="244"/>
      <c r="P1073" s="243"/>
      <c r="Q1073" s="244"/>
      <c r="R1073" s="243"/>
      <c r="S1073" s="244"/>
      <c r="T1073" s="243"/>
      <c r="U1073" s="244"/>
      <c r="V1073" s="246"/>
      <c r="W1073" s="244"/>
      <c r="X1073" s="243"/>
      <c r="Y1073" s="244"/>
      <c r="Z1073" s="243"/>
      <c r="AA1073" s="243"/>
      <c r="AB1073" s="243"/>
    </row>
    <row r="1074">
      <c r="A1074" s="243"/>
      <c r="B1074" s="244"/>
      <c r="C1074" s="243"/>
      <c r="D1074" s="243"/>
      <c r="E1074" s="243"/>
      <c r="F1074" s="243"/>
      <c r="G1074" s="243"/>
      <c r="H1074" s="245"/>
      <c r="I1074" s="245"/>
      <c r="J1074" s="243"/>
      <c r="K1074" s="243"/>
      <c r="L1074" s="243"/>
      <c r="M1074" s="243"/>
      <c r="N1074" s="243"/>
      <c r="O1074" s="244"/>
      <c r="P1074" s="243"/>
      <c r="Q1074" s="244"/>
      <c r="R1074" s="243"/>
      <c r="S1074" s="244"/>
      <c r="T1074" s="243"/>
      <c r="U1074" s="244"/>
      <c r="V1074" s="246"/>
      <c r="W1074" s="244"/>
      <c r="X1074" s="243"/>
      <c r="Y1074" s="244"/>
      <c r="Z1074" s="243"/>
      <c r="AA1074" s="243"/>
      <c r="AB1074" s="243"/>
    </row>
    <row r="1075">
      <c r="A1075" s="243"/>
      <c r="B1075" s="244"/>
      <c r="C1075" s="243"/>
      <c r="D1075" s="243"/>
      <c r="E1075" s="243"/>
      <c r="F1075" s="243"/>
      <c r="G1075" s="243"/>
      <c r="H1075" s="245"/>
      <c r="I1075" s="245"/>
      <c r="J1075" s="243"/>
      <c r="K1075" s="243"/>
      <c r="L1075" s="243"/>
      <c r="M1075" s="243"/>
      <c r="N1075" s="243"/>
      <c r="O1075" s="244"/>
      <c r="P1075" s="243"/>
      <c r="Q1075" s="244"/>
      <c r="R1075" s="243"/>
      <c r="S1075" s="244"/>
      <c r="T1075" s="243"/>
      <c r="U1075" s="244"/>
      <c r="V1075" s="246"/>
      <c r="W1075" s="244"/>
      <c r="X1075" s="243"/>
      <c r="Y1075" s="244"/>
      <c r="Z1075" s="243"/>
      <c r="AA1075" s="243"/>
      <c r="AB1075" s="243"/>
    </row>
    <row r="1076">
      <c r="A1076" s="243"/>
      <c r="B1076" s="244"/>
      <c r="C1076" s="243"/>
      <c r="D1076" s="243"/>
      <c r="E1076" s="243"/>
      <c r="F1076" s="243"/>
      <c r="G1076" s="243"/>
      <c r="H1076" s="245"/>
      <c r="I1076" s="245"/>
      <c r="J1076" s="243"/>
      <c r="K1076" s="243"/>
      <c r="L1076" s="243"/>
      <c r="M1076" s="243"/>
      <c r="N1076" s="243"/>
      <c r="O1076" s="244"/>
      <c r="P1076" s="243"/>
      <c r="Q1076" s="244"/>
      <c r="R1076" s="243"/>
      <c r="S1076" s="244"/>
      <c r="T1076" s="243"/>
      <c r="U1076" s="244"/>
      <c r="V1076" s="246"/>
      <c r="W1076" s="244"/>
      <c r="X1076" s="243"/>
      <c r="Y1076" s="244"/>
      <c r="Z1076" s="243"/>
      <c r="AA1076" s="243"/>
      <c r="AB1076" s="243"/>
    </row>
    <row r="1077">
      <c r="A1077" s="243"/>
      <c r="B1077" s="244"/>
      <c r="C1077" s="243"/>
      <c r="D1077" s="243"/>
      <c r="E1077" s="243"/>
      <c r="F1077" s="243"/>
      <c r="G1077" s="243"/>
      <c r="H1077" s="245"/>
      <c r="I1077" s="245"/>
      <c r="J1077" s="243"/>
      <c r="K1077" s="243"/>
      <c r="L1077" s="243"/>
      <c r="M1077" s="243"/>
      <c r="N1077" s="243"/>
      <c r="O1077" s="244"/>
      <c r="P1077" s="243"/>
      <c r="Q1077" s="244"/>
      <c r="R1077" s="243"/>
      <c r="S1077" s="244"/>
      <c r="T1077" s="243"/>
      <c r="U1077" s="244"/>
      <c r="V1077" s="246"/>
      <c r="W1077" s="244"/>
      <c r="X1077" s="243"/>
      <c r="Y1077" s="244"/>
      <c r="Z1077" s="243"/>
      <c r="AA1077" s="243"/>
      <c r="AB1077" s="243"/>
    </row>
    <row r="1078">
      <c r="A1078" s="243"/>
      <c r="B1078" s="244"/>
      <c r="C1078" s="243"/>
      <c r="D1078" s="243"/>
      <c r="E1078" s="243"/>
      <c r="F1078" s="243"/>
      <c r="G1078" s="243"/>
      <c r="H1078" s="245"/>
      <c r="I1078" s="245"/>
      <c r="J1078" s="243"/>
      <c r="K1078" s="243"/>
      <c r="L1078" s="243"/>
      <c r="M1078" s="243"/>
      <c r="N1078" s="243"/>
      <c r="O1078" s="244"/>
      <c r="P1078" s="243"/>
      <c r="Q1078" s="244"/>
      <c r="R1078" s="243"/>
      <c r="S1078" s="244"/>
      <c r="T1078" s="243"/>
      <c r="U1078" s="244"/>
      <c r="V1078" s="246"/>
      <c r="W1078" s="244"/>
      <c r="X1078" s="243"/>
      <c r="Y1078" s="244"/>
      <c r="Z1078" s="243"/>
      <c r="AA1078" s="243"/>
      <c r="AB1078" s="243"/>
    </row>
    <row r="1079">
      <c r="A1079" s="243"/>
      <c r="B1079" s="244"/>
      <c r="C1079" s="243"/>
      <c r="D1079" s="243"/>
      <c r="E1079" s="243"/>
      <c r="F1079" s="243"/>
      <c r="G1079" s="243"/>
      <c r="H1079" s="245"/>
      <c r="I1079" s="245"/>
      <c r="J1079" s="243"/>
      <c r="K1079" s="243"/>
      <c r="L1079" s="243"/>
      <c r="M1079" s="243"/>
      <c r="N1079" s="243"/>
      <c r="O1079" s="244"/>
      <c r="P1079" s="243"/>
      <c r="Q1079" s="244"/>
      <c r="R1079" s="243"/>
      <c r="S1079" s="244"/>
      <c r="T1079" s="243"/>
      <c r="U1079" s="244"/>
      <c r="V1079" s="246"/>
      <c r="W1079" s="244"/>
      <c r="X1079" s="243"/>
      <c r="Y1079" s="244"/>
      <c r="Z1079" s="243"/>
      <c r="AA1079" s="243"/>
      <c r="AB1079" s="243"/>
    </row>
    <row r="1080">
      <c r="A1080" s="243"/>
      <c r="B1080" s="244"/>
      <c r="C1080" s="243"/>
      <c r="D1080" s="243"/>
      <c r="E1080" s="243"/>
      <c r="F1080" s="243"/>
      <c r="G1080" s="243"/>
      <c r="H1080" s="245"/>
      <c r="I1080" s="245"/>
      <c r="J1080" s="243"/>
      <c r="K1080" s="243"/>
      <c r="L1080" s="243"/>
      <c r="M1080" s="243"/>
      <c r="N1080" s="243"/>
      <c r="O1080" s="244"/>
      <c r="P1080" s="243"/>
      <c r="Q1080" s="244"/>
      <c r="R1080" s="243"/>
      <c r="S1080" s="244"/>
      <c r="T1080" s="243"/>
      <c r="U1080" s="244"/>
      <c r="V1080" s="246"/>
      <c r="W1080" s="244"/>
      <c r="X1080" s="243"/>
      <c r="Y1080" s="244"/>
      <c r="Z1080" s="243"/>
      <c r="AA1080" s="243"/>
      <c r="AB1080" s="243"/>
    </row>
    <row r="1081">
      <c r="A1081" s="243"/>
      <c r="B1081" s="244"/>
      <c r="C1081" s="243"/>
      <c r="D1081" s="243"/>
      <c r="E1081" s="243"/>
      <c r="F1081" s="243"/>
      <c r="G1081" s="243"/>
      <c r="H1081" s="245"/>
      <c r="I1081" s="245"/>
      <c r="J1081" s="243"/>
      <c r="K1081" s="243"/>
      <c r="L1081" s="243"/>
      <c r="M1081" s="243"/>
      <c r="N1081" s="243"/>
      <c r="O1081" s="244"/>
      <c r="P1081" s="243"/>
      <c r="Q1081" s="244"/>
      <c r="R1081" s="243"/>
      <c r="S1081" s="244"/>
      <c r="T1081" s="243"/>
      <c r="U1081" s="244"/>
      <c r="V1081" s="246"/>
      <c r="W1081" s="244"/>
      <c r="X1081" s="243"/>
      <c r="Y1081" s="244"/>
      <c r="Z1081" s="243"/>
      <c r="AA1081" s="243"/>
      <c r="AB1081" s="243"/>
    </row>
    <row r="1082">
      <c r="A1082" s="243"/>
      <c r="B1082" s="244"/>
      <c r="C1082" s="243"/>
      <c r="D1082" s="243"/>
      <c r="E1082" s="243"/>
      <c r="F1082" s="243"/>
      <c r="G1082" s="243"/>
      <c r="H1082" s="245"/>
      <c r="I1082" s="245"/>
      <c r="J1082" s="243"/>
      <c r="K1082" s="243"/>
      <c r="L1082" s="243"/>
      <c r="M1082" s="243"/>
      <c r="N1082" s="243"/>
      <c r="O1082" s="244"/>
      <c r="P1082" s="243"/>
      <c r="Q1082" s="244"/>
      <c r="R1082" s="243"/>
      <c r="S1082" s="244"/>
      <c r="T1082" s="243"/>
      <c r="U1082" s="244"/>
      <c r="V1082" s="246"/>
      <c r="W1082" s="244"/>
      <c r="X1082" s="243"/>
      <c r="Y1082" s="244"/>
      <c r="Z1082" s="243"/>
      <c r="AA1082" s="243"/>
      <c r="AB1082" s="243"/>
    </row>
    <row r="1083">
      <c r="A1083" s="243"/>
      <c r="B1083" s="244"/>
      <c r="C1083" s="243"/>
      <c r="D1083" s="243"/>
      <c r="E1083" s="243"/>
      <c r="F1083" s="243"/>
      <c r="G1083" s="243"/>
      <c r="H1083" s="245"/>
      <c r="I1083" s="245"/>
      <c r="J1083" s="243"/>
      <c r="K1083" s="243"/>
      <c r="L1083" s="243"/>
      <c r="M1083" s="243"/>
      <c r="N1083" s="243"/>
      <c r="O1083" s="244"/>
      <c r="P1083" s="243"/>
      <c r="Q1083" s="244"/>
      <c r="R1083" s="243"/>
      <c r="S1083" s="244"/>
      <c r="T1083" s="243"/>
      <c r="U1083" s="244"/>
      <c r="V1083" s="246"/>
      <c r="W1083" s="244"/>
      <c r="X1083" s="243"/>
      <c r="Y1083" s="244"/>
      <c r="Z1083" s="243"/>
      <c r="AA1083" s="243"/>
      <c r="AB1083" s="243"/>
    </row>
    <row r="1084">
      <c r="A1084" s="243"/>
      <c r="B1084" s="244"/>
      <c r="C1084" s="243"/>
      <c r="D1084" s="243"/>
      <c r="E1084" s="243"/>
      <c r="F1084" s="243"/>
      <c r="G1084" s="243"/>
      <c r="H1084" s="245"/>
      <c r="I1084" s="245"/>
      <c r="J1084" s="243"/>
      <c r="K1084" s="243"/>
      <c r="L1084" s="243"/>
      <c r="M1084" s="243"/>
      <c r="N1084" s="243"/>
      <c r="O1084" s="244"/>
      <c r="P1084" s="243"/>
      <c r="Q1084" s="244"/>
      <c r="R1084" s="243"/>
      <c r="S1084" s="244"/>
      <c r="T1084" s="243"/>
      <c r="U1084" s="244"/>
      <c r="V1084" s="246"/>
      <c r="W1084" s="244"/>
      <c r="X1084" s="243"/>
      <c r="Y1084" s="244"/>
      <c r="Z1084" s="243"/>
      <c r="AA1084" s="243"/>
      <c r="AB1084" s="243"/>
    </row>
    <row r="1085">
      <c r="A1085" s="243"/>
      <c r="B1085" s="244"/>
      <c r="C1085" s="243"/>
      <c r="D1085" s="243"/>
      <c r="E1085" s="243"/>
      <c r="F1085" s="243"/>
      <c r="G1085" s="243"/>
      <c r="H1085" s="245"/>
      <c r="I1085" s="245"/>
      <c r="J1085" s="243"/>
      <c r="K1085" s="243"/>
      <c r="L1085" s="243"/>
      <c r="M1085" s="243"/>
      <c r="N1085" s="243"/>
      <c r="O1085" s="244"/>
      <c r="P1085" s="243"/>
      <c r="Q1085" s="244"/>
      <c r="R1085" s="243"/>
      <c r="S1085" s="244"/>
      <c r="T1085" s="243"/>
      <c r="U1085" s="244"/>
      <c r="V1085" s="246"/>
      <c r="W1085" s="244"/>
      <c r="X1085" s="243"/>
      <c r="Y1085" s="244"/>
      <c r="Z1085" s="243"/>
      <c r="AA1085" s="243"/>
      <c r="AB1085" s="243"/>
    </row>
    <row r="1086">
      <c r="A1086" s="243"/>
      <c r="B1086" s="244"/>
      <c r="C1086" s="243"/>
      <c r="D1086" s="243"/>
      <c r="E1086" s="243"/>
      <c r="F1086" s="243"/>
      <c r="G1086" s="243"/>
      <c r="H1086" s="245"/>
      <c r="I1086" s="245"/>
      <c r="J1086" s="243"/>
      <c r="K1086" s="243"/>
      <c r="L1086" s="243"/>
      <c r="M1086" s="243"/>
      <c r="N1086" s="243"/>
      <c r="O1086" s="244"/>
      <c r="P1086" s="243"/>
      <c r="Q1086" s="244"/>
      <c r="R1086" s="243"/>
      <c r="S1086" s="244"/>
      <c r="T1086" s="243"/>
      <c r="U1086" s="244"/>
      <c r="V1086" s="246"/>
      <c r="W1086" s="244"/>
      <c r="X1086" s="243"/>
      <c r="Y1086" s="244"/>
      <c r="Z1086" s="243"/>
      <c r="AA1086" s="243"/>
      <c r="AB1086" s="243"/>
    </row>
    <row r="1087">
      <c r="A1087" s="243"/>
      <c r="B1087" s="244"/>
      <c r="C1087" s="243"/>
      <c r="D1087" s="243"/>
      <c r="E1087" s="243"/>
      <c r="F1087" s="243"/>
      <c r="G1087" s="243"/>
      <c r="H1087" s="245"/>
      <c r="I1087" s="245"/>
      <c r="J1087" s="243"/>
      <c r="K1087" s="243"/>
      <c r="L1087" s="243"/>
      <c r="M1087" s="243"/>
      <c r="N1087" s="243"/>
      <c r="O1087" s="244"/>
      <c r="P1087" s="243"/>
      <c r="Q1087" s="244"/>
      <c r="R1087" s="243"/>
      <c r="S1087" s="244"/>
      <c r="T1087" s="243"/>
      <c r="U1087" s="244"/>
      <c r="V1087" s="246"/>
      <c r="W1087" s="244"/>
      <c r="X1087" s="243"/>
      <c r="Y1087" s="244"/>
      <c r="Z1087" s="243"/>
      <c r="AA1087" s="243"/>
      <c r="AB1087" s="243"/>
    </row>
    <row r="1088">
      <c r="A1088" s="243"/>
      <c r="B1088" s="244"/>
      <c r="C1088" s="243"/>
      <c r="D1088" s="243"/>
      <c r="E1088" s="243"/>
      <c r="F1088" s="243"/>
      <c r="G1088" s="243"/>
      <c r="H1088" s="245"/>
      <c r="I1088" s="245"/>
      <c r="J1088" s="243"/>
      <c r="K1088" s="243"/>
      <c r="L1088" s="243"/>
      <c r="M1088" s="243"/>
      <c r="N1088" s="243"/>
      <c r="O1088" s="244"/>
      <c r="P1088" s="243"/>
      <c r="Q1088" s="244"/>
      <c r="R1088" s="243"/>
      <c r="S1088" s="244"/>
      <c r="T1088" s="243"/>
      <c r="U1088" s="244"/>
      <c r="V1088" s="246"/>
      <c r="W1088" s="244"/>
      <c r="X1088" s="243"/>
      <c r="Y1088" s="244"/>
      <c r="Z1088" s="243"/>
      <c r="AA1088" s="243"/>
      <c r="AB1088" s="243"/>
    </row>
    <row r="1089">
      <c r="A1089" s="243"/>
      <c r="B1089" s="244"/>
      <c r="C1089" s="243"/>
      <c r="D1089" s="243"/>
      <c r="E1089" s="243"/>
      <c r="F1089" s="243"/>
      <c r="G1089" s="243"/>
      <c r="H1089" s="245"/>
      <c r="I1089" s="245"/>
      <c r="J1089" s="243"/>
      <c r="K1089" s="243"/>
      <c r="L1089" s="243"/>
      <c r="M1089" s="243"/>
      <c r="N1089" s="243"/>
      <c r="O1089" s="244"/>
      <c r="P1089" s="243"/>
      <c r="Q1089" s="244"/>
      <c r="R1089" s="243"/>
      <c r="S1089" s="244"/>
      <c r="T1089" s="243"/>
      <c r="U1089" s="244"/>
      <c r="V1089" s="246"/>
      <c r="W1089" s="244"/>
      <c r="X1089" s="243"/>
      <c r="Y1089" s="244"/>
      <c r="Z1089" s="243"/>
      <c r="AA1089" s="243"/>
      <c r="AB1089" s="243"/>
    </row>
    <row r="1090">
      <c r="A1090" s="243"/>
      <c r="B1090" s="244"/>
      <c r="C1090" s="243"/>
      <c r="D1090" s="243"/>
      <c r="E1090" s="243"/>
      <c r="F1090" s="243"/>
      <c r="G1090" s="243"/>
      <c r="H1090" s="245"/>
      <c r="I1090" s="245"/>
      <c r="J1090" s="243"/>
      <c r="K1090" s="243"/>
      <c r="L1090" s="243"/>
      <c r="M1090" s="243"/>
      <c r="N1090" s="243"/>
      <c r="O1090" s="244"/>
      <c r="P1090" s="243"/>
      <c r="Q1090" s="244"/>
      <c r="R1090" s="243"/>
      <c r="S1090" s="244"/>
      <c r="T1090" s="243"/>
      <c r="U1090" s="244"/>
      <c r="V1090" s="246"/>
      <c r="W1090" s="244"/>
      <c r="X1090" s="243"/>
      <c r="Y1090" s="244"/>
      <c r="Z1090" s="243"/>
      <c r="AA1090" s="243"/>
      <c r="AB1090" s="243"/>
    </row>
    <row r="1091">
      <c r="A1091" s="243"/>
      <c r="B1091" s="244"/>
      <c r="C1091" s="243"/>
      <c r="D1091" s="243"/>
      <c r="E1091" s="243"/>
      <c r="F1091" s="243"/>
      <c r="G1091" s="243"/>
      <c r="H1091" s="245"/>
      <c r="I1091" s="245"/>
      <c r="J1091" s="243"/>
      <c r="K1091" s="243"/>
      <c r="L1091" s="243"/>
      <c r="M1091" s="243"/>
      <c r="N1091" s="243"/>
      <c r="O1091" s="244"/>
      <c r="P1091" s="243"/>
      <c r="Q1091" s="244"/>
      <c r="R1091" s="243"/>
      <c r="S1091" s="244"/>
      <c r="T1091" s="243"/>
      <c r="U1091" s="244"/>
      <c r="V1091" s="246"/>
      <c r="W1091" s="244"/>
      <c r="X1091" s="243"/>
      <c r="Y1091" s="244"/>
      <c r="Z1091" s="243"/>
      <c r="AA1091" s="243"/>
      <c r="AB1091" s="243"/>
    </row>
    <row r="1092">
      <c r="A1092" s="243"/>
      <c r="B1092" s="244"/>
      <c r="C1092" s="243"/>
      <c r="D1092" s="243"/>
      <c r="E1092" s="243"/>
      <c r="F1092" s="243"/>
      <c r="G1092" s="243"/>
      <c r="H1092" s="245"/>
      <c r="I1092" s="245"/>
      <c r="J1092" s="243"/>
      <c r="K1092" s="243"/>
      <c r="L1092" s="243"/>
      <c r="M1092" s="243"/>
      <c r="N1092" s="243"/>
      <c r="O1092" s="244"/>
      <c r="P1092" s="243"/>
      <c r="Q1092" s="244"/>
      <c r="R1092" s="243"/>
      <c r="S1092" s="244"/>
      <c r="T1092" s="243"/>
      <c r="U1092" s="244"/>
      <c r="V1092" s="246"/>
      <c r="W1092" s="244"/>
      <c r="X1092" s="243"/>
      <c r="Y1092" s="244"/>
      <c r="Z1092" s="243"/>
      <c r="AA1092" s="243"/>
      <c r="AB1092" s="243"/>
    </row>
    <row r="1093">
      <c r="A1093" s="243"/>
      <c r="B1093" s="244"/>
      <c r="C1093" s="243"/>
      <c r="D1093" s="243"/>
      <c r="E1093" s="243"/>
      <c r="F1093" s="243"/>
      <c r="G1093" s="243"/>
      <c r="H1093" s="245"/>
      <c r="I1093" s="245"/>
      <c r="J1093" s="243"/>
      <c r="K1093" s="243"/>
      <c r="L1093" s="243"/>
      <c r="M1093" s="243"/>
      <c r="N1093" s="243"/>
      <c r="O1093" s="244"/>
      <c r="P1093" s="243"/>
      <c r="Q1093" s="244"/>
      <c r="R1093" s="243"/>
      <c r="S1093" s="244"/>
      <c r="T1093" s="243"/>
      <c r="U1093" s="244"/>
      <c r="V1093" s="246"/>
      <c r="W1093" s="244"/>
      <c r="X1093" s="243"/>
      <c r="Y1093" s="244"/>
      <c r="Z1093" s="243"/>
      <c r="AA1093" s="243"/>
      <c r="AB1093" s="243"/>
    </row>
    <row r="1094">
      <c r="A1094" s="243"/>
      <c r="B1094" s="244"/>
      <c r="C1094" s="243"/>
      <c r="D1094" s="243"/>
      <c r="E1094" s="243"/>
      <c r="F1094" s="243"/>
      <c r="G1094" s="243"/>
      <c r="H1094" s="245"/>
      <c r="I1094" s="245"/>
      <c r="J1094" s="243"/>
      <c r="K1094" s="243"/>
      <c r="L1094" s="243"/>
      <c r="M1094" s="243"/>
      <c r="N1094" s="243"/>
      <c r="O1094" s="244"/>
      <c r="P1094" s="243"/>
      <c r="Q1094" s="244"/>
      <c r="R1094" s="243"/>
      <c r="S1094" s="244"/>
      <c r="T1094" s="243"/>
      <c r="U1094" s="244"/>
      <c r="V1094" s="246"/>
      <c r="W1094" s="244"/>
      <c r="X1094" s="243"/>
      <c r="Y1094" s="244"/>
      <c r="Z1094" s="243"/>
      <c r="AA1094" s="243"/>
      <c r="AB1094" s="243"/>
    </row>
    <row r="1095">
      <c r="A1095" s="243"/>
      <c r="B1095" s="244"/>
      <c r="C1095" s="243"/>
      <c r="D1095" s="243"/>
      <c r="E1095" s="243"/>
      <c r="F1095" s="243"/>
      <c r="G1095" s="243"/>
      <c r="H1095" s="245"/>
      <c r="I1095" s="245"/>
      <c r="J1095" s="243"/>
      <c r="K1095" s="243"/>
      <c r="L1095" s="243"/>
      <c r="M1095" s="243"/>
      <c r="N1095" s="243"/>
      <c r="O1095" s="244"/>
      <c r="P1095" s="243"/>
      <c r="Q1095" s="244"/>
      <c r="R1095" s="243"/>
      <c r="S1095" s="244"/>
      <c r="T1095" s="243"/>
      <c r="U1095" s="244"/>
      <c r="V1095" s="246"/>
      <c r="W1095" s="244"/>
      <c r="X1095" s="243"/>
      <c r="Y1095" s="244"/>
      <c r="Z1095" s="243"/>
      <c r="AA1095" s="243"/>
      <c r="AB1095" s="243"/>
    </row>
    <row r="1096">
      <c r="A1096" s="243"/>
      <c r="B1096" s="244"/>
      <c r="C1096" s="243"/>
      <c r="D1096" s="243"/>
      <c r="E1096" s="243"/>
      <c r="F1096" s="243"/>
      <c r="G1096" s="243"/>
      <c r="H1096" s="245"/>
      <c r="I1096" s="245"/>
      <c r="J1096" s="243"/>
      <c r="K1096" s="243"/>
      <c r="L1096" s="243"/>
      <c r="M1096" s="243"/>
      <c r="N1096" s="243"/>
      <c r="O1096" s="244"/>
      <c r="P1096" s="243"/>
      <c r="Q1096" s="244"/>
      <c r="R1096" s="243"/>
      <c r="S1096" s="244"/>
      <c r="T1096" s="243"/>
      <c r="U1096" s="244"/>
      <c r="V1096" s="246"/>
      <c r="W1096" s="244"/>
      <c r="X1096" s="243"/>
      <c r="Y1096" s="244"/>
      <c r="Z1096" s="243"/>
      <c r="AA1096" s="243"/>
      <c r="AB1096" s="243"/>
    </row>
    <row r="1097">
      <c r="A1097" s="243"/>
      <c r="B1097" s="244"/>
      <c r="C1097" s="243"/>
      <c r="D1097" s="243"/>
      <c r="E1097" s="243"/>
      <c r="F1097" s="243"/>
      <c r="G1097" s="243"/>
      <c r="H1097" s="245"/>
      <c r="I1097" s="245"/>
      <c r="J1097" s="243"/>
      <c r="K1097" s="243"/>
      <c r="L1097" s="243"/>
      <c r="M1097" s="243"/>
      <c r="N1097" s="243"/>
      <c r="O1097" s="244"/>
      <c r="P1097" s="243"/>
      <c r="Q1097" s="244"/>
      <c r="R1097" s="243"/>
      <c r="S1097" s="244"/>
      <c r="T1097" s="243"/>
      <c r="U1097" s="244"/>
      <c r="V1097" s="246"/>
      <c r="W1097" s="244"/>
      <c r="X1097" s="243"/>
      <c r="Y1097" s="244"/>
      <c r="Z1097" s="243"/>
      <c r="AA1097" s="243"/>
      <c r="AB1097" s="243"/>
    </row>
    <row r="1098">
      <c r="A1098" s="243"/>
      <c r="B1098" s="244"/>
      <c r="C1098" s="243"/>
      <c r="D1098" s="243"/>
      <c r="E1098" s="243"/>
      <c r="F1098" s="243"/>
      <c r="G1098" s="243"/>
      <c r="H1098" s="245"/>
      <c r="I1098" s="245"/>
      <c r="J1098" s="243"/>
      <c r="K1098" s="243"/>
      <c r="L1098" s="243"/>
      <c r="M1098" s="243"/>
      <c r="N1098" s="243"/>
      <c r="O1098" s="244"/>
      <c r="P1098" s="243"/>
      <c r="Q1098" s="244"/>
      <c r="R1098" s="243"/>
      <c r="S1098" s="244"/>
      <c r="T1098" s="243"/>
      <c r="U1098" s="244"/>
      <c r="V1098" s="246"/>
      <c r="W1098" s="244"/>
      <c r="X1098" s="243"/>
      <c r="Y1098" s="244"/>
      <c r="Z1098" s="243"/>
      <c r="AA1098" s="243"/>
      <c r="AB1098" s="243"/>
    </row>
    <row r="1099">
      <c r="A1099" s="243"/>
      <c r="B1099" s="244"/>
      <c r="C1099" s="243"/>
      <c r="D1099" s="243"/>
      <c r="E1099" s="243"/>
      <c r="F1099" s="243"/>
      <c r="G1099" s="243"/>
      <c r="H1099" s="245"/>
      <c r="I1099" s="245"/>
      <c r="J1099" s="243"/>
      <c r="K1099" s="243"/>
      <c r="L1099" s="243"/>
      <c r="M1099" s="243"/>
      <c r="N1099" s="243"/>
      <c r="O1099" s="244"/>
      <c r="P1099" s="243"/>
      <c r="Q1099" s="244"/>
      <c r="R1099" s="243"/>
      <c r="S1099" s="244"/>
      <c r="T1099" s="243"/>
      <c r="U1099" s="244"/>
      <c r="V1099" s="246"/>
      <c r="W1099" s="244"/>
      <c r="X1099" s="243"/>
      <c r="Y1099" s="244"/>
      <c r="Z1099" s="243"/>
      <c r="AA1099" s="243"/>
      <c r="AB1099" s="243"/>
    </row>
    <row r="1100">
      <c r="A1100" s="243"/>
      <c r="B1100" s="244"/>
      <c r="C1100" s="243"/>
      <c r="D1100" s="243"/>
      <c r="E1100" s="243"/>
      <c r="F1100" s="243"/>
      <c r="G1100" s="243"/>
      <c r="H1100" s="245"/>
      <c r="I1100" s="245"/>
      <c r="J1100" s="243"/>
      <c r="K1100" s="243"/>
      <c r="L1100" s="243"/>
      <c r="M1100" s="243"/>
      <c r="N1100" s="243"/>
      <c r="O1100" s="244"/>
      <c r="P1100" s="243"/>
      <c r="Q1100" s="244"/>
      <c r="R1100" s="243"/>
      <c r="S1100" s="244"/>
      <c r="T1100" s="243"/>
      <c r="U1100" s="244"/>
      <c r="V1100" s="246"/>
      <c r="W1100" s="244"/>
      <c r="X1100" s="243"/>
      <c r="Y1100" s="244"/>
      <c r="Z1100" s="243"/>
      <c r="AA1100" s="243"/>
      <c r="AB1100" s="243"/>
    </row>
    <row r="1101">
      <c r="A1101" s="243"/>
      <c r="B1101" s="244"/>
      <c r="C1101" s="243"/>
      <c r="D1101" s="243"/>
      <c r="E1101" s="243"/>
      <c r="F1101" s="243"/>
      <c r="G1101" s="243"/>
      <c r="H1101" s="245"/>
      <c r="I1101" s="245"/>
      <c r="J1101" s="243"/>
      <c r="K1101" s="243"/>
      <c r="L1101" s="243"/>
      <c r="M1101" s="243"/>
      <c r="N1101" s="243"/>
      <c r="O1101" s="244"/>
      <c r="P1101" s="243"/>
      <c r="Q1101" s="244"/>
      <c r="R1101" s="243"/>
      <c r="S1101" s="244"/>
      <c r="T1101" s="243"/>
      <c r="U1101" s="244"/>
      <c r="V1101" s="246"/>
      <c r="W1101" s="244"/>
      <c r="X1101" s="243"/>
      <c r="Y1101" s="244"/>
      <c r="Z1101" s="243"/>
      <c r="AA1101" s="243"/>
      <c r="AB1101" s="243"/>
    </row>
    <row r="1102">
      <c r="A1102" s="243"/>
      <c r="B1102" s="244"/>
      <c r="C1102" s="243"/>
      <c r="D1102" s="243"/>
      <c r="E1102" s="243"/>
      <c r="F1102" s="243"/>
      <c r="G1102" s="243"/>
      <c r="H1102" s="245"/>
      <c r="I1102" s="245"/>
      <c r="J1102" s="243"/>
      <c r="K1102" s="243"/>
      <c r="L1102" s="243"/>
      <c r="M1102" s="243"/>
      <c r="N1102" s="243"/>
      <c r="O1102" s="244"/>
      <c r="P1102" s="243"/>
      <c r="Q1102" s="244"/>
      <c r="R1102" s="243"/>
      <c r="S1102" s="244"/>
      <c r="T1102" s="243"/>
      <c r="U1102" s="244"/>
      <c r="V1102" s="246"/>
      <c r="W1102" s="244"/>
      <c r="X1102" s="243"/>
      <c r="Y1102" s="244"/>
      <c r="Z1102" s="243"/>
      <c r="AA1102" s="243"/>
      <c r="AB1102" s="243"/>
    </row>
    <row r="1103">
      <c r="A1103" s="243"/>
      <c r="B1103" s="244"/>
      <c r="C1103" s="243"/>
      <c r="D1103" s="243"/>
      <c r="E1103" s="243"/>
      <c r="F1103" s="243"/>
      <c r="G1103" s="243"/>
      <c r="H1103" s="245"/>
      <c r="I1103" s="245"/>
      <c r="J1103" s="243"/>
      <c r="K1103" s="243"/>
      <c r="L1103" s="243"/>
      <c r="M1103" s="243"/>
      <c r="N1103" s="243"/>
      <c r="O1103" s="244"/>
      <c r="P1103" s="243"/>
      <c r="Q1103" s="244"/>
      <c r="R1103" s="243"/>
      <c r="S1103" s="244"/>
      <c r="T1103" s="243"/>
      <c r="U1103" s="244"/>
      <c r="V1103" s="246"/>
      <c r="W1103" s="244"/>
      <c r="X1103" s="243"/>
      <c r="Y1103" s="244"/>
      <c r="Z1103" s="243"/>
      <c r="AA1103" s="243"/>
      <c r="AB1103" s="243"/>
    </row>
    <row r="1104">
      <c r="A1104" s="243"/>
      <c r="B1104" s="244"/>
      <c r="C1104" s="243"/>
      <c r="D1104" s="243"/>
      <c r="E1104" s="243"/>
      <c r="F1104" s="243"/>
      <c r="G1104" s="243"/>
      <c r="H1104" s="245"/>
      <c r="I1104" s="245"/>
      <c r="J1104" s="243"/>
      <c r="K1104" s="243"/>
      <c r="L1104" s="243"/>
      <c r="M1104" s="243"/>
      <c r="N1104" s="243"/>
      <c r="O1104" s="244"/>
      <c r="P1104" s="243"/>
      <c r="Q1104" s="244"/>
      <c r="R1104" s="243"/>
      <c r="S1104" s="244"/>
      <c r="T1104" s="243"/>
      <c r="U1104" s="244"/>
      <c r="V1104" s="246"/>
      <c r="W1104" s="244"/>
      <c r="X1104" s="243"/>
      <c r="Y1104" s="244"/>
      <c r="Z1104" s="243"/>
      <c r="AA1104" s="243"/>
      <c r="AB1104" s="243"/>
    </row>
    <row r="1105">
      <c r="A1105" s="243"/>
      <c r="B1105" s="244"/>
      <c r="C1105" s="243"/>
      <c r="D1105" s="243"/>
      <c r="E1105" s="243"/>
      <c r="F1105" s="243"/>
      <c r="G1105" s="243"/>
      <c r="H1105" s="245"/>
      <c r="I1105" s="245"/>
      <c r="J1105" s="243"/>
      <c r="K1105" s="243"/>
      <c r="L1105" s="243"/>
      <c r="M1105" s="243"/>
      <c r="N1105" s="243"/>
      <c r="O1105" s="244"/>
      <c r="P1105" s="243"/>
      <c r="Q1105" s="244"/>
      <c r="R1105" s="243"/>
      <c r="S1105" s="244"/>
      <c r="T1105" s="243"/>
      <c r="U1105" s="244"/>
      <c r="V1105" s="246"/>
      <c r="W1105" s="244"/>
      <c r="X1105" s="243"/>
      <c r="Y1105" s="244"/>
      <c r="Z1105" s="243"/>
      <c r="AA1105" s="243"/>
      <c r="AB1105" s="243"/>
    </row>
    <row r="1106">
      <c r="A1106" s="243"/>
      <c r="B1106" s="244"/>
      <c r="C1106" s="243"/>
      <c r="D1106" s="243"/>
      <c r="E1106" s="243"/>
      <c r="F1106" s="243"/>
      <c r="G1106" s="243"/>
      <c r="H1106" s="245"/>
      <c r="I1106" s="245"/>
      <c r="J1106" s="243"/>
      <c r="K1106" s="243"/>
      <c r="L1106" s="243"/>
      <c r="M1106" s="243"/>
      <c r="N1106" s="243"/>
      <c r="O1106" s="244"/>
      <c r="P1106" s="243"/>
      <c r="Q1106" s="244"/>
      <c r="R1106" s="243"/>
      <c r="S1106" s="244"/>
      <c r="T1106" s="243"/>
      <c r="U1106" s="244"/>
      <c r="V1106" s="246"/>
      <c r="W1106" s="244"/>
      <c r="X1106" s="243"/>
      <c r="Y1106" s="244"/>
      <c r="Z1106" s="243"/>
      <c r="AA1106" s="243"/>
      <c r="AB1106" s="243"/>
    </row>
    <row r="1107">
      <c r="A1107" s="243"/>
      <c r="B1107" s="244"/>
      <c r="C1107" s="243"/>
      <c r="D1107" s="243"/>
      <c r="E1107" s="243"/>
      <c r="F1107" s="243"/>
      <c r="G1107" s="243"/>
      <c r="H1107" s="245"/>
      <c r="I1107" s="245"/>
      <c r="J1107" s="243"/>
      <c r="K1107" s="243"/>
      <c r="L1107" s="243"/>
      <c r="M1107" s="243"/>
      <c r="N1107" s="243"/>
      <c r="O1107" s="244"/>
      <c r="P1107" s="243"/>
      <c r="Q1107" s="244"/>
      <c r="R1107" s="243"/>
      <c r="S1107" s="244"/>
      <c r="T1107" s="243"/>
      <c r="U1107" s="244"/>
      <c r="V1107" s="246"/>
      <c r="W1107" s="244"/>
      <c r="X1107" s="243"/>
      <c r="Y1107" s="244"/>
      <c r="Z1107" s="243"/>
      <c r="AA1107" s="243"/>
      <c r="AB1107" s="243"/>
    </row>
    <row r="1108">
      <c r="A1108" s="243"/>
      <c r="B1108" s="244"/>
      <c r="C1108" s="243"/>
      <c r="D1108" s="243"/>
      <c r="E1108" s="243"/>
      <c r="F1108" s="243"/>
      <c r="G1108" s="243"/>
      <c r="H1108" s="245"/>
      <c r="I1108" s="245"/>
      <c r="J1108" s="243"/>
      <c r="K1108" s="243"/>
      <c r="L1108" s="243"/>
      <c r="M1108" s="243"/>
      <c r="N1108" s="243"/>
      <c r="O1108" s="244"/>
      <c r="P1108" s="243"/>
      <c r="Q1108" s="244"/>
      <c r="R1108" s="243"/>
      <c r="S1108" s="244"/>
      <c r="T1108" s="243"/>
      <c r="U1108" s="244"/>
      <c r="V1108" s="246"/>
      <c r="W1108" s="244"/>
      <c r="X1108" s="243"/>
      <c r="Y1108" s="244"/>
      <c r="Z1108" s="243"/>
      <c r="AA1108" s="243"/>
      <c r="AB1108" s="243"/>
    </row>
    <row r="1109">
      <c r="A1109" s="243"/>
      <c r="B1109" s="244"/>
      <c r="C1109" s="243"/>
      <c r="D1109" s="243"/>
      <c r="E1109" s="243"/>
      <c r="F1109" s="243"/>
      <c r="G1109" s="243"/>
      <c r="H1109" s="245"/>
      <c r="I1109" s="245"/>
      <c r="J1109" s="243"/>
      <c r="K1109" s="243"/>
      <c r="L1109" s="243"/>
      <c r="M1109" s="243"/>
      <c r="N1109" s="243"/>
      <c r="O1109" s="244"/>
      <c r="P1109" s="243"/>
      <c r="Q1109" s="244"/>
      <c r="R1109" s="243"/>
      <c r="S1109" s="244"/>
      <c r="T1109" s="243"/>
      <c r="U1109" s="244"/>
      <c r="V1109" s="246"/>
      <c r="W1109" s="244"/>
      <c r="X1109" s="243"/>
      <c r="Y1109" s="244"/>
      <c r="Z1109" s="243"/>
      <c r="AA1109" s="243"/>
      <c r="AB1109" s="243"/>
    </row>
    <row r="1110">
      <c r="A1110" s="243"/>
      <c r="B1110" s="244"/>
      <c r="C1110" s="243"/>
      <c r="D1110" s="243"/>
      <c r="E1110" s="243"/>
      <c r="F1110" s="243"/>
      <c r="G1110" s="243"/>
      <c r="H1110" s="245"/>
      <c r="I1110" s="245"/>
      <c r="J1110" s="243"/>
      <c r="K1110" s="243"/>
      <c r="L1110" s="243"/>
      <c r="M1110" s="243"/>
      <c r="N1110" s="243"/>
      <c r="O1110" s="244"/>
      <c r="P1110" s="243"/>
      <c r="Q1110" s="244"/>
      <c r="R1110" s="243"/>
      <c r="S1110" s="244"/>
      <c r="T1110" s="243"/>
      <c r="U1110" s="244"/>
      <c r="V1110" s="246"/>
      <c r="W1110" s="244"/>
      <c r="X1110" s="243"/>
      <c r="Y1110" s="244"/>
      <c r="Z1110" s="243"/>
      <c r="AA1110" s="243"/>
      <c r="AB1110" s="243"/>
    </row>
    <row r="1111">
      <c r="A1111" s="243"/>
      <c r="B1111" s="244"/>
      <c r="C1111" s="243"/>
      <c r="D1111" s="243"/>
      <c r="E1111" s="243"/>
      <c r="F1111" s="243"/>
      <c r="G1111" s="243"/>
      <c r="H1111" s="245"/>
      <c r="I1111" s="245"/>
      <c r="J1111" s="243"/>
      <c r="K1111" s="243"/>
      <c r="L1111" s="243"/>
      <c r="M1111" s="243"/>
      <c r="N1111" s="243"/>
      <c r="O1111" s="244"/>
      <c r="P1111" s="243"/>
      <c r="Q1111" s="244"/>
      <c r="R1111" s="243"/>
      <c r="S1111" s="244"/>
      <c r="T1111" s="243"/>
      <c r="U1111" s="244"/>
      <c r="V1111" s="246"/>
      <c r="W1111" s="244"/>
      <c r="X1111" s="243"/>
      <c r="Y1111" s="244"/>
      <c r="Z1111" s="243"/>
      <c r="AA1111" s="243"/>
      <c r="AB1111" s="243"/>
    </row>
    <row r="1112">
      <c r="A1112" s="243"/>
      <c r="B1112" s="244"/>
      <c r="C1112" s="243"/>
      <c r="D1112" s="243"/>
      <c r="E1112" s="243"/>
      <c r="F1112" s="243"/>
      <c r="G1112" s="243"/>
      <c r="H1112" s="245"/>
      <c r="I1112" s="245"/>
      <c r="J1112" s="243"/>
      <c r="K1112" s="243"/>
      <c r="L1112" s="243"/>
      <c r="M1112" s="243"/>
      <c r="N1112" s="243"/>
      <c r="O1112" s="244"/>
      <c r="P1112" s="243"/>
      <c r="Q1112" s="244"/>
      <c r="R1112" s="243"/>
      <c r="S1112" s="244"/>
      <c r="T1112" s="243"/>
      <c r="U1112" s="244"/>
      <c r="V1112" s="246"/>
      <c r="W1112" s="244"/>
      <c r="X1112" s="243"/>
      <c r="Y1112" s="244"/>
      <c r="Z1112" s="243"/>
      <c r="AA1112" s="243"/>
      <c r="AB1112" s="243"/>
    </row>
    <row r="1113">
      <c r="A1113" s="243"/>
      <c r="B1113" s="244"/>
      <c r="C1113" s="243"/>
      <c r="D1113" s="243"/>
      <c r="E1113" s="243"/>
      <c r="F1113" s="243"/>
      <c r="G1113" s="243"/>
      <c r="H1113" s="245"/>
      <c r="I1113" s="245"/>
      <c r="J1113" s="243"/>
      <c r="K1113" s="243"/>
      <c r="L1113" s="243"/>
      <c r="M1113" s="243"/>
      <c r="N1113" s="243"/>
      <c r="O1113" s="244"/>
      <c r="P1113" s="243"/>
      <c r="Q1113" s="244"/>
      <c r="R1113" s="243"/>
      <c r="S1113" s="244"/>
      <c r="T1113" s="243"/>
      <c r="U1113" s="244"/>
      <c r="V1113" s="246"/>
      <c r="W1113" s="244"/>
      <c r="X1113" s="243"/>
      <c r="Y1113" s="244"/>
      <c r="Z1113" s="243"/>
      <c r="AA1113" s="243"/>
      <c r="AB1113" s="243"/>
    </row>
    <row r="1114">
      <c r="A1114" s="243"/>
      <c r="B1114" s="244"/>
      <c r="C1114" s="243"/>
      <c r="D1114" s="243"/>
      <c r="E1114" s="243"/>
      <c r="F1114" s="243"/>
      <c r="G1114" s="243"/>
      <c r="H1114" s="245"/>
      <c r="I1114" s="245"/>
      <c r="J1114" s="243"/>
      <c r="K1114" s="243"/>
      <c r="L1114" s="243"/>
      <c r="M1114" s="243"/>
      <c r="N1114" s="243"/>
      <c r="O1114" s="244"/>
      <c r="P1114" s="243"/>
      <c r="Q1114" s="244"/>
      <c r="R1114" s="243"/>
      <c r="S1114" s="244"/>
      <c r="T1114" s="243"/>
      <c r="U1114" s="244"/>
      <c r="V1114" s="246"/>
      <c r="W1114" s="244"/>
      <c r="X1114" s="243"/>
      <c r="Y1114" s="244"/>
      <c r="Z1114" s="243"/>
      <c r="AA1114" s="243"/>
      <c r="AB1114" s="243"/>
    </row>
    <row r="1115">
      <c r="A1115" s="243"/>
      <c r="B1115" s="244"/>
      <c r="C1115" s="243"/>
      <c r="D1115" s="243"/>
      <c r="E1115" s="243"/>
      <c r="F1115" s="243"/>
      <c r="G1115" s="243"/>
      <c r="H1115" s="245"/>
      <c r="I1115" s="245"/>
      <c r="J1115" s="243"/>
      <c r="K1115" s="243"/>
      <c r="L1115" s="243"/>
      <c r="M1115" s="243"/>
      <c r="N1115" s="243"/>
      <c r="O1115" s="244"/>
      <c r="P1115" s="243"/>
      <c r="Q1115" s="244"/>
      <c r="R1115" s="243"/>
      <c r="S1115" s="244"/>
      <c r="T1115" s="243"/>
      <c r="U1115" s="244"/>
      <c r="V1115" s="246"/>
      <c r="W1115" s="244"/>
      <c r="X1115" s="243"/>
      <c r="Y1115" s="244"/>
      <c r="Z1115" s="243"/>
      <c r="AA1115" s="243"/>
      <c r="AB1115" s="243"/>
    </row>
    <row r="1116">
      <c r="A1116" s="243"/>
      <c r="B1116" s="244"/>
      <c r="C1116" s="243"/>
      <c r="D1116" s="243"/>
      <c r="E1116" s="243"/>
      <c r="F1116" s="243"/>
      <c r="G1116" s="243"/>
      <c r="H1116" s="245"/>
      <c r="I1116" s="245"/>
      <c r="J1116" s="243"/>
      <c r="K1116" s="243"/>
      <c r="L1116" s="243"/>
      <c r="M1116" s="243"/>
      <c r="N1116" s="243"/>
      <c r="O1116" s="244"/>
      <c r="P1116" s="243"/>
      <c r="Q1116" s="244"/>
      <c r="R1116" s="243"/>
      <c r="S1116" s="244"/>
      <c r="T1116" s="243"/>
      <c r="U1116" s="244"/>
      <c r="V1116" s="246"/>
      <c r="W1116" s="244"/>
      <c r="X1116" s="243"/>
      <c r="Y1116" s="244"/>
      <c r="Z1116" s="243"/>
      <c r="AA1116" s="243"/>
      <c r="AB1116" s="243"/>
    </row>
    <row r="1117">
      <c r="A1117" s="243"/>
      <c r="B1117" s="244"/>
      <c r="C1117" s="243"/>
      <c r="D1117" s="243"/>
      <c r="E1117" s="243"/>
      <c r="F1117" s="243"/>
      <c r="G1117" s="243"/>
      <c r="H1117" s="245"/>
      <c r="I1117" s="245"/>
      <c r="J1117" s="243"/>
      <c r="K1117" s="243"/>
      <c r="L1117" s="243"/>
      <c r="M1117" s="243"/>
      <c r="N1117" s="243"/>
      <c r="O1117" s="244"/>
      <c r="P1117" s="243"/>
      <c r="Q1117" s="244"/>
      <c r="R1117" s="243"/>
      <c r="S1117" s="244"/>
      <c r="T1117" s="243"/>
      <c r="U1117" s="244"/>
      <c r="V1117" s="246"/>
      <c r="W1117" s="244"/>
      <c r="X1117" s="243"/>
      <c r="Y1117" s="244"/>
      <c r="Z1117" s="243"/>
      <c r="AA1117" s="243"/>
      <c r="AB1117" s="243"/>
    </row>
    <row r="1118">
      <c r="A1118" s="243"/>
      <c r="B1118" s="244"/>
      <c r="C1118" s="243"/>
      <c r="D1118" s="243"/>
      <c r="E1118" s="243"/>
      <c r="F1118" s="243"/>
      <c r="G1118" s="243"/>
      <c r="H1118" s="245"/>
      <c r="I1118" s="245"/>
      <c r="J1118" s="243"/>
      <c r="K1118" s="243"/>
      <c r="L1118" s="243"/>
      <c r="M1118" s="243"/>
      <c r="N1118" s="243"/>
      <c r="O1118" s="244"/>
      <c r="P1118" s="243"/>
      <c r="Q1118" s="244"/>
      <c r="R1118" s="243"/>
      <c r="S1118" s="244"/>
      <c r="T1118" s="243"/>
      <c r="U1118" s="244"/>
      <c r="V1118" s="246"/>
      <c r="W1118" s="244"/>
      <c r="X1118" s="243"/>
      <c r="Y1118" s="244"/>
      <c r="Z1118" s="243"/>
      <c r="AA1118" s="243"/>
      <c r="AB1118" s="243"/>
    </row>
    <row r="1119">
      <c r="A1119" s="243"/>
      <c r="B1119" s="244"/>
      <c r="C1119" s="243"/>
      <c r="D1119" s="243"/>
      <c r="E1119" s="243"/>
      <c r="F1119" s="243"/>
      <c r="G1119" s="243"/>
      <c r="H1119" s="245"/>
      <c r="I1119" s="245"/>
      <c r="J1119" s="243"/>
      <c r="K1119" s="243"/>
      <c r="L1119" s="243"/>
      <c r="M1119" s="243"/>
      <c r="N1119" s="243"/>
      <c r="O1119" s="244"/>
      <c r="P1119" s="243"/>
      <c r="Q1119" s="244"/>
      <c r="R1119" s="243"/>
      <c r="S1119" s="244"/>
      <c r="T1119" s="243"/>
      <c r="U1119" s="244"/>
      <c r="V1119" s="246"/>
      <c r="W1119" s="244"/>
      <c r="X1119" s="243"/>
      <c r="Y1119" s="244"/>
      <c r="Z1119" s="243"/>
      <c r="AA1119" s="243"/>
      <c r="AB1119" s="243"/>
    </row>
    <row r="1120">
      <c r="A1120" s="243"/>
      <c r="B1120" s="244"/>
      <c r="C1120" s="243"/>
      <c r="D1120" s="243"/>
      <c r="E1120" s="243"/>
      <c r="F1120" s="243"/>
      <c r="G1120" s="243"/>
      <c r="H1120" s="245"/>
      <c r="I1120" s="245"/>
      <c r="J1120" s="243"/>
      <c r="K1120" s="243"/>
      <c r="L1120" s="243"/>
      <c r="M1120" s="243"/>
      <c r="N1120" s="243"/>
      <c r="O1120" s="244"/>
      <c r="P1120" s="243"/>
      <c r="Q1120" s="244"/>
      <c r="R1120" s="243"/>
      <c r="S1120" s="244"/>
      <c r="T1120" s="243"/>
      <c r="U1120" s="244"/>
      <c r="V1120" s="246"/>
      <c r="W1120" s="244"/>
      <c r="X1120" s="243"/>
      <c r="Y1120" s="244"/>
      <c r="Z1120" s="243"/>
      <c r="AA1120" s="243"/>
      <c r="AB1120" s="243"/>
    </row>
    <row r="1121">
      <c r="A1121" s="243"/>
      <c r="B1121" s="244"/>
      <c r="C1121" s="243"/>
      <c r="D1121" s="243"/>
      <c r="E1121" s="243"/>
      <c r="F1121" s="243"/>
      <c r="G1121" s="243"/>
      <c r="H1121" s="245"/>
      <c r="I1121" s="245"/>
      <c r="J1121" s="243"/>
      <c r="K1121" s="243"/>
      <c r="L1121" s="243"/>
      <c r="M1121" s="243"/>
      <c r="N1121" s="243"/>
      <c r="O1121" s="244"/>
      <c r="P1121" s="243"/>
      <c r="Q1121" s="244"/>
      <c r="R1121" s="243"/>
      <c r="S1121" s="244"/>
      <c r="T1121" s="243"/>
      <c r="U1121" s="244"/>
      <c r="V1121" s="246"/>
      <c r="W1121" s="244"/>
      <c r="X1121" s="243"/>
      <c r="Y1121" s="244"/>
      <c r="Z1121" s="243"/>
      <c r="AA1121" s="243"/>
      <c r="AB1121" s="243"/>
    </row>
    <row r="1122">
      <c r="A1122" s="243"/>
      <c r="B1122" s="244"/>
      <c r="C1122" s="243"/>
      <c r="D1122" s="243"/>
      <c r="E1122" s="243"/>
      <c r="F1122" s="243"/>
      <c r="G1122" s="243"/>
      <c r="H1122" s="245"/>
      <c r="I1122" s="245"/>
      <c r="J1122" s="243"/>
      <c r="K1122" s="243"/>
      <c r="L1122" s="243"/>
      <c r="M1122" s="243"/>
      <c r="N1122" s="243"/>
      <c r="O1122" s="244"/>
      <c r="P1122" s="243"/>
      <c r="Q1122" s="244"/>
      <c r="R1122" s="243"/>
      <c r="S1122" s="244"/>
      <c r="T1122" s="243"/>
      <c r="U1122" s="244"/>
      <c r="V1122" s="246"/>
      <c r="W1122" s="244"/>
      <c r="X1122" s="243"/>
      <c r="Y1122" s="244"/>
      <c r="Z1122" s="243"/>
      <c r="AA1122" s="243"/>
      <c r="AB1122" s="243"/>
    </row>
    <row r="1123">
      <c r="A1123" s="243"/>
      <c r="B1123" s="244"/>
      <c r="C1123" s="243"/>
      <c r="D1123" s="243"/>
      <c r="E1123" s="243"/>
      <c r="F1123" s="243"/>
      <c r="G1123" s="243"/>
      <c r="H1123" s="245"/>
      <c r="I1123" s="245"/>
      <c r="J1123" s="243"/>
      <c r="K1123" s="243"/>
      <c r="L1123" s="243"/>
      <c r="M1123" s="243"/>
      <c r="N1123" s="243"/>
      <c r="O1123" s="244"/>
      <c r="P1123" s="243"/>
      <c r="Q1123" s="244"/>
      <c r="R1123" s="243"/>
      <c r="S1123" s="244"/>
      <c r="T1123" s="243"/>
      <c r="U1123" s="244"/>
      <c r="V1123" s="246"/>
      <c r="W1123" s="244"/>
      <c r="X1123" s="243"/>
      <c r="Y1123" s="244"/>
      <c r="Z1123" s="243"/>
      <c r="AA1123" s="243"/>
      <c r="AB1123" s="243"/>
    </row>
    <row r="1124">
      <c r="A1124" s="243"/>
      <c r="B1124" s="244"/>
      <c r="C1124" s="243"/>
      <c r="D1124" s="243"/>
      <c r="E1124" s="243"/>
      <c r="F1124" s="243"/>
      <c r="G1124" s="243"/>
      <c r="H1124" s="245"/>
      <c r="I1124" s="245"/>
      <c r="J1124" s="243"/>
      <c r="K1124" s="243"/>
      <c r="L1124" s="243"/>
      <c r="M1124" s="243"/>
      <c r="N1124" s="243"/>
      <c r="O1124" s="244"/>
      <c r="P1124" s="243"/>
      <c r="Q1124" s="244"/>
      <c r="R1124" s="243"/>
      <c r="S1124" s="244"/>
      <c r="T1124" s="243"/>
      <c r="U1124" s="244"/>
      <c r="V1124" s="246"/>
      <c r="W1124" s="244"/>
      <c r="X1124" s="243"/>
      <c r="Y1124" s="244"/>
      <c r="Z1124" s="243"/>
      <c r="AA1124" s="243"/>
      <c r="AB1124" s="243"/>
    </row>
    <row r="1125">
      <c r="A1125" s="243"/>
      <c r="B1125" s="244"/>
      <c r="C1125" s="243"/>
      <c r="D1125" s="243"/>
      <c r="E1125" s="243"/>
      <c r="F1125" s="243"/>
      <c r="G1125" s="243"/>
      <c r="H1125" s="245"/>
      <c r="I1125" s="245"/>
      <c r="J1125" s="243"/>
      <c r="K1125" s="243"/>
      <c r="L1125" s="243"/>
      <c r="M1125" s="243"/>
      <c r="N1125" s="243"/>
      <c r="O1125" s="244"/>
      <c r="P1125" s="243"/>
      <c r="Q1125" s="244"/>
      <c r="R1125" s="243"/>
      <c r="S1125" s="244"/>
      <c r="T1125" s="243"/>
      <c r="U1125" s="244"/>
      <c r="V1125" s="246"/>
      <c r="W1125" s="244"/>
      <c r="X1125" s="243"/>
      <c r="Y1125" s="244"/>
      <c r="Z1125" s="243"/>
      <c r="AA1125" s="243"/>
      <c r="AB1125" s="243"/>
    </row>
    <row r="1126">
      <c r="A1126" s="243"/>
      <c r="B1126" s="244"/>
      <c r="C1126" s="243"/>
      <c r="D1126" s="243"/>
      <c r="E1126" s="243"/>
      <c r="F1126" s="243"/>
      <c r="G1126" s="243"/>
      <c r="H1126" s="245"/>
      <c r="I1126" s="245"/>
      <c r="J1126" s="243"/>
      <c r="K1126" s="243"/>
      <c r="L1126" s="243"/>
      <c r="M1126" s="243"/>
      <c r="N1126" s="243"/>
      <c r="O1126" s="244"/>
      <c r="P1126" s="243"/>
      <c r="Q1126" s="244"/>
      <c r="R1126" s="243"/>
      <c r="S1126" s="244"/>
      <c r="T1126" s="243"/>
      <c r="U1126" s="244"/>
      <c r="V1126" s="246"/>
      <c r="W1126" s="244"/>
      <c r="X1126" s="243"/>
      <c r="Y1126" s="244"/>
      <c r="Z1126" s="243"/>
      <c r="AA1126" s="243"/>
      <c r="AB1126" s="243"/>
    </row>
    <row r="1127">
      <c r="A1127" s="243"/>
      <c r="B1127" s="244"/>
      <c r="C1127" s="243"/>
      <c r="D1127" s="243"/>
      <c r="E1127" s="243"/>
      <c r="F1127" s="243"/>
      <c r="G1127" s="243"/>
      <c r="H1127" s="245"/>
      <c r="I1127" s="245"/>
      <c r="J1127" s="243"/>
      <c r="K1127" s="243"/>
      <c r="L1127" s="243"/>
      <c r="M1127" s="243"/>
      <c r="N1127" s="243"/>
      <c r="O1127" s="244"/>
      <c r="P1127" s="243"/>
      <c r="Q1127" s="244"/>
      <c r="R1127" s="243"/>
      <c r="S1127" s="244"/>
      <c r="T1127" s="243"/>
      <c r="U1127" s="244"/>
      <c r="V1127" s="246"/>
      <c r="W1127" s="244"/>
      <c r="X1127" s="243"/>
      <c r="Y1127" s="244"/>
      <c r="Z1127" s="243"/>
      <c r="AA1127" s="243"/>
      <c r="AB1127" s="243"/>
    </row>
    <row r="1128">
      <c r="A1128" s="243"/>
      <c r="B1128" s="244"/>
      <c r="C1128" s="243"/>
      <c r="D1128" s="243"/>
      <c r="E1128" s="243"/>
      <c r="F1128" s="243"/>
      <c r="G1128" s="243"/>
      <c r="H1128" s="245"/>
      <c r="I1128" s="245"/>
      <c r="J1128" s="243"/>
      <c r="K1128" s="243"/>
      <c r="L1128" s="243"/>
      <c r="M1128" s="243"/>
      <c r="N1128" s="243"/>
      <c r="O1128" s="244"/>
      <c r="P1128" s="243"/>
      <c r="Q1128" s="244"/>
      <c r="R1128" s="243"/>
      <c r="S1128" s="244"/>
      <c r="T1128" s="243"/>
      <c r="U1128" s="244"/>
      <c r="V1128" s="246"/>
      <c r="W1128" s="244"/>
      <c r="X1128" s="243"/>
      <c r="Y1128" s="244"/>
      <c r="Z1128" s="243"/>
      <c r="AA1128" s="243"/>
      <c r="AB1128" s="243"/>
    </row>
    <row r="1129">
      <c r="A1129" s="243"/>
      <c r="B1129" s="244"/>
      <c r="C1129" s="243"/>
      <c r="D1129" s="243"/>
      <c r="E1129" s="243"/>
      <c r="F1129" s="243"/>
      <c r="G1129" s="243"/>
      <c r="H1129" s="245"/>
      <c r="I1129" s="245"/>
      <c r="J1129" s="243"/>
      <c r="K1129" s="243"/>
      <c r="L1129" s="243"/>
      <c r="M1129" s="243"/>
      <c r="N1129" s="243"/>
      <c r="O1129" s="244"/>
      <c r="P1129" s="243"/>
      <c r="Q1129" s="244"/>
      <c r="R1129" s="243"/>
      <c r="S1129" s="244"/>
      <c r="T1129" s="243"/>
      <c r="U1129" s="244"/>
      <c r="V1129" s="246"/>
      <c r="W1129" s="244"/>
      <c r="X1129" s="243"/>
      <c r="Y1129" s="244"/>
      <c r="Z1129" s="243"/>
      <c r="AA1129" s="243"/>
      <c r="AB1129" s="243"/>
    </row>
    <row r="1130">
      <c r="A1130" s="243"/>
      <c r="B1130" s="244"/>
      <c r="C1130" s="243"/>
      <c r="D1130" s="243"/>
      <c r="E1130" s="243"/>
      <c r="F1130" s="243"/>
      <c r="G1130" s="243"/>
      <c r="H1130" s="245"/>
      <c r="I1130" s="245"/>
      <c r="J1130" s="243"/>
      <c r="K1130" s="243"/>
      <c r="L1130" s="243"/>
      <c r="M1130" s="243"/>
      <c r="N1130" s="243"/>
      <c r="O1130" s="244"/>
      <c r="P1130" s="243"/>
      <c r="Q1130" s="244"/>
      <c r="R1130" s="243"/>
      <c r="S1130" s="244"/>
      <c r="T1130" s="243"/>
      <c r="U1130" s="244"/>
      <c r="V1130" s="246"/>
      <c r="W1130" s="244"/>
      <c r="X1130" s="243"/>
      <c r="Y1130" s="244"/>
      <c r="Z1130" s="243"/>
      <c r="AA1130" s="243"/>
      <c r="AB1130" s="243"/>
    </row>
    <row r="1131">
      <c r="A1131" s="243"/>
      <c r="B1131" s="244"/>
      <c r="C1131" s="243"/>
      <c r="D1131" s="243"/>
      <c r="E1131" s="243"/>
      <c r="F1131" s="243"/>
      <c r="G1131" s="243"/>
      <c r="H1131" s="245"/>
      <c r="I1131" s="245"/>
      <c r="J1131" s="243"/>
      <c r="K1131" s="243"/>
      <c r="L1131" s="243"/>
      <c r="M1131" s="243"/>
      <c r="N1131" s="243"/>
      <c r="O1131" s="244"/>
      <c r="P1131" s="243"/>
      <c r="Q1131" s="244"/>
      <c r="R1131" s="243"/>
      <c r="S1131" s="244"/>
      <c r="T1131" s="243"/>
      <c r="U1131" s="244"/>
      <c r="V1131" s="246"/>
      <c r="W1131" s="244"/>
      <c r="X1131" s="243"/>
      <c r="Y1131" s="244"/>
      <c r="Z1131" s="243"/>
      <c r="AA1131" s="243"/>
      <c r="AB1131" s="243"/>
    </row>
    <row r="1132">
      <c r="A1132" s="243"/>
      <c r="B1132" s="244"/>
      <c r="C1132" s="243"/>
      <c r="D1132" s="243"/>
      <c r="E1132" s="243"/>
      <c r="F1132" s="243"/>
      <c r="G1132" s="243"/>
      <c r="H1132" s="245"/>
      <c r="I1132" s="245"/>
      <c r="J1132" s="243"/>
      <c r="K1132" s="243"/>
      <c r="L1132" s="243"/>
      <c r="M1132" s="243"/>
      <c r="N1132" s="243"/>
      <c r="O1132" s="244"/>
      <c r="P1132" s="243"/>
      <c r="Q1132" s="244"/>
      <c r="R1132" s="243"/>
      <c r="S1132" s="244"/>
      <c r="T1132" s="243"/>
      <c r="U1132" s="244"/>
      <c r="V1132" s="246"/>
      <c r="W1132" s="244"/>
      <c r="X1132" s="243"/>
      <c r="Y1132" s="244"/>
      <c r="Z1132" s="243"/>
      <c r="AA1132" s="243"/>
      <c r="AB1132" s="243"/>
    </row>
    <row r="1133">
      <c r="A1133" s="243"/>
      <c r="B1133" s="244"/>
      <c r="C1133" s="243"/>
      <c r="D1133" s="243"/>
      <c r="E1133" s="243"/>
      <c r="F1133" s="243"/>
      <c r="G1133" s="243"/>
      <c r="H1133" s="245"/>
      <c r="I1133" s="245"/>
      <c r="J1133" s="243"/>
      <c r="K1133" s="243"/>
      <c r="L1133" s="243"/>
      <c r="M1133" s="243"/>
      <c r="N1133" s="243"/>
      <c r="O1133" s="244"/>
      <c r="P1133" s="243"/>
      <c r="Q1133" s="244"/>
      <c r="R1133" s="243"/>
      <c r="S1133" s="244"/>
      <c r="T1133" s="243"/>
      <c r="U1133" s="244"/>
      <c r="V1133" s="246"/>
      <c r="W1133" s="244"/>
      <c r="X1133" s="243"/>
      <c r="Y1133" s="244"/>
      <c r="Z1133" s="243"/>
      <c r="AA1133" s="243"/>
      <c r="AB1133" s="243"/>
    </row>
    <row r="1134">
      <c r="A1134" s="243"/>
      <c r="B1134" s="244"/>
      <c r="C1134" s="243"/>
      <c r="D1134" s="243"/>
      <c r="E1134" s="243"/>
      <c r="F1134" s="243"/>
      <c r="G1134" s="243"/>
      <c r="H1134" s="245"/>
      <c r="I1134" s="245"/>
      <c r="J1134" s="243"/>
      <c r="K1134" s="243"/>
      <c r="L1134" s="243"/>
      <c r="M1134" s="243"/>
      <c r="N1134" s="243"/>
      <c r="O1134" s="244"/>
      <c r="P1134" s="243"/>
      <c r="Q1134" s="244"/>
      <c r="R1134" s="243"/>
      <c r="S1134" s="244"/>
      <c r="T1134" s="243"/>
      <c r="U1134" s="244"/>
      <c r="V1134" s="246"/>
      <c r="W1134" s="244"/>
      <c r="X1134" s="243"/>
      <c r="Y1134" s="244"/>
      <c r="Z1134" s="243"/>
      <c r="AA1134" s="243"/>
      <c r="AB1134" s="243"/>
    </row>
    <row r="1135">
      <c r="A1135" s="243"/>
      <c r="B1135" s="244"/>
      <c r="C1135" s="243"/>
      <c r="D1135" s="243"/>
      <c r="E1135" s="243"/>
      <c r="F1135" s="243"/>
      <c r="G1135" s="243"/>
      <c r="H1135" s="245"/>
      <c r="I1135" s="245"/>
      <c r="J1135" s="243"/>
      <c r="K1135" s="243"/>
      <c r="L1135" s="243"/>
      <c r="M1135" s="243"/>
      <c r="N1135" s="243"/>
      <c r="O1135" s="244"/>
      <c r="P1135" s="243"/>
      <c r="Q1135" s="244"/>
      <c r="R1135" s="243"/>
      <c r="S1135" s="244"/>
      <c r="T1135" s="243"/>
      <c r="U1135" s="244"/>
      <c r="V1135" s="246"/>
      <c r="W1135" s="244"/>
      <c r="X1135" s="243"/>
      <c r="Y1135" s="244"/>
      <c r="Z1135" s="243"/>
      <c r="AA1135" s="243"/>
      <c r="AB1135" s="243"/>
    </row>
    <row r="1136">
      <c r="A1136" s="243"/>
      <c r="B1136" s="244"/>
      <c r="C1136" s="243"/>
      <c r="D1136" s="243"/>
      <c r="E1136" s="243"/>
      <c r="F1136" s="243"/>
      <c r="G1136" s="243"/>
      <c r="H1136" s="245"/>
      <c r="I1136" s="245"/>
      <c r="J1136" s="243"/>
      <c r="K1136" s="243"/>
      <c r="L1136" s="243"/>
      <c r="M1136" s="243"/>
      <c r="N1136" s="243"/>
      <c r="O1136" s="244"/>
      <c r="P1136" s="243"/>
      <c r="Q1136" s="244"/>
      <c r="R1136" s="243"/>
      <c r="S1136" s="244"/>
      <c r="T1136" s="243"/>
      <c r="U1136" s="244"/>
      <c r="V1136" s="246"/>
      <c r="W1136" s="244"/>
      <c r="X1136" s="243"/>
      <c r="Y1136" s="244"/>
      <c r="Z1136" s="243"/>
      <c r="AA1136" s="243"/>
      <c r="AB1136" s="243"/>
    </row>
    <row r="1137">
      <c r="A1137" s="243"/>
      <c r="B1137" s="244"/>
      <c r="C1137" s="243"/>
      <c r="D1137" s="243"/>
      <c r="E1137" s="243"/>
      <c r="F1137" s="243"/>
      <c r="G1137" s="243"/>
      <c r="H1137" s="245"/>
      <c r="I1137" s="245"/>
      <c r="J1137" s="243"/>
      <c r="K1137" s="243"/>
      <c r="L1137" s="243"/>
      <c r="M1137" s="243"/>
      <c r="N1137" s="243"/>
      <c r="O1137" s="244"/>
      <c r="P1137" s="243"/>
      <c r="Q1137" s="244"/>
      <c r="R1137" s="243"/>
      <c r="S1137" s="244"/>
      <c r="T1137" s="243"/>
      <c r="U1137" s="244"/>
      <c r="V1137" s="246"/>
      <c r="W1137" s="244"/>
      <c r="X1137" s="243"/>
      <c r="Y1137" s="244"/>
      <c r="Z1137" s="243"/>
      <c r="AA1137" s="243"/>
      <c r="AB1137" s="243"/>
    </row>
    <row r="1138">
      <c r="A1138" s="243"/>
      <c r="B1138" s="244"/>
      <c r="C1138" s="243"/>
      <c r="D1138" s="243"/>
      <c r="E1138" s="243"/>
      <c r="F1138" s="243"/>
      <c r="G1138" s="243"/>
      <c r="H1138" s="245"/>
      <c r="I1138" s="245"/>
      <c r="J1138" s="243"/>
      <c r="K1138" s="243"/>
      <c r="L1138" s="243"/>
      <c r="M1138" s="243"/>
      <c r="N1138" s="243"/>
      <c r="O1138" s="244"/>
      <c r="P1138" s="243"/>
      <c r="Q1138" s="244"/>
      <c r="R1138" s="243"/>
      <c r="S1138" s="244"/>
      <c r="T1138" s="243"/>
      <c r="U1138" s="244"/>
      <c r="V1138" s="246"/>
      <c r="W1138" s="244"/>
      <c r="X1138" s="243"/>
      <c r="Y1138" s="244"/>
      <c r="Z1138" s="243"/>
      <c r="AA1138" s="243"/>
      <c r="AB1138" s="243"/>
    </row>
    <row r="1139">
      <c r="A1139" s="243"/>
      <c r="B1139" s="244"/>
      <c r="C1139" s="243"/>
      <c r="D1139" s="243"/>
      <c r="E1139" s="243"/>
      <c r="F1139" s="243"/>
      <c r="G1139" s="243"/>
      <c r="H1139" s="245"/>
      <c r="I1139" s="245"/>
      <c r="J1139" s="243"/>
      <c r="K1139" s="243"/>
      <c r="L1139" s="243"/>
      <c r="M1139" s="243"/>
      <c r="N1139" s="243"/>
      <c r="O1139" s="244"/>
      <c r="P1139" s="243"/>
      <c r="Q1139" s="244"/>
      <c r="R1139" s="243"/>
      <c r="S1139" s="244"/>
      <c r="T1139" s="243"/>
      <c r="U1139" s="244"/>
      <c r="V1139" s="246"/>
      <c r="W1139" s="244"/>
      <c r="X1139" s="243"/>
      <c r="Y1139" s="244"/>
      <c r="Z1139" s="243"/>
      <c r="AA1139" s="243"/>
      <c r="AB1139" s="243"/>
    </row>
    <row r="1140">
      <c r="A1140" s="243"/>
      <c r="B1140" s="244"/>
      <c r="C1140" s="243"/>
      <c r="D1140" s="243"/>
      <c r="E1140" s="243"/>
      <c r="F1140" s="243"/>
      <c r="G1140" s="243"/>
      <c r="H1140" s="245"/>
      <c r="I1140" s="245"/>
      <c r="J1140" s="243"/>
      <c r="K1140" s="243"/>
      <c r="L1140" s="243"/>
      <c r="M1140" s="243"/>
      <c r="N1140" s="243"/>
      <c r="O1140" s="244"/>
      <c r="P1140" s="243"/>
      <c r="Q1140" s="244"/>
      <c r="R1140" s="243"/>
      <c r="S1140" s="244"/>
      <c r="T1140" s="243"/>
      <c r="U1140" s="244"/>
      <c r="V1140" s="246"/>
      <c r="W1140" s="244"/>
      <c r="X1140" s="243"/>
      <c r="Y1140" s="244"/>
      <c r="Z1140" s="243"/>
      <c r="AA1140" s="243"/>
      <c r="AB1140" s="243"/>
    </row>
    <row r="1141">
      <c r="A1141" s="243"/>
      <c r="B1141" s="244"/>
      <c r="C1141" s="243"/>
      <c r="D1141" s="243"/>
      <c r="E1141" s="243"/>
      <c r="F1141" s="243"/>
      <c r="G1141" s="243"/>
      <c r="H1141" s="245"/>
      <c r="I1141" s="245"/>
      <c r="J1141" s="243"/>
      <c r="K1141" s="243"/>
      <c r="L1141" s="243"/>
      <c r="M1141" s="243"/>
      <c r="N1141" s="243"/>
      <c r="O1141" s="244"/>
      <c r="P1141" s="243"/>
      <c r="Q1141" s="244"/>
      <c r="R1141" s="243"/>
      <c r="S1141" s="244"/>
      <c r="T1141" s="243"/>
      <c r="U1141" s="244"/>
      <c r="V1141" s="246"/>
      <c r="W1141" s="244"/>
      <c r="X1141" s="243"/>
      <c r="Y1141" s="244"/>
      <c r="Z1141" s="243"/>
      <c r="AA1141" s="243"/>
      <c r="AB1141" s="243"/>
    </row>
    <row r="1142">
      <c r="A1142" s="243"/>
      <c r="B1142" s="244"/>
      <c r="C1142" s="243"/>
      <c r="D1142" s="243"/>
      <c r="E1142" s="243"/>
      <c r="F1142" s="243"/>
      <c r="G1142" s="243"/>
      <c r="H1142" s="245"/>
      <c r="I1142" s="245"/>
      <c r="J1142" s="243"/>
      <c r="K1142" s="243"/>
      <c r="L1142" s="243"/>
      <c r="M1142" s="243"/>
      <c r="N1142" s="243"/>
      <c r="O1142" s="244"/>
      <c r="P1142" s="243"/>
      <c r="Q1142" s="244"/>
      <c r="R1142" s="243"/>
      <c r="S1142" s="244"/>
      <c r="T1142" s="243"/>
      <c r="U1142" s="244"/>
      <c r="V1142" s="246"/>
      <c r="W1142" s="244"/>
      <c r="X1142" s="243"/>
      <c r="Y1142" s="244"/>
      <c r="Z1142" s="243"/>
      <c r="AA1142" s="243"/>
      <c r="AB1142" s="243"/>
    </row>
    <row r="1143">
      <c r="A1143" s="243"/>
      <c r="B1143" s="244"/>
      <c r="C1143" s="243"/>
      <c r="D1143" s="243"/>
      <c r="E1143" s="243"/>
      <c r="F1143" s="243"/>
      <c r="G1143" s="243"/>
      <c r="H1143" s="245"/>
      <c r="I1143" s="245"/>
      <c r="J1143" s="243"/>
      <c r="K1143" s="243"/>
      <c r="L1143" s="243"/>
      <c r="M1143" s="243"/>
      <c r="N1143" s="243"/>
      <c r="O1143" s="244"/>
      <c r="P1143" s="243"/>
      <c r="Q1143" s="244"/>
      <c r="R1143" s="243"/>
      <c r="S1143" s="244"/>
      <c r="T1143" s="243"/>
      <c r="U1143" s="244"/>
      <c r="V1143" s="246"/>
      <c r="W1143" s="244"/>
      <c r="X1143" s="243"/>
      <c r="Y1143" s="244"/>
      <c r="Z1143" s="243"/>
      <c r="AA1143" s="243"/>
      <c r="AB1143" s="243"/>
    </row>
    <row r="1144">
      <c r="A1144" s="243"/>
      <c r="B1144" s="244"/>
      <c r="C1144" s="243"/>
      <c r="D1144" s="243"/>
      <c r="E1144" s="243"/>
      <c r="F1144" s="243"/>
      <c r="G1144" s="243"/>
      <c r="H1144" s="245"/>
      <c r="I1144" s="245"/>
      <c r="J1144" s="243"/>
      <c r="K1144" s="243"/>
      <c r="L1144" s="243"/>
      <c r="M1144" s="243"/>
      <c r="N1144" s="243"/>
      <c r="O1144" s="244"/>
      <c r="P1144" s="243"/>
      <c r="Q1144" s="244"/>
      <c r="R1144" s="243"/>
      <c r="S1144" s="244"/>
      <c r="T1144" s="243"/>
      <c r="U1144" s="244"/>
      <c r="V1144" s="246"/>
      <c r="W1144" s="244"/>
      <c r="X1144" s="243"/>
      <c r="Y1144" s="244"/>
      <c r="Z1144" s="243"/>
      <c r="AA1144" s="243"/>
      <c r="AB1144" s="243"/>
    </row>
    <row r="1145">
      <c r="A1145" s="243"/>
      <c r="B1145" s="244"/>
      <c r="C1145" s="243"/>
      <c r="D1145" s="243"/>
      <c r="E1145" s="243"/>
      <c r="F1145" s="243"/>
      <c r="G1145" s="243"/>
      <c r="H1145" s="245"/>
      <c r="I1145" s="245"/>
      <c r="J1145" s="243"/>
      <c r="K1145" s="243"/>
      <c r="L1145" s="243"/>
      <c r="M1145" s="243"/>
      <c r="N1145" s="243"/>
      <c r="O1145" s="244"/>
      <c r="P1145" s="243"/>
      <c r="Q1145" s="244"/>
      <c r="R1145" s="243"/>
      <c r="S1145" s="244"/>
      <c r="T1145" s="243"/>
      <c r="U1145" s="244"/>
      <c r="V1145" s="246"/>
      <c r="W1145" s="244"/>
      <c r="X1145" s="243"/>
      <c r="Y1145" s="244"/>
      <c r="Z1145" s="243"/>
      <c r="AA1145" s="243"/>
      <c r="AB1145" s="243"/>
    </row>
    <row r="1146">
      <c r="A1146" s="243"/>
      <c r="B1146" s="244"/>
      <c r="C1146" s="243"/>
      <c r="D1146" s="243"/>
      <c r="E1146" s="243"/>
      <c r="F1146" s="243"/>
      <c r="G1146" s="243"/>
      <c r="H1146" s="245"/>
      <c r="I1146" s="245"/>
      <c r="J1146" s="243"/>
      <c r="K1146" s="243"/>
      <c r="L1146" s="243"/>
      <c r="M1146" s="243"/>
      <c r="N1146" s="243"/>
      <c r="O1146" s="244"/>
      <c r="P1146" s="243"/>
      <c r="Q1146" s="244"/>
      <c r="R1146" s="243"/>
      <c r="S1146" s="244"/>
      <c r="T1146" s="243"/>
      <c r="U1146" s="244"/>
      <c r="V1146" s="246"/>
      <c r="W1146" s="244"/>
      <c r="X1146" s="243"/>
      <c r="Y1146" s="244"/>
      <c r="Z1146" s="243"/>
      <c r="AA1146" s="243"/>
      <c r="AB1146" s="243"/>
    </row>
    <row r="1147">
      <c r="A1147" s="243"/>
      <c r="B1147" s="244"/>
      <c r="C1147" s="243"/>
      <c r="D1147" s="243"/>
      <c r="E1147" s="243"/>
      <c r="F1147" s="243"/>
      <c r="G1147" s="243"/>
      <c r="H1147" s="245"/>
      <c r="I1147" s="245"/>
      <c r="J1147" s="243"/>
      <c r="K1147" s="243"/>
      <c r="L1147" s="243"/>
      <c r="M1147" s="243"/>
      <c r="N1147" s="243"/>
      <c r="O1147" s="244"/>
      <c r="P1147" s="243"/>
      <c r="Q1147" s="244"/>
      <c r="R1147" s="243"/>
      <c r="S1147" s="244"/>
      <c r="T1147" s="243"/>
      <c r="U1147" s="244"/>
      <c r="V1147" s="246"/>
      <c r="W1147" s="244"/>
      <c r="X1147" s="243"/>
      <c r="Y1147" s="244"/>
      <c r="Z1147" s="243"/>
      <c r="AA1147" s="243"/>
      <c r="AB1147" s="243"/>
    </row>
    <row r="1148">
      <c r="A1148" s="243"/>
      <c r="B1148" s="244"/>
      <c r="C1148" s="243"/>
      <c r="D1148" s="243"/>
      <c r="E1148" s="243"/>
      <c r="F1148" s="243"/>
      <c r="G1148" s="243"/>
      <c r="H1148" s="245"/>
      <c r="I1148" s="245"/>
      <c r="J1148" s="243"/>
      <c r="K1148" s="243"/>
      <c r="L1148" s="243"/>
      <c r="M1148" s="243"/>
      <c r="N1148" s="243"/>
      <c r="O1148" s="244"/>
      <c r="P1148" s="243"/>
      <c r="Q1148" s="244"/>
      <c r="R1148" s="243"/>
      <c r="S1148" s="244"/>
      <c r="T1148" s="243"/>
      <c r="U1148" s="244"/>
      <c r="V1148" s="246"/>
      <c r="W1148" s="244"/>
      <c r="X1148" s="243"/>
      <c r="Y1148" s="244"/>
      <c r="Z1148" s="243"/>
      <c r="AA1148" s="243"/>
      <c r="AB1148" s="243"/>
    </row>
    <row r="1149">
      <c r="A1149" s="243"/>
      <c r="B1149" s="244"/>
      <c r="C1149" s="243"/>
      <c r="D1149" s="243"/>
      <c r="E1149" s="243"/>
      <c r="F1149" s="243"/>
      <c r="G1149" s="243"/>
      <c r="H1149" s="245"/>
      <c r="I1149" s="245"/>
      <c r="J1149" s="243"/>
      <c r="K1149" s="243"/>
      <c r="L1149" s="243"/>
      <c r="M1149" s="243"/>
      <c r="N1149" s="243"/>
      <c r="O1149" s="244"/>
      <c r="P1149" s="243"/>
      <c r="Q1149" s="244"/>
      <c r="R1149" s="243"/>
      <c r="S1149" s="244"/>
      <c r="T1149" s="243"/>
      <c r="U1149" s="244"/>
      <c r="V1149" s="246"/>
      <c r="W1149" s="244"/>
      <c r="X1149" s="243"/>
      <c r="Y1149" s="244"/>
      <c r="Z1149" s="243"/>
      <c r="AA1149" s="243"/>
      <c r="AB1149" s="243"/>
    </row>
    <row r="1150">
      <c r="A1150" s="243"/>
      <c r="B1150" s="244"/>
      <c r="C1150" s="243"/>
      <c r="D1150" s="243"/>
      <c r="E1150" s="243"/>
      <c r="F1150" s="243"/>
      <c r="G1150" s="243"/>
      <c r="H1150" s="245"/>
      <c r="I1150" s="245"/>
      <c r="J1150" s="243"/>
      <c r="K1150" s="243"/>
      <c r="L1150" s="243"/>
      <c r="M1150" s="243"/>
      <c r="N1150" s="243"/>
      <c r="O1150" s="244"/>
      <c r="P1150" s="243"/>
      <c r="Q1150" s="244"/>
      <c r="R1150" s="243"/>
      <c r="S1150" s="244"/>
      <c r="T1150" s="243"/>
      <c r="U1150" s="244"/>
      <c r="V1150" s="246"/>
      <c r="W1150" s="244"/>
      <c r="X1150" s="243"/>
      <c r="Y1150" s="244"/>
      <c r="Z1150" s="243"/>
      <c r="AA1150" s="243"/>
      <c r="AB1150" s="243"/>
    </row>
    <row r="1151">
      <c r="A1151" s="243"/>
      <c r="B1151" s="244"/>
      <c r="C1151" s="243"/>
      <c r="D1151" s="243"/>
      <c r="E1151" s="243"/>
      <c r="F1151" s="243"/>
      <c r="G1151" s="243"/>
      <c r="H1151" s="245"/>
      <c r="I1151" s="245"/>
      <c r="J1151" s="243"/>
      <c r="K1151" s="243"/>
      <c r="L1151" s="243"/>
      <c r="M1151" s="243"/>
      <c r="N1151" s="243"/>
      <c r="O1151" s="244"/>
      <c r="P1151" s="243"/>
      <c r="Q1151" s="244"/>
      <c r="R1151" s="243"/>
      <c r="S1151" s="244"/>
      <c r="T1151" s="243"/>
      <c r="U1151" s="244"/>
      <c r="V1151" s="246"/>
      <c r="W1151" s="244"/>
      <c r="X1151" s="243"/>
      <c r="Y1151" s="244"/>
      <c r="Z1151" s="243"/>
      <c r="AA1151" s="243"/>
      <c r="AB1151" s="243"/>
    </row>
    <row r="1152">
      <c r="A1152" s="243"/>
      <c r="B1152" s="244"/>
      <c r="C1152" s="243"/>
      <c r="D1152" s="243"/>
      <c r="E1152" s="243"/>
      <c r="F1152" s="243"/>
      <c r="G1152" s="243"/>
      <c r="H1152" s="245"/>
      <c r="I1152" s="245"/>
      <c r="J1152" s="243"/>
      <c r="K1152" s="243"/>
      <c r="L1152" s="243"/>
      <c r="M1152" s="243"/>
      <c r="N1152" s="243"/>
      <c r="O1152" s="244"/>
      <c r="P1152" s="243"/>
      <c r="Q1152" s="244"/>
      <c r="R1152" s="243"/>
      <c r="S1152" s="244"/>
      <c r="T1152" s="243"/>
      <c r="U1152" s="244"/>
      <c r="V1152" s="246"/>
      <c r="W1152" s="244"/>
      <c r="X1152" s="243"/>
      <c r="Y1152" s="244"/>
      <c r="Z1152" s="243"/>
      <c r="AA1152" s="243"/>
      <c r="AB1152" s="243"/>
    </row>
    <row r="1153">
      <c r="A1153" s="243"/>
      <c r="B1153" s="244"/>
      <c r="C1153" s="243"/>
      <c r="D1153" s="243"/>
      <c r="E1153" s="243"/>
      <c r="F1153" s="243"/>
      <c r="G1153" s="243"/>
      <c r="H1153" s="245"/>
      <c r="I1153" s="245"/>
      <c r="J1153" s="243"/>
      <c r="K1153" s="243"/>
      <c r="L1153" s="243"/>
      <c r="M1153" s="243"/>
      <c r="N1153" s="243"/>
      <c r="O1153" s="244"/>
      <c r="P1153" s="243"/>
      <c r="Q1153" s="244"/>
      <c r="R1153" s="243"/>
      <c r="S1153" s="244"/>
      <c r="T1153" s="243"/>
      <c r="U1153" s="244"/>
      <c r="V1153" s="246"/>
      <c r="W1153" s="244"/>
      <c r="X1153" s="243"/>
      <c r="Y1153" s="244"/>
      <c r="Z1153" s="243"/>
      <c r="AA1153" s="243"/>
      <c r="AB1153" s="243"/>
    </row>
    <row r="1154">
      <c r="A1154" s="243"/>
      <c r="B1154" s="244"/>
      <c r="C1154" s="243"/>
      <c r="D1154" s="243"/>
      <c r="E1154" s="243"/>
      <c r="F1154" s="243"/>
      <c r="G1154" s="243"/>
      <c r="H1154" s="245"/>
      <c r="I1154" s="245"/>
      <c r="J1154" s="243"/>
      <c r="K1154" s="243"/>
      <c r="L1154" s="243"/>
      <c r="M1154" s="243"/>
      <c r="N1154" s="243"/>
      <c r="O1154" s="244"/>
      <c r="P1154" s="243"/>
      <c r="Q1154" s="244"/>
      <c r="R1154" s="243"/>
      <c r="S1154" s="244"/>
      <c r="T1154" s="243"/>
      <c r="U1154" s="244"/>
      <c r="V1154" s="246"/>
      <c r="W1154" s="244"/>
      <c r="X1154" s="243"/>
      <c r="Y1154" s="244"/>
      <c r="Z1154" s="243"/>
      <c r="AA1154" s="243"/>
      <c r="AB1154" s="243"/>
    </row>
    <row r="1155">
      <c r="A1155" s="243"/>
      <c r="B1155" s="244"/>
      <c r="C1155" s="243"/>
      <c r="D1155" s="243"/>
      <c r="E1155" s="243"/>
      <c r="F1155" s="243"/>
      <c r="G1155" s="243"/>
      <c r="H1155" s="245"/>
      <c r="I1155" s="245"/>
      <c r="J1155" s="243"/>
      <c r="K1155" s="243"/>
      <c r="L1155" s="243"/>
      <c r="M1155" s="243"/>
      <c r="N1155" s="243"/>
      <c r="O1155" s="244"/>
      <c r="P1155" s="243"/>
      <c r="Q1155" s="244"/>
      <c r="R1155" s="243"/>
      <c r="S1155" s="244"/>
      <c r="T1155" s="243"/>
      <c r="U1155" s="244"/>
      <c r="V1155" s="246"/>
      <c r="W1155" s="244"/>
      <c r="X1155" s="243"/>
      <c r="Y1155" s="244"/>
      <c r="Z1155" s="243"/>
      <c r="AA1155" s="243"/>
      <c r="AB1155" s="243"/>
    </row>
    <row r="1156">
      <c r="A1156" s="243"/>
      <c r="B1156" s="244"/>
      <c r="C1156" s="243"/>
      <c r="D1156" s="243"/>
      <c r="E1156" s="243"/>
      <c r="F1156" s="243"/>
      <c r="G1156" s="243"/>
      <c r="H1156" s="245"/>
      <c r="I1156" s="245"/>
      <c r="J1156" s="243"/>
      <c r="K1156" s="243"/>
      <c r="L1156" s="243"/>
      <c r="M1156" s="243"/>
      <c r="N1156" s="243"/>
      <c r="O1156" s="244"/>
      <c r="P1156" s="243"/>
      <c r="Q1156" s="244"/>
      <c r="R1156" s="243"/>
      <c r="S1156" s="244"/>
      <c r="T1156" s="243"/>
      <c r="U1156" s="244"/>
      <c r="V1156" s="246"/>
      <c r="W1156" s="244"/>
      <c r="X1156" s="243"/>
      <c r="Y1156" s="244"/>
      <c r="Z1156" s="243"/>
      <c r="AA1156" s="243"/>
      <c r="AB1156" s="243"/>
    </row>
    <row r="1157">
      <c r="A1157" s="243"/>
      <c r="B1157" s="244"/>
      <c r="C1157" s="243"/>
      <c r="D1157" s="243"/>
      <c r="E1157" s="243"/>
      <c r="F1157" s="243"/>
      <c r="G1157" s="243"/>
      <c r="H1157" s="245"/>
      <c r="I1157" s="245"/>
      <c r="J1157" s="243"/>
      <c r="K1157" s="243"/>
      <c r="L1157" s="243"/>
      <c r="M1157" s="243"/>
      <c r="N1157" s="243"/>
      <c r="O1157" s="244"/>
      <c r="P1157" s="243"/>
      <c r="Q1157" s="244"/>
      <c r="R1157" s="243"/>
      <c r="S1157" s="244"/>
      <c r="T1157" s="243"/>
      <c r="U1157" s="244"/>
      <c r="V1157" s="246"/>
      <c r="W1157" s="244"/>
      <c r="X1157" s="243"/>
      <c r="Y1157" s="244"/>
      <c r="Z1157" s="243"/>
      <c r="AA1157" s="243"/>
      <c r="AB1157" s="243"/>
    </row>
    <row r="1158">
      <c r="A1158" s="243"/>
      <c r="B1158" s="244"/>
      <c r="C1158" s="243"/>
      <c r="D1158" s="243"/>
      <c r="E1158" s="243"/>
      <c r="F1158" s="243"/>
      <c r="G1158" s="243"/>
      <c r="H1158" s="245"/>
      <c r="I1158" s="245"/>
      <c r="J1158" s="243"/>
      <c r="K1158" s="243"/>
      <c r="L1158" s="243"/>
      <c r="M1158" s="243"/>
      <c r="N1158" s="243"/>
      <c r="O1158" s="244"/>
      <c r="P1158" s="243"/>
      <c r="Q1158" s="244"/>
      <c r="R1158" s="243"/>
      <c r="S1158" s="244"/>
      <c r="T1158" s="243"/>
      <c r="U1158" s="244"/>
      <c r="V1158" s="246"/>
      <c r="W1158" s="244"/>
      <c r="X1158" s="243"/>
      <c r="Y1158" s="244"/>
      <c r="Z1158" s="243"/>
      <c r="AA1158" s="243"/>
      <c r="AB1158" s="243"/>
    </row>
    <row r="1159">
      <c r="A1159" s="243"/>
      <c r="B1159" s="244"/>
      <c r="C1159" s="243"/>
      <c r="D1159" s="243"/>
      <c r="E1159" s="243"/>
      <c r="F1159" s="243"/>
      <c r="G1159" s="243"/>
      <c r="H1159" s="245"/>
      <c r="I1159" s="245"/>
      <c r="J1159" s="243"/>
      <c r="K1159" s="243"/>
      <c r="L1159" s="243"/>
      <c r="M1159" s="243"/>
      <c r="N1159" s="243"/>
      <c r="O1159" s="244"/>
      <c r="P1159" s="243"/>
      <c r="Q1159" s="244"/>
      <c r="R1159" s="243"/>
      <c r="S1159" s="244"/>
      <c r="T1159" s="243"/>
      <c r="U1159" s="244"/>
      <c r="V1159" s="246"/>
      <c r="W1159" s="244"/>
      <c r="X1159" s="243"/>
      <c r="Y1159" s="244"/>
      <c r="Z1159" s="243"/>
      <c r="AA1159" s="243"/>
      <c r="AB1159" s="243"/>
    </row>
    <row r="1160">
      <c r="A1160" s="243"/>
      <c r="B1160" s="244"/>
      <c r="C1160" s="243"/>
      <c r="D1160" s="243"/>
      <c r="E1160" s="243"/>
      <c r="F1160" s="243"/>
      <c r="G1160" s="243"/>
      <c r="H1160" s="245"/>
      <c r="I1160" s="245"/>
      <c r="J1160" s="243"/>
      <c r="K1160" s="243"/>
      <c r="L1160" s="243"/>
      <c r="M1160" s="243"/>
      <c r="N1160" s="243"/>
      <c r="O1160" s="244"/>
      <c r="P1160" s="243"/>
      <c r="Q1160" s="244"/>
      <c r="R1160" s="243"/>
      <c r="S1160" s="244"/>
      <c r="T1160" s="243"/>
      <c r="U1160" s="244"/>
      <c r="V1160" s="246"/>
      <c r="W1160" s="244"/>
      <c r="X1160" s="243"/>
      <c r="Y1160" s="244"/>
      <c r="Z1160" s="243"/>
      <c r="AA1160" s="243"/>
      <c r="AB1160" s="243"/>
    </row>
    <row r="1161">
      <c r="A1161" s="243"/>
      <c r="B1161" s="244"/>
      <c r="C1161" s="243"/>
      <c r="D1161" s="243"/>
      <c r="E1161" s="243"/>
      <c r="F1161" s="243"/>
      <c r="G1161" s="243"/>
      <c r="H1161" s="245"/>
      <c r="I1161" s="245"/>
      <c r="J1161" s="243"/>
      <c r="K1161" s="243"/>
      <c r="L1161" s="243"/>
      <c r="M1161" s="243"/>
      <c r="N1161" s="243"/>
      <c r="O1161" s="244"/>
      <c r="P1161" s="243"/>
      <c r="Q1161" s="244"/>
      <c r="R1161" s="243"/>
      <c r="S1161" s="244"/>
      <c r="T1161" s="243"/>
      <c r="U1161" s="244"/>
      <c r="V1161" s="246"/>
      <c r="W1161" s="244"/>
      <c r="X1161" s="243"/>
      <c r="Y1161" s="244"/>
      <c r="Z1161" s="243"/>
      <c r="AA1161" s="243"/>
      <c r="AB1161" s="243"/>
    </row>
    <row r="1162">
      <c r="A1162" s="243"/>
      <c r="B1162" s="244"/>
      <c r="C1162" s="243"/>
      <c r="D1162" s="243"/>
      <c r="E1162" s="243"/>
      <c r="F1162" s="243"/>
      <c r="G1162" s="243"/>
      <c r="H1162" s="245"/>
      <c r="I1162" s="245"/>
      <c r="J1162" s="243"/>
      <c r="K1162" s="243"/>
      <c r="L1162" s="243"/>
      <c r="M1162" s="243"/>
      <c r="N1162" s="243"/>
      <c r="O1162" s="244"/>
      <c r="P1162" s="243"/>
      <c r="Q1162" s="244"/>
      <c r="R1162" s="243"/>
      <c r="S1162" s="244"/>
      <c r="T1162" s="243"/>
      <c r="U1162" s="244"/>
      <c r="V1162" s="246"/>
      <c r="W1162" s="244"/>
      <c r="X1162" s="243"/>
      <c r="Y1162" s="244"/>
      <c r="Z1162" s="243"/>
      <c r="AA1162" s="243"/>
      <c r="AB1162" s="243"/>
    </row>
    <row r="1163">
      <c r="A1163" s="243"/>
      <c r="B1163" s="244"/>
      <c r="C1163" s="243"/>
      <c r="D1163" s="243"/>
      <c r="E1163" s="243"/>
      <c r="F1163" s="243"/>
      <c r="G1163" s="243"/>
      <c r="H1163" s="245"/>
      <c r="I1163" s="245"/>
      <c r="J1163" s="243"/>
      <c r="K1163" s="243"/>
      <c r="L1163" s="243"/>
      <c r="M1163" s="243"/>
      <c r="N1163" s="243"/>
      <c r="O1163" s="244"/>
      <c r="P1163" s="243"/>
      <c r="Q1163" s="244"/>
      <c r="R1163" s="243"/>
      <c r="S1163" s="244"/>
      <c r="T1163" s="243"/>
      <c r="U1163" s="244"/>
      <c r="V1163" s="246"/>
      <c r="W1163" s="244"/>
      <c r="X1163" s="243"/>
      <c r="Y1163" s="244"/>
      <c r="Z1163" s="243"/>
      <c r="AA1163" s="243"/>
      <c r="AB1163" s="243"/>
    </row>
    <row r="1164">
      <c r="A1164" s="243"/>
      <c r="B1164" s="244"/>
      <c r="C1164" s="243"/>
      <c r="D1164" s="243"/>
      <c r="E1164" s="243"/>
      <c r="F1164" s="243"/>
      <c r="G1164" s="243"/>
      <c r="H1164" s="245"/>
      <c r="I1164" s="245"/>
      <c r="J1164" s="243"/>
      <c r="K1164" s="243"/>
      <c r="L1164" s="243"/>
      <c r="M1164" s="243"/>
      <c r="N1164" s="243"/>
      <c r="O1164" s="244"/>
      <c r="P1164" s="243"/>
      <c r="Q1164" s="244"/>
      <c r="R1164" s="243"/>
      <c r="S1164" s="244"/>
      <c r="T1164" s="243"/>
      <c r="U1164" s="244"/>
      <c r="V1164" s="246"/>
      <c r="W1164" s="244"/>
      <c r="X1164" s="243"/>
      <c r="Y1164" s="244"/>
      <c r="Z1164" s="243"/>
      <c r="AA1164" s="243"/>
      <c r="AB1164" s="243"/>
    </row>
    <row r="1165">
      <c r="A1165" s="243"/>
      <c r="B1165" s="244"/>
      <c r="C1165" s="243"/>
      <c r="D1165" s="243"/>
      <c r="E1165" s="243"/>
      <c r="F1165" s="243"/>
      <c r="G1165" s="243"/>
      <c r="H1165" s="245"/>
      <c r="I1165" s="245"/>
      <c r="J1165" s="243"/>
      <c r="K1165" s="243"/>
      <c r="L1165" s="243"/>
      <c r="M1165" s="243"/>
      <c r="N1165" s="243"/>
      <c r="O1165" s="244"/>
      <c r="P1165" s="243"/>
      <c r="Q1165" s="244"/>
      <c r="R1165" s="243"/>
      <c r="S1165" s="244"/>
      <c r="T1165" s="243"/>
      <c r="U1165" s="244"/>
      <c r="V1165" s="246"/>
      <c r="W1165" s="244"/>
      <c r="X1165" s="243"/>
      <c r="Y1165" s="244"/>
      <c r="Z1165" s="243"/>
      <c r="AA1165" s="243"/>
      <c r="AB1165" s="243"/>
    </row>
    <row r="1166">
      <c r="A1166" s="243"/>
      <c r="B1166" s="244"/>
      <c r="C1166" s="243"/>
      <c r="D1166" s="243"/>
      <c r="E1166" s="243"/>
      <c r="F1166" s="243"/>
      <c r="G1166" s="243"/>
      <c r="H1166" s="245"/>
      <c r="I1166" s="245"/>
      <c r="J1166" s="243"/>
      <c r="K1166" s="243"/>
      <c r="L1166" s="243"/>
      <c r="M1166" s="243"/>
      <c r="N1166" s="243"/>
      <c r="O1166" s="244"/>
      <c r="P1166" s="243"/>
      <c r="Q1166" s="244"/>
      <c r="R1166" s="243"/>
      <c r="S1166" s="244"/>
      <c r="T1166" s="243"/>
      <c r="U1166" s="244"/>
      <c r="V1166" s="246"/>
      <c r="W1166" s="244"/>
      <c r="X1166" s="243"/>
      <c r="Y1166" s="244"/>
      <c r="Z1166" s="243"/>
      <c r="AA1166" s="243"/>
      <c r="AB1166" s="243"/>
    </row>
    <row r="1167">
      <c r="A1167" s="243"/>
      <c r="B1167" s="244"/>
      <c r="C1167" s="243"/>
      <c r="D1167" s="243"/>
      <c r="E1167" s="243"/>
      <c r="F1167" s="243"/>
      <c r="G1167" s="243"/>
      <c r="H1167" s="245"/>
      <c r="I1167" s="245"/>
      <c r="J1167" s="243"/>
      <c r="K1167" s="243"/>
      <c r="L1167" s="243"/>
      <c r="M1167" s="243"/>
      <c r="N1167" s="243"/>
      <c r="O1167" s="244"/>
      <c r="P1167" s="243"/>
      <c r="Q1167" s="244"/>
      <c r="R1167" s="243"/>
      <c r="S1167" s="244"/>
      <c r="T1167" s="243"/>
      <c r="U1167" s="244"/>
      <c r="V1167" s="246"/>
      <c r="W1167" s="244"/>
      <c r="X1167" s="243"/>
      <c r="Y1167" s="244"/>
      <c r="Z1167" s="243"/>
      <c r="AA1167" s="243"/>
      <c r="AB1167" s="243"/>
    </row>
    <row r="1168">
      <c r="A1168" s="243"/>
      <c r="B1168" s="244"/>
      <c r="C1168" s="243"/>
      <c r="D1168" s="243"/>
      <c r="E1168" s="243"/>
      <c r="F1168" s="243"/>
      <c r="G1168" s="243"/>
      <c r="H1168" s="245"/>
      <c r="I1168" s="245"/>
      <c r="J1168" s="243"/>
      <c r="K1168" s="243"/>
      <c r="L1168" s="243"/>
      <c r="M1168" s="243"/>
      <c r="N1168" s="243"/>
      <c r="O1168" s="244"/>
      <c r="P1168" s="243"/>
      <c r="Q1168" s="244"/>
      <c r="R1168" s="243"/>
      <c r="S1168" s="244"/>
      <c r="T1168" s="243"/>
      <c r="U1168" s="244"/>
      <c r="V1168" s="246"/>
      <c r="W1168" s="244"/>
      <c r="X1168" s="243"/>
      <c r="Y1168" s="244"/>
      <c r="Z1168" s="243"/>
      <c r="AA1168" s="243"/>
      <c r="AB1168" s="243"/>
    </row>
    <row r="1169">
      <c r="A1169" s="243"/>
      <c r="B1169" s="244"/>
      <c r="C1169" s="243"/>
      <c r="D1169" s="243"/>
      <c r="E1169" s="243"/>
      <c r="F1169" s="243"/>
      <c r="G1169" s="243"/>
      <c r="H1169" s="245"/>
      <c r="I1169" s="245"/>
      <c r="J1169" s="243"/>
      <c r="K1169" s="243"/>
      <c r="L1169" s="243"/>
      <c r="M1169" s="243"/>
      <c r="N1169" s="243"/>
      <c r="O1169" s="244"/>
      <c r="P1169" s="243"/>
      <c r="Q1169" s="244"/>
      <c r="R1169" s="243"/>
      <c r="S1169" s="244"/>
      <c r="T1169" s="243"/>
      <c r="U1169" s="244"/>
      <c r="V1169" s="246"/>
      <c r="W1169" s="244"/>
      <c r="X1169" s="243"/>
      <c r="Y1169" s="244"/>
      <c r="Z1169" s="243"/>
      <c r="AA1169" s="243"/>
      <c r="AB1169" s="243"/>
    </row>
    <row r="1170">
      <c r="A1170" s="243"/>
      <c r="B1170" s="244"/>
      <c r="C1170" s="243"/>
      <c r="D1170" s="243"/>
      <c r="E1170" s="243"/>
      <c r="F1170" s="243"/>
      <c r="G1170" s="243"/>
      <c r="H1170" s="245"/>
      <c r="I1170" s="245"/>
      <c r="J1170" s="243"/>
      <c r="K1170" s="243"/>
      <c r="L1170" s="243"/>
      <c r="M1170" s="243"/>
      <c r="N1170" s="243"/>
      <c r="O1170" s="244"/>
      <c r="P1170" s="243"/>
      <c r="Q1170" s="244"/>
      <c r="R1170" s="243"/>
      <c r="S1170" s="244"/>
      <c r="T1170" s="243"/>
      <c r="U1170" s="244"/>
      <c r="V1170" s="246"/>
      <c r="W1170" s="244"/>
      <c r="X1170" s="243"/>
      <c r="Y1170" s="244"/>
      <c r="Z1170" s="243"/>
      <c r="AA1170" s="243"/>
      <c r="AB1170" s="243"/>
    </row>
    <row r="1171">
      <c r="A1171" s="243"/>
      <c r="B1171" s="244"/>
      <c r="C1171" s="243"/>
      <c r="D1171" s="243"/>
      <c r="E1171" s="243"/>
      <c r="F1171" s="243"/>
      <c r="G1171" s="243"/>
      <c r="H1171" s="245"/>
      <c r="I1171" s="245"/>
      <c r="J1171" s="243"/>
      <c r="K1171" s="243"/>
      <c r="L1171" s="243"/>
      <c r="M1171" s="243"/>
      <c r="N1171" s="243"/>
      <c r="O1171" s="244"/>
      <c r="P1171" s="243"/>
      <c r="Q1171" s="244"/>
      <c r="R1171" s="243"/>
      <c r="S1171" s="244"/>
      <c r="T1171" s="243"/>
      <c r="U1171" s="244"/>
      <c r="V1171" s="246"/>
      <c r="W1171" s="244"/>
      <c r="X1171" s="243"/>
      <c r="Y1171" s="244"/>
      <c r="Z1171" s="243"/>
      <c r="AA1171" s="243"/>
      <c r="AB1171" s="243"/>
    </row>
    <row r="1172">
      <c r="A1172" s="243"/>
      <c r="B1172" s="244"/>
      <c r="C1172" s="243"/>
      <c r="D1172" s="243"/>
      <c r="E1172" s="243"/>
      <c r="F1172" s="243"/>
      <c r="G1172" s="243"/>
      <c r="H1172" s="245"/>
      <c r="I1172" s="245"/>
      <c r="J1172" s="243"/>
      <c r="K1172" s="243"/>
      <c r="L1172" s="243"/>
      <c r="M1172" s="243"/>
      <c r="N1172" s="243"/>
      <c r="O1172" s="244"/>
      <c r="P1172" s="243"/>
      <c r="Q1172" s="244"/>
      <c r="R1172" s="243"/>
      <c r="S1172" s="244"/>
      <c r="T1172" s="243"/>
      <c r="U1172" s="244"/>
      <c r="V1172" s="246"/>
      <c r="W1172" s="244"/>
      <c r="X1172" s="243"/>
      <c r="Y1172" s="244"/>
      <c r="Z1172" s="243"/>
      <c r="AA1172" s="243"/>
      <c r="AB1172" s="243"/>
    </row>
    <row r="1173">
      <c r="A1173" s="243"/>
      <c r="B1173" s="244"/>
      <c r="C1173" s="243"/>
      <c r="D1173" s="243"/>
      <c r="E1173" s="243"/>
      <c r="F1173" s="243"/>
      <c r="G1173" s="243"/>
      <c r="H1173" s="245"/>
      <c r="I1173" s="245"/>
      <c r="J1173" s="243"/>
      <c r="K1173" s="243"/>
      <c r="L1173" s="243"/>
      <c r="M1173" s="243"/>
      <c r="N1173" s="243"/>
      <c r="O1173" s="244"/>
      <c r="P1173" s="243"/>
      <c r="Q1173" s="244"/>
      <c r="R1173" s="243"/>
      <c r="S1173" s="244"/>
      <c r="T1173" s="243"/>
      <c r="U1173" s="244"/>
      <c r="V1173" s="246"/>
      <c r="W1173" s="244"/>
      <c r="X1173" s="243"/>
      <c r="Y1173" s="244"/>
      <c r="Z1173" s="243"/>
      <c r="AA1173" s="243"/>
      <c r="AB1173" s="243"/>
    </row>
    <row r="1174">
      <c r="A1174" s="243"/>
      <c r="B1174" s="244"/>
      <c r="C1174" s="243"/>
      <c r="D1174" s="243"/>
      <c r="E1174" s="243"/>
      <c r="F1174" s="243"/>
      <c r="G1174" s="243"/>
      <c r="H1174" s="245"/>
      <c r="I1174" s="245"/>
      <c r="J1174" s="243"/>
      <c r="K1174" s="243"/>
      <c r="L1174" s="243"/>
      <c r="M1174" s="243"/>
      <c r="N1174" s="243"/>
      <c r="O1174" s="244"/>
      <c r="P1174" s="243"/>
      <c r="Q1174" s="244"/>
      <c r="R1174" s="243"/>
      <c r="S1174" s="244"/>
      <c r="T1174" s="243"/>
      <c r="U1174" s="244"/>
      <c r="V1174" s="246"/>
      <c r="W1174" s="244"/>
      <c r="X1174" s="243"/>
      <c r="Y1174" s="244"/>
      <c r="Z1174" s="243"/>
      <c r="AA1174" s="243"/>
      <c r="AB1174" s="243"/>
    </row>
    <row r="1175">
      <c r="A1175" s="243"/>
      <c r="B1175" s="244"/>
      <c r="C1175" s="243"/>
      <c r="D1175" s="243"/>
      <c r="E1175" s="243"/>
      <c r="F1175" s="243"/>
      <c r="G1175" s="243"/>
      <c r="H1175" s="245"/>
      <c r="I1175" s="245"/>
      <c r="J1175" s="243"/>
      <c r="K1175" s="243"/>
      <c r="L1175" s="243"/>
      <c r="M1175" s="243"/>
      <c r="N1175" s="243"/>
      <c r="O1175" s="244"/>
      <c r="P1175" s="243"/>
      <c r="Q1175" s="244"/>
      <c r="R1175" s="243"/>
      <c r="S1175" s="244"/>
      <c r="T1175" s="243"/>
      <c r="U1175" s="244"/>
      <c r="V1175" s="246"/>
      <c r="W1175" s="244"/>
      <c r="X1175" s="243"/>
      <c r="Y1175" s="244"/>
      <c r="Z1175" s="243"/>
      <c r="AA1175" s="243"/>
      <c r="AB1175" s="243"/>
    </row>
    <row r="1176">
      <c r="A1176" s="243"/>
      <c r="B1176" s="244"/>
      <c r="C1176" s="243"/>
      <c r="D1176" s="243"/>
      <c r="E1176" s="243"/>
      <c r="F1176" s="243"/>
      <c r="G1176" s="243"/>
      <c r="H1176" s="245"/>
      <c r="I1176" s="245"/>
      <c r="J1176" s="243"/>
      <c r="K1176" s="243"/>
      <c r="L1176" s="243"/>
      <c r="M1176" s="243"/>
      <c r="N1176" s="243"/>
      <c r="O1176" s="244"/>
      <c r="P1176" s="243"/>
      <c r="Q1176" s="244"/>
      <c r="R1176" s="243"/>
      <c r="S1176" s="244"/>
      <c r="T1176" s="243"/>
      <c r="U1176" s="244"/>
      <c r="V1176" s="246"/>
      <c r="W1176" s="244"/>
      <c r="X1176" s="243"/>
      <c r="Y1176" s="244"/>
      <c r="Z1176" s="243"/>
      <c r="AA1176" s="243"/>
      <c r="AB1176" s="243"/>
    </row>
    <row r="1177">
      <c r="A1177" s="243"/>
      <c r="B1177" s="244"/>
      <c r="C1177" s="243"/>
      <c r="D1177" s="243"/>
      <c r="E1177" s="243"/>
      <c r="F1177" s="243"/>
      <c r="G1177" s="243"/>
      <c r="H1177" s="245"/>
      <c r="I1177" s="245"/>
      <c r="J1177" s="243"/>
      <c r="K1177" s="243"/>
      <c r="L1177" s="243"/>
      <c r="M1177" s="243"/>
      <c r="N1177" s="243"/>
      <c r="O1177" s="244"/>
      <c r="P1177" s="243"/>
      <c r="Q1177" s="244"/>
      <c r="R1177" s="243"/>
      <c r="S1177" s="244"/>
      <c r="T1177" s="243"/>
      <c r="U1177" s="244"/>
      <c r="V1177" s="246"/>
      <c r="W1177" s="244"/>
      <c r="X1177" s="243"/>
      <c r="Y1177" s="244"/>
      <c r="Z1177" s="243"/>
      <c r="AA1177" s="243"/>
      <c r="AB1177" s="243"/>
    </row>
    <row r="1178">
      <c r="A1178" s="243"/>
      <c r="B1178" s="244"/>
      <c r="C1178" s="243"/>
      <c r="D1178" s="243"/>
      <c r="E1178" s="243"/>
      <c r="F1178" s="243"/>
      <c r="G1178" s="243"/>
      <c r="H1178" s="245"/>
      <c r="I1178" s="245"/>
      <c r="J1178" s="243"/>
      <c r="K1178" s="243"/>
      <c r="L1178" s="243"/>
      <c r="M1178" s="243"/>
      <c r="N1178" s="243"/>
      <c r="O1178" s="244"/>
      <c r="P1178" s="243"/>
      <c r="Q1178" s="244"/>
      <c r="R1178" s="243"/>
      <c r="S1178" s="244"/>
      <c r="T1178" s="243"/>
      <c r="U1178" s="244"/>
      <c r="V1178" s="246"/>
      <c r="W1178" s="244"/>
      <c r="X1178" s="243"/>
      <c r="Y1178" s="244"/>
      <c r="Z1178" s="243"/>
      <c r="AA1178" s="243"/>
      <c r="AB1178" s="243"/>
    </row>
    <row r="1179">
      <c r="A1179" s="243"/>
      <c r="B1179" s="244"/>
      <c r="C1179" s="243"/>
      <c r="D1179" s="243"/>
      <c r="E1179" s="243"/>
      <c r="F1179" s="243"/>
      <c r="G1179" s="243"/>
      <c r="H1179" s="245"/>
      <c r="I1179" s="245"/>
      <c r="J1179" s="243"/>
      <c r="K1179" s="243"/>
      <c r="L1179" s="243"/>
      <c r="M1179" s="243"/>
      <c r="N1179" s="243"/>
      <c r="O1179" s="244"/>
      <c r="P1179" s="243"/>
      <c r="Q1179" s="244"/>
      <c r="R1179" s="243"/>
      <c r="S1179" s="244"/>
      <c r="T1179" s="243"/>
      <c r="U1179" s="244"/>
      <c r="V1179" s="246"/>
      <c r="W1179" s="244"/>
      <c r="X1179" s="243"/>
      <c r="Y1179" s="244"/>
      <c r="Z1179" s="243"/>
      <c r="AA1179" s="243"/>
      <c r="AB1179" s="243"/>
    </row>
    <row r="1180">
      <c r="A1180" s="243"/>
      <c r="B1180" s="244"/>
      <c r="C1180" s="243"/>
      <c r="D1180" s="243"/>
      <c r="E1180" s="243"/>
      <c r="F1180" s="243"/>
      <c r="G1180" s="243"/>
      <c r="H1180" s="245"/>
      <c r="I1180" s="245"/>
      <c r="J1180" s="243"/>
      <c r="K1180" s="243"/>
      <c r="L1180" s="243"/>
      <c r="M1180" s="243"/>
      <c r="N1180" s="243"/>
      <c r="O1180" s="244"/>
      <c r="P1180" s="243"/>
      <c r="Q1180" s="244"/>
      <c r="R1180" s="243"/>
      <c r="S1180" s="244"/>
      <c r="T1180" s="243"/>
      <c r="U1180" s="244"/>
      <c r="V1180" s="246"/>
      <c r="W1180" s="244"/>
      <c r="X1180" s="243"/>
      <c r="Y1180" s="244"/>
      <c r="Z1180" s="243"/>
      <c r="AA1180" s="243"/>
      <c r="AB1180" s="243"/>
    </row>
    <row r="1181">
      <c r="A1181" s="243"/>
      <c r="B1181" s="244"/>
      <c r="C1181" s="243"/>
      <c r="D1181" s="243"/>
      <c r="E1181" s="243"/>
      <c r="F1181" s="243"/>
      <c r="G1181" s="243"/>
      <c r="H1181" s="245"/>
      <c r="I1181" s="245"/>
      <c r="J1181" s="243"/>
      <c r="K1181" s="243"/>
      <c r="L1181" s="243"/>
      <c r="M1181" s="243"/>
      <c r="N1181" s="243"/>
      <c r="O1181" s="244"/>
      <c r="P1181" s="243"/>
      <c r="Q1181" s="244"/>
      <c r="R1181" s="243"/>
      <c r="S1181" s="244"/>
      <c r="T1181" s="243"/>
      <c r="U1181" s="244"/>
      <c r="V1181" s="246"/>
      <c r="W1181" s="244"/>
      <c r="X1181" s="243"/>
      <c r="Y1181" s="244"/>
      <c r="Z1181" s="243"/>
      <c r="AA1181" s="243"/>
      <c r="AB1181" s="243"/>
    </row>
    <row r="1182">
      <c r="A1182" s="243"/>
      <c r="B1182" s="244"/>
      <c r="C1182" s="243"/>
      <c r="D1182" s="243"/>
      <c r="E1182" s="243"/>
      <c r="F1182" s="243"/>
      <c r="G1182" s="243"/>
      <c r="H1182" s="245"/>
      <c r="I1182" s="245"/>
      <c r="J1182" s="243"/>
      <c r="K1182" s="243"/>
      <c r="L1182" s="243"/>
      <c r="M1182" s="243"/>
      <c r="N1182" s="243"/>
      <c r="O1182" s="244"/>
      <c r="P1182" s="243"/>
      <c r="Q1182" s="244"/>
      <c r="R1182" s="243"/>
      <c r="S1182" s="244"/>
      <c r="T1182" s="243"/>
      <c r="U1182" s="244"/>
      <c r="V1182" s="246"/>
      <c r="W1182" s="244"/>
      <c r="X1182" s="243"/>
      <c r="Y1182" s="244"/>
      <c r="Z1182" s="243"/>
      <c r="AA1182" s="243"/>
      <c r="AB1182" s="243"/>
    </row>
    <row r="1183">
      <c r="A1183" s="243"/>
      <c r="B1183" s="244"/>
      <c r="C1183" s="243"/>
      <c r="D1183" s="243"/>
      <c r="E1183" s="243"/>
      <c r="F1183" s="243"/>
      <c r="G1183" s="243"/>
      <c r="H1183" s="245"/>
      <c r="I1183" s="245"/>
      <c r="J1183" s="243"/>
      <c r="K1183" s="243"/>
      <c r="L1183" s="243"/>
      <c r="M1183" s="243"/>
      <c r="N1183" s="243"/>
      <c r="O1183" s="244"/>
      <c r="P1183" s="243"/>
      <c r="Q1183" s="244"/>
      <c r="R1183" s="243"/>
      <c r="S1183" s="244"/>
      <c r="T1183" s="243"/>
      <c r="U1183" s="244"/>
      <c r="V1183" s="246"/>
      <c r="W1183" s="244"/>
      <c r="X1183" s="243"/>
      <c r="Y1183" s="244"/>
      <c r="Z1183" s="243"/>
      <c r="AA1183" s="243"/>
      <c r="AB1183" s="243"/>
    </row>
    <row r="1184">
      <c r="A1184" s="243"/>
      <c r="B1184" s="244"/>
      <c r="C1184" s="243"/>
      <c r="D1184" s="243"/>
      <c r="E1184" s="243"/>
      <c r="F1184" s="243"/>
      <c r="G1184" s="243"/>
      <c r="H1184" s="245"/>
      <c r="I1184" s="245"/>
      <c r="J1184" s="243"/>
      <c r="K1184" s="243"/>
      <c r="L1184" s="243"/>
      <c r="M1184" s="243"/>
      <c r="N1184" s="243"/>
      <c r="O1184" s="244"/>
      <c r="P1184" s="243"/>
      <c r="Q1184" s="244"/>
      <c r="R1184" s="243"/>
      <c r="S1184" s="244"/>
      <c r="T1184" s="243"/>
      <c r="U1184" s="244"/>
      <c r="V1184" s="246"/>
      <c r="W1184" s="244"/>
      <c r="X1184" s="243"/>
      <c r="Y1184" s="244"/>
      <c r="Z1184" s="243"/>
      <c r="AA1184" s="243"/>
      <c r="AB1184" s="243"/>
    </row>
    <row r="1185">
      <c r="A1185" s="243"/>
      <c r="B1185" s="244"/>
      <c r="C1185" s="243"/>
      <c r="D1185" s="243"/>
      <c r="E1185" s="243"/>
      <c r="F1185" s="243"/>
      <c r="G1185" s="243"/>
      <c r="H1185" s="245"/>
      <c r="I1185" s="245"/>
      <c r="J1185" s="243"/>
      <c r="K1185" s="243"/>
      <c r="L1185" s="243"/>
      <c r="M1185" s="243"/>
      <c r="N1185" s="243"/>
      <c r="O1185" s="244"/>
      <c r="P1185" s="243"/>
      <c r="Q1185" s="244"/>
      <c r="R1185" s="243"/>
      <c r="S1185" s="244"/>
      <c r="T1185" s="243"/>
      <c r="U1185" s="244"/>
      <c r="V1185" s="246"/>
      <c r="W1185" s="244"/>
      <c r="X1185" s="243"/>
      <c r="Y1185" s="244"/>
      <c r="Z1185" s="243"/>
      <c r="AA1185" s="243"/>
      <c r="AB1185" s="243"/>
    </row>
    <row r="1186">
      <c r="A1186" s="243"/>
      <c r="B1186" s="244"/>
      <c r="C1186" s="243"/>
      <c r="D1186" s="243"/>
      <c r="E1186" s="243"/>
      <c r="F1186" s="243"/>
      <c r="G1186" s="243"/>
      <c r="H1186" s="245"/>
      <c r="I1186" s="245"/>
      <c r="J1186" s="243"/>
      <c r="K1186" s="243"/>
      <c r="L1186" s="243"/>
      <c r="M1186" s="243"/>
      <c r="N1186" s="243"/>
      <c r="O1186" s="244"/>
      <c r="P1186" s="243"/>
      <c r="Q1186" s="244"/>
      <c r="R1186" s="243"/>
      <c r="S1186" s="244"/>
      <c r="T1186" s="243"/>
      <c r="U1186" s="244"/>
      <c r="V1186" s="246"/>
      <c r="W1186" s="244"/>
      <c r="X1186" s="243"/>
      <c r="Y1186" s="244"/>
      <c r="Z1186" s="243"/>
      <c r="AA1186" s="243"/>
      <c r="AB1186" s="243"/>
    </row>
    <row r="1187">
      <c r="A1187" s="243"/>
      <c r="B1187" s="244"/>
      <c r="C1187" s="243"/>
      <c r="D1187" s="243"/>
      <c r="E1187" s="243"/>
      <c r="F1187" s="243"/>
      <c r="G1187" s="243"/>
      <c r="H1187" s="245"/>
      <c r="I1187" s="245"/>
      <c r="J1187" s="243"/>
      <c r="K1187" s="243"/>
      <c r="L1187" s="243"/>
      <c r="M1187" s="243"/>
      <c r="N1187" s="243"/>
      <c r="O1187" s="244"/>
      <c r="P1187" s="243"/>
      <c r="Q1187" s="244"/>
      <c r="R1187" s="243"/>
      <c r="S1187" s="244"/>
      <c r="T1187" s="243"/>
      <c r="U1187" s="244"/>
      <c r="V1187" s="246"/>
      <c r="W1187" s="244"/>
      <c r="X1187" s="243"/>
      <c r="Y1187" s="244"/>
      <c r="Z1187" s="243"/>
      <c r="AA1187" s="243"/>
      <c r="AB1187" s="243"/>
    </row>
    <row r="1188">
      <c r="A1188" s="243"/>
      <c r="B1188" s="244"/>
      <c r="C1188" s="243"/>
      <c r="D1188" s="243"/>
      <c r="E1188" s="243"/>
      <c r="F1188" s="243"/>
      <c r="G1188" s="243"/>
      <c r="H1188" s="245"/>
      <c r="I1188" s="245"/>
      <c r="J1188" s="243"/>
      <c r="K1188" s="243"/>
      <c r="L1188" s="243"/>
      <c r="M1188" s="243"/>
      <c r="N1188" s="243"/>
      <c r="O1188" s="244"/>
      <c r="P1188" s="243"/>
      <c r="Q1188" s="244"/>
      <c r="R1188" s="243"/>
      <c r="S1188" s="244"/>
      <c r="T1188" s="243"/>
      <c r="U1188" s="244"/>
      <c r="V1188" s="246"/>
      <c r="W1188" s="244"/>
      <c r="X1188" s="243"/>
      <c r="Y1188" s="244"/>
      <c r="Z1188" s="243"/>
      <c r="AA1188" s="243"/>
      <c r="AB1188" s="243"/>
    </row>
  </sheetData>
  <customSheetViews>
    <customSheetView guid="{D16AE885-F13A-4AD1-AFDD-5EB4E3E9F70F}" filter="1" showAutoFilter="1">
      <autoFilter ref="$A$2:$AB$274">
        <filterColumn colId="7">
          <filters>
            <filter val="齋藤"/>
          </filters>
        </filterColumn>
      </autoFilter>
    </customSheetView>
    <customSheetView guid="{004BF6BC-2C61-466F-A353-47285168054A}" filter="1" showAutoFilter="1">
      <autoFilter ref="$A$2:$AB$85"/>
    </customSheetView>
    <customSheetView guid="{66A7E676-6158-47D6-B5F8-B6F104FBFB5E}" filter="1" showAutoFilter="1">
      <autoFilter ref="$A$2:$AB$85">
        <filterColumn colId="4">
          <filters>
            <filter val="MFR-6100&#10;⇒MFR-4100"/>
            <filter val="MV-4200SDI"/>
            <filter val="FA-9520"/>
            <filter val="MFR-16SDIB"/>
          </filters>
        </filterColumn>
      </autoFilter>
    </customSheetView>
    <customSheetView guid="{2257EBC2-C252-4EDC-863E-970C3F7DA679}" filter="1" showAutoFilter="1">
      <autoFilter ref="$A$2:$AB$64">
        <sortState ref="A2:AB64">
          <sortCondition ref="B2:B64"/>
        </sortState>
      </autoFilter>
    </customSheetView>
    <customSheetView guid="{88D5EAC9-C4DE-4C67-9B79-D9F69512AA09}" filter="1" showAutoFilter="1">
      <autoFilter ref="$A$2:$AB$80">
        <filterColumn colId="7">
          <filters/>
        </filterColumn>
      </autoFilter>
    </customSheetView>
    <customSheetView guid="{9F4F513B-5D3E-4ADC-81B2-936E8A51143D}" filter="1" showAutoFilter="1">
      <autoFilter ref="$A$2:$AB$53">
        <filterColumn colId="4">
          <filters>
            <filter val="MFR-6100&#10;⇒MFR-4100"/>
          </filters>
        </filterColumn>
      </autoFilter>
    </customSheetView>
    <customSheetView guid="{AE2935C6-19AC-4B73-8F0E-3F963EE921BD}" filter="1" showAutoFilter="1">
      <autoFilter ref="$A$2:$AB$80"/>
    </customSheetView>
    <customSheetView guid="{82B1759D-7181-44D6-97A9-CE4DCB0A68DD}" filter="1" showAutoFilter="1">
      <autoFilter ref="$A$2:$AB$64">
        <filterColumn colId="7">
          <filters>
            <filter val="開発"/>
            <filter val="鐏"/>
            <filter val="齋藤(門脇)"/>
          </filters>
        </filterColumn>
      </autoFilter>
    </customSheetView>
    <customSheetView guid="{F2D2F3B3-1326-4951-B8E9-4672388473D8}" filter="1" showAutoFilter="1">
      <autoFilter ref="$A$2:$AB$64">
        <filterColumn colId="4">
          <filters>
            <filter val="MFR-6100&#10;⇒MFR-4100"/>
            <filter val="HVS-490STDIO"/>
            <filter val="FRU-18D"/>
            <filter val="FRU-39D"/>
          </filters>
        </filterColumn>
      </autoFilter>
    </customSheetView>
    <customSheetView guid="{B15A9A53-A0A7-4286-9835-5966FB46016D}" filter="1" showAutoFilter="1">
      <autoFilter ref="$A$2:$AB$64">
        <filterColumn colId="4">
          <filters>
            <filter val="MFR-6100&#10;⇒MFR-4100"/>
            <filter val="FRU-18D"/>
            <filter val="FRU-39D"/>
          </filters>
        </filterColumn>
      </autoFilter>
    </customSheetView>
    <customSheetView guid="{7E384BDF-99AF-49E7-9251-B3614D86F4DD}" filter="1" showAutoFilter="1">
      <autoFilter ref="$A$2:$AB$105">
        <filterColumn colId="4">
          <filters>
            <filter val="MFR-6100&#10;⇒MFR-4100"/>
            <filter val="MV-4200SDI"/>
            <filter val="MV-1640IP"/>
            <filter val="MV-3240"/>
          </filters>
        </filterColumn>
      </autoFilter>
    </customSheetView>
    <customSheetView guid="{0E1EDE74-2756-4357-8204-C6014845F616}" filter="1" showAutoFilter="1">
      <autoFilter ref="$A$2:$AB$53">
        <filterColumn colId="7">
          <filters>
            <filter val="門脇"/>
          </filters>
        </filterColumn>
      </autoFilter>
    </customSheetView>
  </customSheetViews>
  <dataValidations>
    <dataValidation type="custom" allowBlank="1" showDropDown="1" sqref="B3:B274 O3:Q274 S3:S274 U3:U274 W3:Y274">
      <formula1>OR(NOT(ISERROR(DATEVALUE(B3))), AND(ISNUMBER(B3), LEFT(CELL("format", B3))="D"))</formula1>
    </dataValidation>
    <dataValidation allowBlank="1" showDropDown="1" sqref="H3:H274"/>
  </dataValidations>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3" max="3" width="14.25"/>
    <col customWidth="1" min="4" max="4" width="8.63"/>
    <col customWidth="1" min="5" max="5" width="19.5"/>
    <col customWidth="1" min="9" max="9" width="52.13"/>
    <col customWidth="1" min="10" max="10" width="63.38"/>
    <col customWidth="1" min="11" max="11" width="11.38"/>
    <col customWidth="1" min="13" max="13" width="21.88"/>
    <col customWidth="1" min="14" max="14" width="13.88"/>
    <col customWidth="1" min="28" max="28" width="30.25"/>
  </cols>
  <sheetData>
    <row r="1">
      <c r="A1" s="247" t="s">
        <v>0</v>
      </c>
      <c r="B1" s="248" t="s">
        <v>1</v>
      </c>
      <c r="C1" s="249" t="s">
        <v>2</v>
      </c>
      <c r="D1" s="250" t="s">
        <v>3</v>
      </c>
      <c r="E1" s="249" t="s">
        <v>4</v>
      </c>
      <c r="F1" s="249" t="s">
        <v>5</v>
      </c>
      <c r="G1" s="249" t="s">
        <v>6</v>
      </c>
      <c r="H1" s="249" t="s">
        <v>7</v>
      </c>
      <c r="I1" s="251" t="s">
        <v>8</v>
      </c>
      <c r="J1" s="251" t="s">
        <v>9</v>
      </c>
      <c r="K1" s="249" t="s">
        <v>10</v>
      </c>
      <c r="L1" s="252" t="s">
        <v>11</v>
      </c>
      <c r="M1" s="249" t="s">
        <v>12</v>
      </c>
      <c r="N1" s="249" t="s">
        <v>13</v>
      </c>
      <c r="O1" s="253" t="s">
        <v>14</v>
      </c>
      <c r="P1" s="254" t="s">
        <v>17</v>
      </c>
      <c r="Q1" s="253" t="s">
        <v>16</v>
      </c>
      <c r="R1" s="254" t="s">
        <v>17</v>
      </c>
      <c r="S1" s="253" t="s">
        <v>18</v>
      </c>
      <c r="T1" s="254" t="s">
        <v>17</v>
      </c>
      <c r="U1" s="253" t="s">
        <v>20</v>
      </c>
      <c r="V1" s="254" t="s">
        <v>17</v>
      </c>
      <c r="W1" s="255" t="s">
        <v>22</v>
      </c>
      <c r="X1" s="254" t="s">
        <v>17</v>
      </c>
      <c r="Y1" s="252" t="s">
        <v>24</v>
      </c>
      <c r="Z1" s="254" t="s">
        <v>25</v>
      </c>
      <c r="AA1" s="256" t="s">
        <v>26</v>
      </c>
      <c r="AB1" s="257" t="s">
        <v>27</v>
      </c>
    </row>
    <row r="2">
      <c r="A2" s="258" t="s">
        <v>1213</v>
      </c>
      <c r="B2" s="259">
        <v>45349.0</v>
      </c>
      <c r="C2" s="260" t="s">
        <v>1214</v>
      </c>
      <c r="D2" s="260" t="s">
        <v>66</v>
      </c>
      <c r="E2" s="260" t="s">
        <v>1215</v>
      </c>
      <c r="F2" s="261" t="s">
        <v>49</v>
      </c>
      <c r="G2" s="262"/>
      <c r="H2" s="261" t="s">
        <v>32</v>
      </c>
      <c r="I2" s="263" t="s">
        <v>1216</v>
      </c>
      <c r="J2" s="263" t="s">
        <v>1217</v>
      </c>
      <c r="K2" s="264"/>
      <c r="L2" s="264"/>
      <c r="M2" s="264"/>
      <c r="N2" s="264"/>
      <c r="O2" s="264"/>
      <c r="P2" s="265"/>
      <c r="Q2" s="264"/>
      <c r="R2" s="265"/>
      <c r="S2" s="264"/>
      <c r="T2" s="265"/>
      <c r="U2" s="264"/>
      <c r="V2" s="265"/>
      <c r="W2" s="266"/>
      <c r="X2" s="265"/>
      <c r="Y2" s="264"/>
      <c r="Z2" s="265"/>
      <c r="AA2" s="267" t="s">
        <v>1218</v>
      </c>
      <c r="AB2" s="268"/>
    </row>
    <row r="3">
      <c r="A3" s="269" t="s">
        <v>1219</v>
      </c>
      <c r="B3" s="270">
        <v>45623.0</v>
      </c>
      <c r="C3" s="234" t="s">
        <v>314</v>
      </c>
      <c r="D3" s="234" t="s">
        <v>66</v>
      </c>
      <c r="E3" s="234" t="s">
        <v>315</v>
      </c>
      <c r="F3" s="234" t="s">
        <v>412</v>
      </c>
      <c r="G3" s="234"/>
      <c r="H3" s="234" t="s">
        <v>103</v>
      </c>
      <c r="I3" s="271" t="s">
        <v>1220</v>
      </c>
      <c r="J3" s="272" t="s">
        <v>1221</v>
      </c>
      <c r="K3" s="273"/>
      <c r="L3" s="234"/>
      <c r="M3" s="234"/>
      <c r="N3" s="273"/>
      <c r="O3" s="274"/>
      <c r="P3" s="275"/>
      <c r="Q3" s="274"/>
      <c r="R3" s="275"/>
      <c r="S3" s="274"/>
      <c r="T3" s="275"/>
      <c r="U3" s="274"/>
      <c r="V3" s="275"/>
      <c r="W3" s="276" t="s">
        <v>1222</v>
      </c>
      <c r="X3" s="275"/>
      <c r="Y3" s="274"/>
      <c r="Z3" s="275"/>
      <c r="AA3" s="277"/>
      <c r="AB3" s="277"/>
    </row>
    <row r="4">
      <c r="A4" s="278">
        <v>1947.0</v>
      </c>
      <c r="B4" s="279">
        <v>46000.0</v>
      </c>
      <c r="C4" s="280" t="s">
        <v>773</v>
      </c>
      <c r="D4" s="281"/>
      <c r="E4" s="280" t="s">
        <v>774</v>
      </c>
      <c r="F4" s="280" t="s">
        <v>805</v>
      </c>
      <c r="G4" s="282">
        <v>1.9280406E7</v>
      </c>
      <c r="H4" s="280" t="s">
        <v>42</v>
      </c>
      <c r="I4" s="283" t="s">
        <v>1223</v>
      </c>
      <c r="J4" s="284" t="s">
        <v>1224</v>
      </c>
      <c r="K4" s="285" t="s">
        <v>1225</v>
      </c>
      <c r="L4" s="286" t="s">
        <v>593</v>
      </c>
      <c r="M4" s="286" t="s">
        <v>1226</v>
      </c>
      <c r="N4" s="287"/>
      <c r="O4" s="288" t="s">
        <v>62</v>
      </c>
      <c r="P4" s="289">
        <v>46003.0</v>
      </c>
      <c r="Q4" s="287"/>
      <c r="R4" s="290"/>
      <c r="S4" s="287"/>
      <c r="T4" s="290"/>
      <c r="U4" s="288" t="s">
        <v>62</v>
      </c>
      <c r="V4" s="289">
        <v>46003.0</v>
      </c>
      <c r="W4" s="287"/>
      <c r="X4" s="290"/>
      <c r="Y4" s="287"/>
      <c r="Z4" s="290"/>
      <c r="AA4" s="287"/>
      <c r="AB4" s="287"/>
    </row>
    <row r="5">
      <c r="A5" s="278">
        <v>1942.0</v>
      </c>
      <c r="B5" s="279">
        <v>45999.0</v>
      </c>
      <c r="C5" s="280" t="s">
        <v>605</v>
      </c>
      <c r="D5" s="281"/>
      <c r="E5" s="280" t="s">
        <v>89</v>
      </c>
      <c r="F5" s="280" t="s">
        <v>111</v>
      </c>
      <c r="G5" s="282">
        <v>1.58313E7</v>
      </c>
      <c r="H5" s="280" t="s">
        <v>51</v>
      </c>
      <c r="I5" s="283" t="s">
        <v>1227</v>
      </c>
      <c r="J5" s="284" t="s">
        <v>1228</v>
      </c>
      <c r="K5" s="285" t="s">
        <v>608</v>
      </c>
      <c r="L5" s="291" t="s">
        <v>1229</v>
      </c>
      <c r="M5" s="286" t="s">
        <v>610</v>
      </c>
      <c r="N5" s="287"/>
      <c r="O5" s="288" t="s">
        <v>62</v>
      </c>
      <c r="P5" s="289">
        <v>45999.0</v>
      </c>
      <c r="Q5" s="287"/>
      <c r="R5" s="290"/>
      <c r="S5" s="287"/>
      <c r="T5" s="290"/>
      <c r="U5" s="288" t="s">
        <v>62</v>
      </c>
      <c r="V5" s="289">
        <v>46000.0</v>
      </c>
      <c r="W5" s="287"/>
      <c r="X5" s="290"/>
      <c r="Y5" s="287"/>
      <c r="Z5" s="290"/>
      <c r="AA5" s="287"/>
      <c r="AB5" s="287"/>
    </row>
    <row r="6">
      <c r="A6" s="292">
        <v>1941.0</v>
      </c>
      <c r="B6" s="279">
        <v>45996.0</v>
      </c>
      <c r="C6" s="280" t="s">
        <v>808</v>
      </c>
      <c r="D6" s="281"/>
      <c r="E6" s="280" t="s">
        <v>506</v>
      </c>
      <c r="F6" s="280" t="s">
        <v>49</v>
      </c>
      <c r="G6" s="282">
        <v>1.0243075E7</v>
      </c>
      <c r="H6" s="280" t="s">
        <v>200</v>
      </c>
      <c r="I6" s="283" t="s">
        <v>1230</v>
      </c>
      <c r="J6" s="284" t="s">
        <v>1231</v>
      </c>
      <c r="K6" s="293" t="s">
        <v>811</v>
      </c>
      <c r="L6" s="294" t="s">
        <v>812</v>
      </c>
      <c r="M6" s="294" t="s">
        <v>610</v>
      </c>
      <c r="N6" s="295"/>
      <c r="O6" s="296" t="s">
        <v>62</v>
      </c>
      <c r="P6" s="297">
        <v>46001.0</v>
      </c>
      <c r="Q6" s="295"/>
      <c r="R6" s="298"/>
      <c r="S6" s="295"/>
      <c r="T6" s="298"/>
      <c r="U6" s="296" t="s">
        <v>62</v>
      </c>
      <c r="V6" s="297">
        <v>46002.0</v>
      </c>
      <c r="W6" s="295"/>
      <c r="X6" s="298"/>
      <c r="Y6" s="295"/>
      <c r="Z6" s="298"/>
      <c r="AA6" s="295"/>
      <c r="AB6" s="295"/>
    </row>
    <row r="7">
      <c r="A7" s="278">
        <v>1940.0</v>
      </c>
      <c r="B7" s="279">
        <v>45996.0</v>
      </c>
      <c r="C7" s="280" t="s">
        <v>808</v>
      </c>
      <c r="D7" s="281"/>
      <c r="E7" s="280" t="s">
        <v>506</v>
      </c>
      <c r="F7" s="280" t="s">
        <v>49</v>
      </c>
      <c r="G7" s="282">
        <v>1.7243074E7</v>
      </c>
      <c r="H7" s="280" t="s">
        <v>200</v>
      </c>
      <c r="I7" s="283" t="s">
        <v>1232</v>
      </c>
      <c r="J7" s="284" t="s">
        <v>1231</v>
      </c>
      <c r="K7" s="285" t="s">
        <v>811</v>
      </c>
      <c r="L7" s="286" t="s">
        <v>812</v>
      </c>
      <c r="M7" s="286" t="s">
        <v>610</v>
      </c>
      <c r="N7" s="287"/>
      <c r="O7" s="288" t="s">
        <v>62</v>
      </c>
      <c r="P7" s="289">
        <v>46001.0</v>
      </c>
      <c r="Q7" s="287"/>
      <c r="R7" s="290"/>
      <c r="S7" s="287"/>
      <c r="T7" s="290"/>
      <c r="U7" s="288" t="s">
        <v>62</v>
      </c>
      <c r="V7" s="289">
        <v>46002.0</v>
      </c>
      <c r="W7" s="287"/>
      <c r="X7" s="290"/>
      <c r="Y7" s="287"/>
      <c r="Z7" s="290"/>
      <c r="AA7" s="287"/>
      <c r="AB7" s="287"/>
    </row>
    <row r="8">
      <c r="A8" s="292">
        <v>1939.0</v>
      </c>
      <c r="B8" s="279">
        <v>45996.0</v>
      </c>
      <c r="C8" s="280" t="s">
        <v>808</v>
      </c>
      <c r="D8" s="281"/>
      <c r="E8" s="280" t="s">
        <v>506</v>
      </c>
      <c r="F8" s="280" t="s">
        <v>49</v>
      </c>
      <c r="G8" s="282">
        <v>1.7243077E7</v>
      </c>
      <c r="H8" s="280" t="s">
        <v>200</v>
      </c>
      <c r="I8" s="283" t="s">
        <v>1232</v>
      </c>
      <c r="J8" s="284" t="s">
        <v>1233</v>
      </c>
      <c r="K8" s="293" t="s">
        <v>811</v>
      </c>
      <c r="L8" s="294" t="s">
        <v>965</v>
      </c>
      <c r="M8" s="294" t="s">
        <v>1234</v>
      </c>
      <c r="N8" s="295"/>
      <c r="O8" s="296" t="s">
        <v>62</v>
      </c>
      <c r="P8" s="297">
        <v>46001.0</v>
      </c>
      <c r="Q8" s="295"/>
      <c r="R8" s="298"/>
      <c r="S8" s="295"/>
      <c r="T8" s="298"/>
      <c r="U8" s="296" t="s">
        <v>62</v>
      </c>
      <c r="V8" s="297">
        <v>46002.0</v>
      </c>
      <c r="W8" s="295"/>
      <c r="X8" s="298"/>
      <c r="Y8" s="295"/>
      <c r="Z8" s="298"/>
      <c r="AA8" s="295"/>
      <c r="AB8" s="295"/>
    </row>
    <row r="9">
      <c r="A9" s="278">
        <v>1938.0</v>
      </c>
      <c r="B9" s="279">
        <v>45996.0</v>
      </c>
      <c r="C9" s="280" t="s">
        <v>808</v>
      </c>
      <c r="D9" s="281"/>
      <c r="E9" s="280" t="s">
        <v>506</v>
      </c>
      <c r="F9" s="280" t="s">
        <v>49</v>
      </c>
      <c r="G9" s="282">
        <v>1.724307E7</v>
      </c>
      <c r="H9" s="280" t="s">
        <v>200</v>
      </c>
      <c r="I9" s="283" t="s">
        <v>1230</v>
      </c>
      <c r="J9" s="284" t="s">
        <v>1235</v>
      </c>
      <c r="K9" s="285" t="s">
        <v>811</v>
      </c>
      <c r="L9" s="286" t="s">
        <v>812</v>
      </c>
      <c r="M9" s="286" t="s">
        <v>610</v>
      </c>
      <c r="N9" s="287"/>
      <c r="O9" s="288" t="s">
        <v>62</v>
      </c>
      <c r="P9" s="289">
        <v>46001.0</v>
      </c>
      <c r="Q9" s="287"/>
      <c r="R9" s="290"/>
      <c r="S9" s="287"/>
      <c r="T9" s="290"/>
      <c r="U9" s="288" t="s">
        <v>62</v>
      </c>
      <c r="V9" s="289">
        <v>46001.0</v>
      </c>
      <c r="W9" s="287"/>
      <c r="X9" s="290"/>
      <c r="Y9" s="287"/>
      <c r="Z9" s="290"/>
      <c r="AA9" s="287"/>
      <c r="AB9" s="287"/>
    </row>
    <row r="10">
      <c r="A10" s="292">
        <v>1937.0</v>
      </c>
      <c r="B10" s="279">
        <v>45996.0</v>
      </c>
      <c r="C10" s="280" t="s">
        <v>808</v>
      </c>
      <c r="D10" s="281"/>
      <c r="E10" s="280" t="s">
        <v>506</v>
      </c>
      <c r="F10" s="280" t="s">
        <v>49</v>
      </c>
      <c r="G10" s="282">
        <v>1.7243069E7</v>
      </c>
      <c r="H10" s="280" t="s">
        <v>200</v>
      </c>
      <c r="I10" s="283" t="s">
        <v>1230</v>
      </c>
      <c r="J10" s="284" t="s">
        <v>1235</v>
      </c>
      <c r="K10" s="293" t="s">
        <v>811</v>
      </c>
      <c r="L10" s="294" t="s">
        <v>812</v>
      </c>
      <c r="M10" s="294" t="s">
        <v>610</v>
      </c>
      <c r="N10" s="295"/>
      <c r="O10" s="296" t="s">
        <v>62</v>
      </c>
      <c r="P10" s="297">
        <v>46001.0</v>
      </c>
      <c r="Q10" s="295"/>
      <c r="R10" s="298"/>
      <c r="S10" s="295"/>
      <c r="T10" s="298"/>
      <c r="U10" s="296" t="s">
        <v>62</v>
      </c>
      <c r="V10" s="297">
        <v>46001.0</v>
      </c>
      <c r="W10" s="295"/>
      <c r="X10" s="298"/>
      <c r="Y10" s="295"/>
      <c r="Z10" s="298"/>
      <c r="AA10" s="295"/>
      <c r="AB10" s="295"/>
    </row>
    <row r="11">
      <c r="A11" s="278">
        <v>1936.0</v>
      </c>
      <c r="B11" s="279">
        <v>45996.0</v>
      </c>
      <c r="C11" s="280" t="s">
        <v>808</v>
      </c>
      <c r="D11" s="281"/>
      <c r="E11" s="280" t="s">
        <v>506</v>
      </c>
      <c r="F11" s="280" t="s">
        <v>49</v>
      </c>
      <c r="G11" s="282">
        <v>1.7243061E7</v>
      </c>
      <c r="H11" s="280" t="s">
        <v>200</v>
      </c>
      <c r="I11" s="283" t="s">
        <v>1232</v>
      </c>
      <c r="J11" s="284" t="s">
        <v>1236</v>
      </c>
      <c r="K11" s="285" t="s">
        <v>811</v>
      </c>
      <c r="L11" s="286" t="s">
        <v>812</v>
      </c>
      <c r="M11" s="286" t="s">
        <v>610</v>
      </c>
      <c r="N11" s="287"/>
      <c r="O11" s="288" t="s">
        <v>62</v>
      </c>
      <c r="P11" s="289">
        <v>46002.0</v>
      </c>
      <c r="Q11" s="287"/>
      <c r="R11" s="290"/>
      <c r="S11" s="287"/>
      <c r="T11" s="290"/>
      <c r="U11" s="288" t="s">
        <v>62</v>
      </c>
      <c r="V11" s="289">
        <v>46002.0</v>
      </c>
      <c r="W11" s="287"/>
      <c r="X11" s="290"/>
      <c r="Y11" s="287"/>
      <c r="Z11" s="290"/>
      <c r="AA11" s="287"/>
      <c r="AB11" s="287"/>
    </row>
    <row r="12">
      <c r="A12" s="292">
        <v>1934.0</v>
      </c>
      <c r="B12" s="279">
        <v>45995.0</v>
      </c>
      <c r="C12" s="280" t="s">
        <v>808</v>
      </c>
      <c r="D12" s="281"/>
      <c r="E12" s="280" t="s">
        <v>506</v>
      </c>
      <c r="F12" s="280" t="s">
        <v>49</v>
      </c>
      <c r="G12" s="282">
        <v>1.7243081E7</v>
      </c>
      <c r="H12" s="280" t="s">
        <v>200</v>
      </c>
      <c r="I12" s="283" t="s">
        <v>1237</v>
      </c>
      <c r="J12" s="284" t="s">
        <v>1238</v>
      </c>
      <c r="K12" s="293" t="s">
        <v>811</v>
      </c>
      <c r="L12" s="294" t="s">
        <v>812</v>
      </c>
      <c r="M12" s="294" t="s">
        <v>610</v>
      </c>
      <c r="N12" s="295"/>
      <c r="O12" s="296" t="s">
        <v>62</v>
      </c>
      <c r="P12" s="297">
        <v>46000.0</v>
      </c>
      <c r="Q12" s="295"/>
      <c r="R12" s="298"/>
      <c r="S12" s="295"/>
      <c r="T12" s="298"/>
      <c r="U12" s="296" t="s">
        <v>62</v>
      </c>
      <c r="V12" s="297">
        <v>46002.0</v>
      </c>
      <c r="W12" s="295"/>
      <c r="X12" s="298"/>
      <c r="Y12" s="295"/>
      <c r="Z12" s="298"/>
      <c r="AA12" s="295"/>
      <c r="AB12" s="295"/>
    </row>
    <row r="13">
      <c r="A13" s="278">
        <v>1933.0</v>
      </c>
      <c r="B13" s="279">
        <v>45995.0</v>
      </c>
      <c r="C13" s="280" t="s">
        <v>808</v>
      </c>
      <c r="D13" s="281"/>
      <c r="E13" s="280" t="s">
        <v>506</v>
      </c>
      <c r="F13" s="280" t="s">
        <v>49</v>
      </c>
      <c r="G13" s="282">
        <v>1.7243087E7</v>
      </c>
      <c r="H13" s="280" t="s">
        <v>200</v>
      </c>
      <c r="I13" s="283" t="s">
        <v>1239</v>
      </c>
      <c r="J13" s="284" t="s">
        <v>1240</v>
      </c>
      <c r="K13" s="285" t="s">
        <v>811</v>
      </c>
      <c r="L13" s="286" t="s">
        <v>965</v>
      </c>
      <c r="M13" s="286" t="s">
        <v>1234</v>
      </c>
      <c r="N13" s="287"/>
      <c r="O13" s="288" t="s">
        <v>62</v>
      </c>
      <c r="P13" s="289">
        <v>46000.0</v>
      </c>
      <c r="Q13" s="287"/>
      <c r="R13" s="290"/>
      <c r="S13" s="287"/>
      <c r="T13" s="290"/>
      <c r="U13" s="288" t="s">
        <v>62</v>
      </c>
      <c r="V13" s="289">
        <v>46001.0</v>
      </c>
      <c r="W13" s="287"/>
      <c r="X13" s="290"/>
      <c r="Y13" s="287"/>
      <c r="Z13" s="290"/>
      <c r="AA13" s="287"/>
      <c r="AB13" s="287"/>
    </row>
    <row r="14">
      <c r="A14" s="292">
        <v>1932.0</v>
      </c>
      <c r="B14" s="279">
        <v>45995.0</v>
      </c>
      <c r="C14" s="280" t="s">
        <v>808</v>
      </c>
      <c r="D14" s="281"/>
      <c r="E14" s="280" t="s">
        <v>506</v>
      </c>
      <c r="F14" s="280" t="s">
        <v>49</v>
      </c>
      <c r="G14" s="282">
        <v>1.7243056E7</v>
      </c>
      <c r="H14" s="280" t="s">
        <v>200</v>
      </c>
      <c r="I14" s="283" t="s">
        <v>1232</v>
      </c>
      <c r="J14" s="284" t="s">
        <v>1241</v>
      </c>
      <c r="K14" s="293" t="s">
        <v>811</v>
      </c>
      <c r="L14" s="294" t="s">
        <v>812</v>
      </c>
      <c r="M14" s="294" t="s">
        <v>610</v>
      </c>
      <c r="N14" s="295"/>
      <c r="O14" s="296" t="s">
        <v>62</v>
      </c>
      <c r="P14" s="297">
        <v>46000.0</v>
      </c>
      <c r="Q14" s="295"/>
      <c r="R14" s="298"/>
      <c r="S14" s="295"/>
      <c r="T14" s="298"/>
      <c r="U14" s="296" t="s">
        <v>62</v>
      </c>
      <c r="V14" s="297">
        <v>46001.0</v>
      </c>
      <c r="W14" s="295"/>
      <c r="X14" s="298"/>
      <c r="Y14" s="295"/>
      <c r="Z14" s="298"/>
      <c r="AA14" s="295"/>
      <c r="AB14" s="295"/>
    </row>
    <row r="15">
      <c r="A15" s="278">
        <v>1931.0</v>
      </c>
      <c r="B15" s="279">
        <v>45995.0</v>
      </c>
      <c r="C15" s="280" t="s">
        <v>808</v>
      </c>
      <c r="D15" s="281"/>
      <c r="E15" s="280" t="s">
        <v>506</v>
      </c>
      <c r="F15" s="280" t="s">
        <v>49</v>
      </c>
      <c r="G15" s="282">
        <v>1.7243053E7</v>
      </c>
      <c r="H15" s="280" t="s">
        <v>200</v>
      </c>
      <c r="I15" s="283" t="s">
        <v>1230</v>
      </c>
      <c r="J15" s="284" t="s">
        <v>1241</v>
      </c>
      <c r="K15" s="285" t="s">
        <v>811</v>
      </c>
      <c r="L15" s="286" t="s">
        <v>812</v>
      </c>
      <c r="M15" s="286" t="s">
        <v>610</v>
      </c>
      <c r="N15" s="287"/>
      <c r="O15" s="288" t="s">
        <v>62</v>
      </c>
      <c r="P15" s="289">
        <v>46000.0</v>
      </c>
      <c r="Q15" s="287"/>
      <c r="R15" s="290"/>
      <c r="S15" s="287"/>
      <c r="T15" s="290"/>
      <c r="U15" s="288" t="s">
        <v>62</v>
      </c>
      <c r="V15" s="289">
        <v>46001.0</v>
      </c>
      <c r="W15" s="287"/>
      <c r="X15" s="290"/>
      <c r="Y15" s="287"/>
      <c r="Z15" s="290"/>
      <c r="AA15" s="287"/>
      <c r="AB15" s="287"/>
    </row>
    <row r="16">
      <c r="A16" s="292">
        <v>1930.0</v>
      </c>
      <c r="B16" s="279">
        <v>45995.0</v>
      </c>
      <c r="C16" s="280" t="s">
        <v>808</v>
      </c>
      <c r="D16" s="281"/>
      <c r="E16" s="280" t="s">
        <v>506</v>
      </c>
      <c r="F16" s="280" t="s">
        <v>49</v>
      </c>
      <c r="G16" s="282">
        <v>1.7243051E7</v>
      </c>
      <c r="H16" s="280" t="s">
        <v>200</v>
      </c>
      <c r="I16" s="283" t="s">
        <v>1232</v>
      </c>
      <c r="J16" s="284" t="s">
        <v>1241</v>
      </c>
      <c r="K16" s="293" t="s">
        <v>811</v>
      </c>
      <c r="L16" s="294" t="s">
        <v>812</v>
      </c>
      <c r="M16" s="294" t="s">
        <v>610</v>
      </c>
      <c r="N16" s="295"/>
      <c r="O16" s="296" t="s">
        <v>62</v>
      </c>
      <c r="P16" s="297">
        <v>46000.0</v>
      </c>
      <c r="Q16" s="295"/>
      <c r="R16" s="298"/>
      <c r="S16" s="295"/>
      <c r="T16" s="298"/>
      <c r="U16" s="296" t="s">
        <v>62</v>
      </c>
      <c r="V16" s="297">
        <v>46001.0</v>
      </c>
      <c r="W16" s="295"/>
      <c r="X16" s="298"/>
      <c r="Y16" s="295"/>
      <c r="Z16" s="298"/>
      <c r="AA16" s="295"/>
      <c r="AB16" s="295"/>
    </row>
    <row r="17">
      <c r="A17" s="292">
        <v>1928.0</v>
      </c>
      <c r="B17" s="279">
        <v>45995.0</v>
      </c>
      <c r="C17" s="280" t="s">
        <v>884</v>
      </c>
      <c r="D17" s="281"/>
      <c r="E17" s="280" t="s">
        <v>885</v>
      </c>
      <c r="F17" s="280" t="s">
        <v>49</v>
      </c>
      <c r="G17" s="282">
        <v>1.5122613E7</v>
      </c>
      <c r="H17" s="280" t="s">
        <v>32</v>
      </c>
      <c r="I17" s="283" t="s">
        <v>1242</v>
      </c>
      <c r="J17" s="284" t="s">
        <v>1243</v>
      </c>
      <c r="K17" s="293" t="s">
        <v>1244</v>
      </c>
      <c r="L17" s="294" t="s">
        <v>1245</v>
      </c>
      <c r="M17" s="294" t="s">
        <v>1234</v>
      </c>
      <c r="N17" s="295"/>
      <c r="O17" s="296" t="s">
        <v>62</v>
      </c>
      <c r="P17" s="298"/>
      <c r="Q17" s="295"/>
      <c r="R17" s="298"/>
      <c r="S17" s="295"/>
      <c r="T17" s="298"/>
      <c r="U17" s="296" t="s">
        <v>62</v>
      </c>
      <c r="V17" s="297">
        <v>46010.0</v>
      </c>
      <c r="W17" s="295"/>
      <c r="X17" s="298"/>
      <c r="Y17" s="295"/>
      <c r="Z17" s="298"/>
      <c r="AA17" s="295"/>
      <c r="AB17" s="295"/>
    </row>
    <row r="18">
      <c r="A18" s="278">
        <v>1927.0</v>
      </c>
      <c r="B18" s="279">
        <v>45995.0</v>
      </c>
      <c r="C18" s="280" t="s">
        <v>1246</v>
      </c>
      <c r="D18" s="281"/>
      <c r="E18" s="280" t="s">
        <v>1247</v>
      </c>
      <c r="F18" s="280" t="s">
        <v>49</v>
      </c>
      <c r="G18" s="282">
        <v>1.5781711E7</v>
      </c>
      <c r="H18" s="280" t="s">
        <v>32</v>
      </c>
      <c r="I18" s="283" t="s">
        <v>1248</v>
      </c>
      <c r="J18" s="284" t="s">
        <v>1249</v>
      </c>
      <c r="K18" s="285" t="s">
        <v>1244</v>
      </c>
      <c r="L18" s="286" t="s">
        <v>1250</v>
      </c>
      <c r="M18" s="286" t="s">
        <v>1251</v>
      </c>
      <c r="N18" s="287"/>
      <c r="O18" s="288" t="s">
        <v>62</v>
      </c>
      <c r="P18" s="290"/>
      <c r="Q18" s="287"/>
      <c r="R18" s="290"/>
      <c r="S18" s="287"/>
      <c r="T18" s="290"/>
      <c r="U18" s="288" t="s">
        <v>62</v>
      </c>
      <c r="V18" s="289">
        <v>46010.0</v>
      </c>
      <c r="W18" s="287"/>
      <c r="X18" s="290"/>
      <c r="Y18" s="287"/>
      <c r="Z18" s="290"/>
      <c r="AA18" s="287"/>
      <c r="AB18" s="287"/>
    </row>
    <row r="19">
      <c r="A19" s="292">
        <v>1926.0</v>
      </c>
      <c r="B19" s="279">
        <v>45995.0</v>
      </c>
      <c r="C19" s="280" t="s">
        <v>1246</v>
      </c>
      <c r="D19" s="281"/>
      <c r="E19" s="280" t="s">
        <v>1247</v>
      </c>
      <c r="F19" s="280" t="s">
        <v>49</v>
      </c>
      <c r="G19" s="282">
        <v>1.5781709E7</v>
      </c>
      <c r="H19" s="280" t="s">
        <v>32</v>
      </c>
      <c r="I19" s="283" t="s">
        <v>1252</v>
      </c>
      <c r="J19" s="284" t="s">
        <v>1253</v>
      </c>
      <c r="K19" s="293" t="s">
        <v>1244</v>
      </c>
      <c r="L19" s="294" t="s">
        <v>640</v>
      </c>
      <c r="M19" s="294" t="s">
        <v>1234</v>
      </c>
      <c r="N19" s="295"/>
      <c r="O19" s="296" t="s">
        <v>62</v>
      </c>
      <c r="P19" s="298"/>
      <c r="Q19" s="295"/>
      <c r="R19" s="298"/>
      <c r="S19" s="295"/>
      <c r="T19" s="298"/>
      <c r="U19" s="296" t="s">
        <v>62</v>
      </c>
      <c r="V19" s="297">
        <v>46010.0</v>
      </c>
      <c r="W19" s="295"/>
      <c r="X19" s="298"/>
      <c r="Y19" s="295"/>
      <c r="Z19" s="298"/>
      <c r="AA19" s="295"/>
      <c r="AB19" s="295"/>
    </row>
    <row r="20">
      <c r="A20" s="278">
        <v>1925.0</v>
      </c>
      <c r="B20" s="279">
        <v>45995.0</v>
      </c>
      <c r="C20" s="280" t="s">
        <v>1246</v>
      </c>
      <c r="D20" s="281"/>
      <c r="E20" s="280" t="s">
        <v>1247</v>
      </c>
      <c r="F20" s="280" t="s">
        <v>49</v>
      </c>
      <c r="G20" s="282">
        <v>1.5781708E7</v>
      </c>
      <c r="H20" s="280" t="s">
        <v>32</v>
      </c>
      <c r="I20" s="283" t="s">
        <v>1254</v>
      </c>
      <c r="J20" s="284" t="s">
        <v>1243</v>
      </c>
      <c r="K20" s="285" t="s">
        <v>1244</v>
      </c>
      <c r="L20" s="286" t="s">
        <v>667</v>
      </c>
      <c r="M20" s="286" t="s">
        <v>1234</v>
      </c>
      <c r="N20" s="287"/>
      <c r="O20" s="288" t="s">
        <v>62</v>
      </c>
      <c r="P20" s="290"/>
      <c r="Q20" s="287"/>
      <c r="R20" s="290"/>
      <c r="S20" s="287"/>
      <c r="T20" s="290"/>
      <c r="U20" s="288" t="s">
        <v>62</v>
      </c>
      <c r="V20" s="289">
        <v>46010.0</v>
      </c>
      <c r="W20" s="287"/>
      <c r="X20" s="290"/>
      <c r="Y20" s="287"/>
      <c r="Z20" s="290"/>
      <c r="AA20" s="287"/>
      <c r="AB20" s="287"/>
    </row>
    <row r="21">
      <c r="A21" s="292">
        <v>1924.0</v>
      </c>
      <c r="B21" s="279">
        <v>45995.0</v>
      </c>
      <c r="C21" s="280" t="s">
        <v>1246</v>
      </c>
      <c r="D21" s="281"/>
      <c r="E21" s="280" t="s">
        <v>1247</v>
      </c>
      <c r="F21" s="280" t="s">
        <v>49</v>
      </c>
      <c r="G21" s="282">
        <v>1.5781706E7</v>
      </c>
      <c r="H21" s="280" t="s">
        <v>32</v>
      </c>
      <c r="I21" s="283" t="s">
        <v>1255</v>
      </c>
      <c r="J21" s="284" t="s">
        <v>1256</v>
      </c>
      <c r="K21" s="293" t="s">
        <v>1244</v>
      </c>
      <c r="L21" s="294" t="s">
        <v>1257</v>
      </c>
      <c r="M21" s="294" t="s">
        <v>1234</v>
      </c>
      <c r="N21" s="295"/>
      <c r="O21" s="296" t="s">
        <v>62</v>
      </c>
      <c r="P21" s="298"/>
      <c r="Q21" s="295"/>
      <c r="R21" s="298"/>
      <c r="S21" s="295"/>
      <c r="T21" s="298"/>
      <c r="U21" s="296" t="s">
        <v>62</v>
      </c>
      <c r="V21" s="297">
        <v>46010.0</v>
      </c>
      <c r="W21" s="295"/>
      <c r="X21" s="298"/>
      <c r="Y21" s="295"/>
      <c r="Z21" s="298"/>
      <c r="AA21" s="295"/>
      <c r="AB21" s="295"/>
    </row>
    <row r="22">
      <c r="A22" s="278">
        <v>1912.0</v>
      </c>
      <c r="B22" s="279">
        <v>45982.0</v>
      </c>
      <c r="C22" s="280" t="s">
        <v>917</v>
      </c>
      <c r="D22" s="281"/>
      <c r="E22" s="280" t="s">
        <v>918</v>
      </c>
      <c r="F22" s="280" t="s">
        <v>300</v>
      </c>
      <c r="G22" s="282">
        <v>1.6351987E7</v>
      </c>
      <c r="H22" s="280" t="s">
        <v>32</v>
      </c>
      <c r="I22" s="283" t="s">
        <v>1258</v>
      </c>
      <c r="J22" s="284" t="s">
        <v>1259</v>
      </c>
      <c r="K22" s="285" t="s">
        <v>1260</v>
      </c>
      <c r="L22" s="286" t="s">
        <v>1261</v>
      </c>
      <c r="M22" s="299"/>
      <c r="N22" s="287"/>
      <c r="O22" s="288" t="s">
        <v>62</v>
      </c>
      <c r="P22" s="289">
        <v>45982.0</v>
      </c>
      <c r="Q22" s="287"/>
      <c r="R22" s="290"/>
      <c r="S22" s="287"/>
      <c r="T22" s="290"/>
      <c r="U22" s="288" t="s">
        <v>62</v>
      </c>
      <c r="V22" s="289">
        <v>45987.0</v>
      </c>
      <c r="W22" s="287"/>
      <c r="X22" s="290"/>
      <c r="Y22" s="287"/>
      <c r="Z22" s="290"/>
      <c r="AA22" s="287"/>
      <c r="AB22" s="287"/>
    </row>
    <row r="23">
      <c r="A23" s="292">
        <v>1907.0</v>
      </c>
      <c r="B23" s="279">
        <v>45981.0</v>
      </c>
      <c r="C23" s="280" t="s">
        <v>1262</v>
      </c>
      <c r="D23" s="281"/>
      <c r="E23" s="280" t="s">
        <v>918</v>
      </c>
      <c r="F23" s="280" t="s">
        <v>1263</v>
      </c>
      <c r="G23" s="282">
        <v>1.6351935E7</v>
      </c>
      <c r="H23" s="280" t="s">
        <v>32</v>
      </c>
      <c r="I23" s="283" t="s">
        <v>1264</v>
      </c>
      <c r="J23" s="284" t="s">
        <v>1265</v>
      </c>
      <c r="K23" s="293" t="s">
        <v>1266</v>
      </c>
      <c r="L23" s="294" t="s">
        <v>130</v>
      </c>
      <c r="M23" s="300"/>
      <c r="N23" s="295"/>
      <c r="O23" s="296" t="s">
        <v>62</v>
      </c>
      <c r="P23" s="297">
        <v>45981.0</v>
      </c>
      <c r="Q23" s="295"/>
      <c r="R23" s="298"/>
      <c r="S23" s="295"/>
      <c r="T23" s="298"/>
      <c r="U23" s="296" t="s">
        <v>62</v>
      </c>
      <c r="V23" s="297">
        <v>45987.0</v>
      </c>
      <c r="W23" s="295"/>
      <c r="X23" s="298"/>
      <c r="Y23" s="295"/>
      <c r="Z23" s="298"/>
      <c r="AA23" s="295"/>
      <c r="AB23" s="295"/>
    </row>
    <row r="24">
      <c r="A24" s="292">
        <v>1904.0</v>
      </c>
      <c r="B24" s="279">
        <v>45974.0</v>
      </c>
      <c r="C24" s="280" t="s">
        <v>1267</v>
      </c>
      <c r="D24" s="281"/>
      <c r="E24" s="280" t="s">
        <v>1247</v>
      </c>
      <c r="F24" s="280" t="s">
        <v>49</v>
      </c>
      <c r="G24" s="282">
        <v>1.5781704E7</v>
      </c>
      <c r="H24" s="280" t="s">
        <v>32</v>
      </c>
      <c r="I24" s="283" t="s">
        <v>1255</v>
      </c>
      <c r="J24" s="284" t="s">
        <v>1268</v>
      </c>
      <c r="K24" s="293" t="s">
        <v>1244</v>
      </c>
      <c r="L24" s="301" t="s">
        <v>1257</v>
      </c>
      <c r="M24" s="294" t="s">
        <v>1234</v>
      </c>
      <c r="N24" s="295"/>
      <c r="O24" s="296" t="s">
        <v>62</v>
      </c>
      <c r="P24" s="297">
        <v>45978.0</v>
      </c>
      <c r="Q24" s="295"/>
      <c r="R24" s="298"/>
      <c r="S24" s="295"/>
      <c r="T24" s="298"/>
      <c r="U24" s="296" t="s">
        <v>62</v>
      </c>
      <c r="V24" s="297">
        <v>45981.0</v>
      </c>
      <c r="W24" s="295"/>
      <c r="X24" s="298"/>
      <c r="Y24" s="295"/>
      <c r="Z24" s="298"/>
      <c r="AA24" s="295"/>
      <c r="AB24" s="295"/>
    </row>
    <row r="25">
      <c r="A25" s="278">
        <v>1903.0</v>
      </c>
      <c r="B25" s="279">
        <v>45974.0</v>
      </c>
      <c r="C25" s="280" t="s">
        <v>1267</v>
      </c>
      <c r="D25" s="281"/>
      <c r="E25" s="280" t="s">
        <v>1247</v>
      </c>
      <c r="F25" s="280" t="s">
        <v>49</v>
      </c>
      <c r="G25" s="282">
        <v>1.5781703E7</v>
      </c>
      <c r="H25" s="280" t="s">
        <v>32</v>
      </c>
      <c r="I25" s="283" t="s">
        <v>1269</v>
      </c>
      <c r="J25" s="284" t="s">
        <v>1270</v>
      </c>
      <c r="K25" s="285" t="s">
        <v>1244</v>
      </c>
      <c r="L25" s="302" t="s">
        <v>1271</v>
      </c>
      <c r="M25" s="286" t="s">
        <v>1234</v>
      </c>
      <c r="N25" s="287"/>
      <c r="O25" s="288" t="s">
        <v>62</v>
      </c>
      <c r="P25" s="289">
        <v>45979.0</v>
      </c>
      <c r="Q25" s="287"/>
      <c r="R25" s="290"/>
      <c r="S25" s="287"/>
      <c r="T25" s="290"/>
      <c r="U25" s="288" t="s">
        <v>62</v>
      </c>
      <c r="V25" s="289">
        <v>45981.0</v>
      </c>
      <c r="W25" s="287"/>
      <c r="X25" s="290"/>
      <c r="Y25" s="287"/>
      <c r="Z25" s="290"/>
      <c r="AA25" s="287"/>
      <c r="AB25" s="287"/>
    </row>
    <row r="26">
      <c r="A26" s="292">
        <v>1902.0</v>
      </c>
      <c r="B26" s="279">
        <v>45974.0</v>
      </c>
      <c r="C26" s="280" t="s">
        <v>1267</v>
      </c>
      <c r="D26" s="281"/>
      <c r="E26" s="280" t="s">
        <v>1247</v>
      </c>
      <c r="F26" s="280" t="s">
        <v>49</v>
      </c>
      <c r="G26" s="282">
        <v>1.5781702E7</v>
      </c>
      <c r="H26" s="280" t="s">
        <v>32</v>
      </c>
      <c r="I26" s="283" t="s">
        <v>1272</v>
      </c>
      <c r="J26" s="284" t="s">
        <v>1268</v>
      </c>
      <c r="K26" s="293" t="s">
        <v>1244</v>
      </c>
      <c r="L26" s="301" t="s">
        <v>1273</v>
      </c>
      <c r="M26" s="294" t="s">
        <v>1234</v>
      </c>
      <c r="N26" s="295"/>
      <c r="O26" s="296" t="s">
        <v>62</v>
      </c>
      <c r="P26" s="297">
        <v>45978.0</v>
      </c>
      <c r="Q26" s="295"/>
      <c r="R26" s="298"/>
      <c r="S26" s="295"/>
      <c r="T26" s="298"/>
      <c r="U26" s="296" t="s">
        <v>62</v>
      </c>
      <c r="V26" s="297">
        <v>45981.0</v>
      </c>
      <c r="W26" s="295"/>
      <c r="X26" s="298"/>
      <c r="Y26" s="295"/>
      <c r="Z26" s="298"/>
      <c r="AA26" s="295"/>
      <c r="AB26" s="295"/>
    </row>
    <row r="27">
      <c r="A27" s="278">
        <v>1901.0</v>
      </c>
      <c r="B27" s="279">
        <v>45973.0</v>
      </c>
      <c r="C27" s="280" t="s">
        <v>1267</v>
      </c>
      <c r="D27" s="281"/>
      <c r="E27" s="280" t="s">
        <v>1247</v>
      </c>
      <c r="F27" s="280" t="s">
        <v>49</v>
      </c>
      <c r="G27" s="282">
        <v>1.5781698E7</v>
      </c>
      <c r="H27" s="280" t="s">
        <v>32</v>
      </c>
      <c r="I27" s="283" t="s">
        <v>1274</v>
      </c>
      <c r="J27" s="284" t="s">
        <v>1275</v>
      </c>
      <c r="K27" s="285" t="s">
        <v>1244</v>
      </c>
      <c r="L27" s="302" t="s">
        <v>1276</v>
      </c>
      <c r="M27" s="286" t="s">
        <v>1234</v>
      </c>
      <c r="N27" s="287"/>
      <c r="O27" s="288" t="s">
        <v>62</v>
      </c>
      <c r="P27" s="289">
        <v>45978.0</v>
      </c>
      <c r="Q27" s="287"/>
      <c r="R27" s="290"/>
      <c r="S27" s="287"/>
      <c r="T27" s="290"/>
      <c r="U27" s="288" t="s">
        <v>62</v>
      </c>
      <c r="V27" s="289">
        <v>45981.0</v>
      </c>
      <c r="W27" s="287"/>
      <c r="X27" s="290"/>
      <c r="Y27" s="287"/>
      <c r="Z27" s="290"/>
      <c r="AA27" s="287"/>
      <c r="AB27" s="287"/>
    </row>
    <row r="28">
      <c r="A28" s="292">
        <v>1900.0</v>
      </c>
      <c r="B28" s="279">
        <v>45973.0</v>
      </c>
      <c r="C28" s="280" t="s">
        <v>1267</v>
      </c>
      <c r="D28" s="281"/>
      <c r="E28" s="280" t="s">
        <v>1247</v>
      </c>
      <c r="F28" s="280" t="s">
        <v>49</v>
      </c>
      <c r="G28" s="282">
        <v>1.5781697E7</v>
      </c>
      <c r="H28" s="280" t="s">
        <v>32</v>
      </c>
      <c r="I28" s="283" t="s">
        <v>1277</v>
      </c>
      <c r="J28" s="284" t="s">
        <v>1275</v>
      </c>
      <c r="K28" s="293" t="s">
        <v>1244</v>
      </c>
      <c r="L28" s="301" t="s">
        <v>1278</v>
      </c>
      <c r="M28" s="294" t="s">
        <v>1234</v>
      </c>
      <c r="N28" s="295"/>
      <c r="O28" s="296" t="s">
        <v>62</v>
      </c>
      <c r="P28" s="297">
        <v>45978.0</v>
      </c>
      <c r="Q28" s="295"/>
      <c r="R28" s="298"/>
      <c r="S28" s="295"/>
      <c r="T28" s="298"/>
      <c r="U28" s="296" t="s">
        <v>62</v>
      </c>
      <c r="V28" s="297">
        <v>45981.0</v>
      </c>
      <c r="W28" s="295"/>
      <c r="X28" s="298"/>
      <c r="Y28" s="295"/>
      <c r="Z28" s="298"/>
      <c r="AA28" s="295"/>
      <c r="AB28" s="295"/>
    </row>
    <row r="29">
      <c r="A29" s="278">
        <v>1899.0</v>
      </c>
      <c r="B29" s="279">
        <v>45973.0</v>
      </c>
      <c r="C29" s="280" t="s">
        <v>1267</v>
      </c>
      <c r="D29" s="281"/>
      <c r="E29" s="280" t="s">
        <v>1247</v>
      </c>
      <c r="F29" s="280" t="s">
        <v>49</v>
      </c>
      <c r="G29" s="282">
        <v>1.5781696E7</v>
      </c>
      <c r="H29" s="280" t="s">
        <v>32</v>
      </c>
      <c r="I29" s="283" t="s">
        <v>1279</v>
      </c>
      <c r="J29" s="284" t="s">
        <v>1275</v>
      </c>
      <c r="K29" s="285" t="s">
        <v>1244</v>
      </c>
      <c r="L29" s="302" t="s">
        <v>1280</v>
      </c>
      <c r="M29" s="286" t="s">
        <v>1234</v>
      </c>
      <c r="N29" s="287"/>
      <c r="O29" s="288" t="s">
        <v>62</v>
      </c>
      <c r="P29" s="289">
        <v>45978.0</v>
      </c>
      <c r="Q29" s="287"/>
      <c r="R29" s="290"/>
      <c r="S29" s="287"/>
      <c r="T29" s="290"/>
      <c r="U29" s="288" t="s">
        <v>62</v>
      </c>
      <c r="V29" s="289">
        <v>45981.0</v>
      </c>
      <c r="W29" s="287"/>
      <c r="X29" s="290"/>
      <c r="Y29" s="287"/>
      <c r="Z29" s="290"/>
      <c r="AA29" s="287"/>
      <c r="AB29" s="287"/>
    </row>
    <row r="30">
      <c r="A30" s="292">
        <v>1896.0</v>
      </c>
      <c r="B30" s="279">
        <v>45972.0</v>
      </c>
      <c r="C30" s="280" t="s">
        <v>1262</v>
      </c>
      <c r="D30" s="281"/>
      <c r="E30" s="280" t="s">
        <v>918</v>
      </c>
      <c r="F30" s="280" t="s">
        <v>261</v>
      </c>
      <c r="G30" s="282">
        <v>1.635192E7</v>
      </c>
      <c r="H30" s="280" t="s">
        <v>32</v>
      </c>
      <c r="I30" s="283" t="s">
        <v>1281</v>
      </c>
      <c r="J30" s="284" t="s">
        <v>1282</v>
      </c>
      <c r="K30" s="293" t="s">
        <v>278</v>
      </c>
      <c r="L30" s="294" t="s">
        <v>1283</v>
      </c>
      <c r="M30" s="294" t="s">
        <v>280</v>
      </c>
      <c r="N30" s="295"/>
      <c r="O30" s="303"/>
      <c r="P30" s="298"/>
      <c r="Q30" s="295"/>
      <c r="R30" s="298"/>
      <c r="S30" s="295"/>
      <c r="T30" s="298"/>
      <c r="U30" s="296" t="s">
        <v>62</v>
      </c>
      <c r="V30" s="297">
        <v>45982.0</v>
      </c>
      <c r="W30" s="295"/>
      <c r="X30" s="298"/>
      <c r="Y30" s="295"/>
      <c r="Z30" s="298"/>
      <c r="AA30" s="295"/>
      <c r="AB30" s="295"/>
    </row>
    <row r="31">
      <c r="A31" s="278">
        <v>1893.0</v>
      </c>
      <c r="B31" s="279">
        <v>45972.0</v>
      </c>
      <c r="C31" s="280" t="s">
        <v>1262</v>
      </c>
      <c r="D31" s="281"/>
      <c r="E31" s="280" t="s">
        <v>918</v>
      </c>
      <c r="F31" s="280" t="s">
        <v>261</v>
      </c>
      <c r="G31" s="282">
        <v>1.6351963E7</v>
      </c>
      <c r="H31" s="280" t="s">
        <v>32</v>
      </c>
      <c r="I31" s="283" t="s">
        <v>1284</v>
      </c>
      <c r="J31" s="284" t="s">
        <v>1285</v>
      </c>
      <c r="K31" s="285" t="s">
        <v>278</v>
      </c>
      <c r="L31" s="286" t="s">
        <v>1286</v>
      </c>
      <c r="M31" s="286" t="s">
        <v>280</v>
      </c>
      <c r="N31" s="287"/>
      <c r="O31" s="304"/>
      <c r="P31" s="290"/>
      <c r="Q31" s="305" t="s">
        <v>62</v>
      </c>
      <c r="R31" s="289">
        <v>45975.0</v>
      </c>
      <c r="S31" s="287"/>
      <c r="T31" s="290"/>
      <c r="U31" s="288" t="s">
        <v>62</v>
      </c>
      <c r="V31" s="289">
        <v>45987.0</v>
      </c>
      <c r="W31" s="287"/>
      <c r="X31" s="290"/>
      <c r="Y31" s="287"/>
      <c r="Z31" s="290"/>
      <c r="AA31" s="287"/>
      <c r="AB31" s="287"/>
    </row>
    <row r="32">
      <c r="A32" s="292">
        <v>1892.0</v>
      </c>
      <c r="B32" s="279">
        <v>45972.0</v>
      </c>
      <c r="C32" s="280" t="s">
        <v>1262</v>
      </c>
      <c r="D32" s="281"/>
      <c r="E32" s="280" t="s">
        <v>918</v>
      </c>
      <c r="F32" s="280" t="s">
        <v>261</v>
      </c>
      <c r="G32" s="282">
        <v>1.6351959E7</v>
      </c>
      <c r="H32" s="280" t="s">
        <v>32</v>
      </c>
      <c r="I32" s="283" t="s">
        <v>1287</v>
      </c>
      <c r="J32" s="284" t="s">
        <v>1285</v>
      </c>
      <c r="K32" s="293" t="s">
        <v>278</v>
      </c>
      <c r="L32" s="294" t="s">
        <v>1288</v>
      </c>
      <c r="M32" s="294" t="s">
        <v>280</v>
      </c>
      <c r="N32" s="295"/>
      <c r="O32" s="303"/>
      <c r="P32" s="298"/>
      <c r="Q32" s="306" t="s">
        <v>62</v>
      </c>
      <c r="R32" s="297">
        <v>45975.0</v>
      </c>
      <c r="S32" s="295"/>
      <c r="T32" s="298"/>
      <c r="U32" s="296" t="s">
        <v>62</v>
      </c>
      <c r="V32" s="297">
        <v>45987.0</v>
      </c>
      <c r="W32" s="295"/>
      <c r="X32" s="298"/>
      <c r="Y32" s="295"/>
      <c r="Z32" s="298"/>
      <c r="AA32" s="295"/>
      <c r="AB32" s="295"/>
    </row>
    <row r="33">
      <c r="A33" s="278">
        <v>1889.0</v>
      </c>
      <c r="B33" s="279">
        <v>45971.0</v>
      </c>
      <c r="C33" s="280" t="s">
        <v>304</v>
      </c>
      <c r="D33" s="281"/>
      <c r="E33" s="280" t="s">
        <v>205</v>
      </c>
      <c r="F33" s="280" t="s">
        <v>49</v>
      </c>
      <c r="G33" s="282">
        <v>1.8240658E7</v>
      </c>
      <c r="H33" s="280" t="s">
        <v>51</v>
      </c>
      <c r="I33" s="283" t="s">
        <v>1289</v>
      </c>
      <c r="J33" s="284" t="s">
        <v>1290</v>
      </c>
      <c r="K33" s="285" t="s">
        <v>208</v>
      </c>
      <c r="L33" s="286" t="s">
        <v>1291</v>
      </c>
      <c r="M33" s="286" t="s">
        <v>1292</v>
      </c>
      <c r="N33" s="287"/>
      <c r="O33" s="288" t="s">
        <v>62</v>
      </c>
      <c r="P33" s="289">
        <v>45972.0</v>
      </c>
      <c r="Q33" s="287"/>
      <c r="R33" s="290"/>
      <c r="S33" s="287"/>
      <c r="T33" s="290"/>
      <c r="U33" s="288" t="s">
        <v>62</v>
      </c>
      <c r="V33" s="289">
        <v>45979.0</v>
      </c>
      <c r="W33" s="287"/>
      <c r="X33" s="290"/>
      <c r="Y33" s="287"/>
      <c r="Z33" s="290"/>
      <c r="AA33" s="287"/>
      <c r="AB33" s="287"/>
    </row>
    <row r="34">
      <c r="A34" s="292">
        <v>1887.0</v>
      </c>
      <c r="B34" s="279">
        <v>45968.0</v>
      </c>
      <c r="C34" s="280" t="s">
        <v>707</v>
      </c>
      <c r="D34" s="281"/>
      <c r="E34" s="280" t="s">
        <v>708</v>
      </c>
      <c r="F34" s="280" t="s">
        <v>49</v>
      </c>
      <c r="G34" s="282">
        <v>1.9670015E7</v>
      </c>
      <c r="H34" s="280" t="s">
        <v>42</v>
      </c>
      <c r="I34" s="283" t="s">
        <v>709</v>
      </c>
      <c r="J34" s="284" t="s">
        <v>1293</v>
      </c>
      <c r="K34" s="293" t="s">
        <v>129</v>
      </c>
      <c r="L34" s="294" t="s">
        <v>711</v>
      </c>
      <c r="M34" s="294" t="s">
        <v>712</v>
      </c>
      <c r="N34" s="295"/>
      <c r="O34" s="296" t="s">
        <v>62</v>
      </c>
      <c r="P34" s="297">
        <v>45973.0</v>
      </c>
      <c r="Q34" s="295"/>
      <c r="R34" s="298"/>
      <c r="S34" s="295"/>
      <c r="T34" s="298"/>
      <c r="U34" s="296" t="s">
        <v>62</v>
      </c>
      <c r="V34" s="297">
        <v>45979.0</v>
      </c>
      <c r="W34" s="295"/>
      <c r="X34" s="298"/>
      <c r="Y34" s="295"/>
      <c r="Z34" s="298"/>
      <c r="AA34" s="295"/>
      <c r="AB34" s="295"/>
    </row>
    <row r="35">
      <c r="A35" s="278">
        <v>1886.0</v>
      </c>
      <c r="B35" s="307">
        <v>45967.0</v>
      </c>
      <c r="C35" s="285" t="s">
        <v>1294</v>
      </c>
      <c r="D35" s="304"/>
      <c r="E35" s="285" t="s">
        <v>1247</v>
      </c>
      <c r="F35" s="285" t="s">
        <v>49</v>
      </c>
      <c r="G35" s="278">
        <v>1.578169E7</v>
      </c>
      <c r="H35" s="285" t="s">
        <v>32</v>
      </c>
      <c r="I35" s="291" t="s">
        <v>1295</v>
      </c>
      <c r="J35" s="284" t="s">
        <v>1296</v>
      </c>
      <c r="K35" s="285" t="s">
        <v>1244</v>
      </c>
      <c r="L35" s="286" t="s">
        <v>1297</v>
      </c>
      <c r="M35" s="286" t="s">
        <v>610</v>
      </c>
      <c r="N35" s="287"/>
      <c r="O35" s="304"/>
      <c r="P35" s="290"/>
      <c r="Q35" s="287"/>
      <c r="R35" s="290"/>
      <c r="S35" s="287"/>
      <c r="T35" s="290"/>
      <c r="U35" s="288" t="s">
        <v>62</v>
      </c>
      <c r="V35" s="289">
        <v>45972.0</v>
      </c>
      <c r="W35" s="287"/>
      <c r="X35" s="290"/>
      <c r="Y35" s="287"/>
      <c r="Z35" s="290"/>
      <c r="AA35" s="287"/>
      <c r="AB35" s="287"/>
    </row>
    <row r="36">
      <c r="A36" s="292">
        <v>1885.0</v>
      </c>
      <c r="B36" s="308">
        <v>45967.0</v>
      </c>
      <c r="C36" s="293" t="s">
        <v>884</v>
      </c>
      <c r="D36" s="303"/>
      <c r="E36" s="293" t="s">
        <v>885</v>
      </c>
      <c r="F36" s="293" t="s">
        <v>49</v>
      </c>
      <c r="G36" s="292">
        <v>1.5122594E7</v>
      </c>
      <c r="H36" s="293" t="s">
        <v>32</v>
      </c>
      <c r="I36" s="309" t="s">
        <v>1298</v>
      </c>
      <c r="J36" s="284" t="s">
        <v>1299</v>
      </c>
      <c r="K36" s="293" t="s">
        <v>1244</v>
      </c>
      <c r="L36" s="301" t="s">
        <v>1300</v>
      </c>
      <c r="M36" s="294" t="s">
        <v>1251</v>
      </c>
      <c r="N36" s="295"/>
      <c r="O36" s="303"/>
      <c r="P36" s="298"/>
      <c r="Q36" s="295"/>
      <c r="R36" s="298"/>
      <c r="S36" s="295"/>
      <c r="T36" s="298"/>
      <c r="U36" s="296" t="s">
        <v>62</v>
      </c>
      <c r="V36" s="297">
        <v>45972.0</v>
      </c>
      <c r="W36" s="295"/>
      <c r="X36" s="298"/>
      <c r="Y36" s="295"/>
      <c r="Z36" s="298"/>
      <c r="AA36" s="295"/>
      <c r="AB36" s="295"/>
    </row>
    <row r="37">
      <c r="A37" s="278">
        <v>1884.0</v>
      </c>
      <c r="B37" s="307">
        <v>45967.0</v>
      </c>
      <c r="C37" s="285" t="s">
        <v>884</v>
      </c>
      <c r="D37" s="304"/>
      <c r="E37" s="285" t="s">
        <v>885</v>
      </c>
      <c r="F37" s="285" t="s">
        <v>49</v>
      </c>
      <c r="G37" s="278">
        <v>1.5122593E7</v>
      </c>
      <c r="H37" s="285" t="s">
        <v>32</v>
      </c>
      <c r="I37" s="291" t="s">
        <v>1301</v>
      </c>
      <c r="J37" s="284" t="s">
        <v>1299</v>
      </c>
      <c r="K37" s="285" t="s">
        <v>1244</v>
      </c>
      <c r="L37" s="286" t="s">
        <v>1302</v>
      </c>
      <c r="M37" s="286" t="s">
        <v>1251</v>
      </c>
      <c r="N37" s="287"/>
      <c r="O37" s="304"/>
      <c r="P37" s="290"/>
      <c r="Q37" s="287"/>
      <c r="R37" s="290"/>
      <c r="S37" s="287"/>
      <c r="T37" s="290"/>
      <c r="U37" s="288" t="s">
        <v>62</v>
      </c>
      <c r="V37" s="289">
        <v>45972.0</v>
      </c>
      <c r="W37" s="287"/>
      <c r="X37" s="290"/>
      <c r="Y37" s="287"/>
      <c r="Z37" s="290"/>
      <c r="AA37" s="287"/>
      <c r="AB37" s="287"/>
    </row>
    <row r="38">
      <c r="A38" s="278">
        <v>1874.0</v>
      </c>
      <c r="B38" s="279">
        <v>45967.0</v>
      </c>
      <c r="C38" s="280" t="s">
        <v>1303</v>
      </c>
      <c r="D38" s="281"/>
      <c r="E38" s="280" t="s">
        <v>1304</v>
      </c>
      <c r="F38" s="280" t="s">
        <v>1305</v>
      </c>
      <c r="G38" s="280" t="s">
        <v>1306</v>
      </c>
      <c r="H38" s="280" t="s">
        <v>200</v>
      </c>
      <c r="I38" s="283" t="s">
        <v>1307</v>
      </c>
      <c r="J38" s="310" t="s">
        <v>1308</v>
      </c>
      <c r="K38" s="285" t="s">
        <v>1309</v>
      </c>
      <c r="L38" s="302" t="s">
        <v>1310</v>
      </c>
      <c r="M38" s="287"/>
      <c r="N38" s="287"/>
      <c r="O38" s="304"/>
      <c r="P38" s="290"/>
      <c r="Q38" s="287"/>
      <c r="R38" s="290"/>
      <c r="S38" s="287"/>
      <c r="T38" s="290"/>
      <c r="U38" s="288" t="s">
        <v>62</v>
      </c>
      <c r="V38" s="289">
        <v>46014.0</v>
      </c>
      <c r="W38" s="287"/>
      <c r="X38" s="290"/>
      <c r="Y38" s="287"/>
      <c r="Z38" s="290"/>
      <c r="AA38" s="287"/>
      <c r="AB38" s="287"/>
    </row>
    <row r="39">
      <c r="A39" s="292">
        <v>1867.0</v>
      </c>
      <c r="B39" s="279">
        <v>45967.0</v>
      </c>
      <c r="C39" s="280" t="s">
        <v>1311</v>
      </c>
      <c r="D39" s="281"/>
      <c r="E39" s="280" t="s">
        <v>1312</v>
      </c>
      <c r="F39" s="280" t="s">
        <v>1313</v>
      </c>
      <c r="G39" s="282">
        <v>1.3780785E7</v>
      </c>
      <c r="H39" s="280" t="s">
        <v>200</v>
      </c>
      <c r="I39" s="283" t="s">
        <v>1314</v>
      </c>
      <c r="J39" s="284" t="s">
        <v>1315</v>
      </c>
      <c r="K39" s="293" t="s">
        <v>1316</v>
      </c>
      <c r="L39" s="300"/>
      <c r="M39" s="295"/>
      <c r="N39" s="295"/>
      <c r="O39" s="296" t="s">
        <v>62</v>
      </c>
      <c r="P39" s="297">
        <v>45971.0</v>
      </c>
      <c r="Q39" s="295"/>
      <c r="R39" s="298"/>
      <c r="S39" s="295"/>
      <c r="T39" s="298"/>
      <c r="U39" s="296" t="s">
        <v>62</v>
      </c>
      <c r="V39" s="311">
        <v>45971.0</v>
      </c>
      <c r="W39" s="295"/>
      <c r="X39" s="298"/>
      <c r="Y39" s="295"/>
      <c r="Z39" s="298"/>
      <c r="AA39" s="295"/>
      <c r="AB39" s="295"/>
    </row>
    <row r="40">
      <c r="A40" s="292">
        <v>1858.0</v>
      </c>
      <c r="B40" s="279">
        <v>45966.0</v>
      </c>
      <c r="C40" s="280" t="s">
        <v>1262</v>
      </c>
      <c r="D40" s="281"/>
      <c r="E40" s="280" t="s">
        <v>918</v>
      </c>
      <c r="F40" s="280" t="s">
        <v>261</v>
      </c>
      <c r="G40" s="282">
        <v>1.6351929E7</v>
      </c>
      <c r="H40" s="280" t="s">
        <v>32</v>
      </c>
      <c r="I40" s="283" t="s">
        <v>1317</v>
      </c>
      <c r="J40" s="284" t="s">
        <v>1318</v>
      </c>
      <c r="K40" s="293" t="s">
        <v>278</v>
      </c>
      <c r="L40" s="301" t="s">
        <v>1319</v>
      </c>
      <c r="M40" s="294" t="s">
        <v>280</v>
      </c>
      <c r="N40" s="295"/>
      <c r="O40" s="303"/>
      <c r="P40" s="298"/>
      <c r="Q40" s="306" t="s">
        <v>62</v>
      </c>
      <c r="R40" s="297">
        <v>45973.0</v>
      </c>
      <c r="S40" s="295"/>
      <c r="T40" s="298"/>
      <c r="U40" s="296" t="s">
        <v>62</v>
      </c>
      <c r="V40" s="297">
        <v>45982.0</v>
      </c>
      <c r="W40" s="295"/>
      <c r="X40" s="298"/>
      <c r="Y40" s="295"/>
      <c r="Z40" s="298"/>
      <c r="AA40" s="295"/>
      <c r="AB40" s="295"/>
    </row>
    <row r="41">
      <c r="A41" s="278">
        <v>1833.0</v>
      </c>
      <c r="B41" s="279">
        <v>45958.0</v>
      </c>
      <c r="C41" s="280" t="s">
        <v>1320</v>
      </c>
      <c r="D41" s="281"/>
      <c r="E41" s="280" t="s">
        <v>146</v>
      </c>
      <c r="F41" s="280" t="s">
        <v>31</v>
      </c>
      <c r="G41" s="282">
        <v>1.8580087E7</v>
      </c>
      <c r="H41" s="280" t="s">
        <v>32</v>
      </c>
      <c r="I41" s="283" t="s">
        <v>1321</v>
      </c>
      <c r="J41" s="284" t="s">
        <v>1322</v>
      </c>
      <c r="K41" s="285" t="s">
        <v>35</v>
      </c>
      <c r="L41" s="286" t="s">
        <v>36</v>
      </c>
      <c r="M41" s="286" t="s">
        <v>37</v>
      </c>
      <c r="N41" s="287"/>
      <c r="O41" s="304"/>
      <c r="P41" s="290"/>
      <c r="Q41" s="287"/>
      <c r="R41" s="290"/>
      <c r="S41" s="287"/>
      <c r="T41" s="290"/>
      <c r="U41" s="288" t="s">
        <v>62</v>
      </c>
      <c r="V41" s="289">
        <v>45980.0</v>
      </c>
      <c r="W41" s="287"/>
      <c r="X41" s="290"/>
      <c r="Y41" s="287"/>
      <c r="Z41" s="290"/>
      <c r="AA41" s="287"/>
      <c r="AB41" s="287"/>
    </row>
    <row r="42">
      <c r="A42" s="292">
        <v>1832.0</v>
      </c>
      <c r="B42" s="308">
        <v>45958.0</v>
      </c>
      <c r="C42" s="293" t="s">
        <v>605</v>
      </c>
      <c r="D42" s="303"/>
      <c r="E42" s="293" t="s">
        <v>89</v>
      </c>
      <c r="F42" s="293" t="s">
        <v>111</v>
      </c>
      <c r="G42" s="292">
        <v>1.583136E7</v>
      </c>
      <c r="H42" s="293" t="s">
        <v>51</v>
      </c>
      <c r="I42" s="309" t="s">
        <v>1323</v>
      </c>
      <c r="J42" s="284" t="s">
        <v>1324</v>
      </c>
      <c r="K42" s="293" t="s">
        <v>608</v>
      </c>
      <c r="L42" s="294" t="s">
        <v>1229</v>
      </c>
      <c r="M42" s="294" t="s">
        <v>610</v>
      </c>
      <c r="N42" s="295"/>
      <c r="O42" s="296" t="s">
        <v>62</v>
      </c>
      <c r="P42" s="297">
        <v>45971.0</v>
      </c>
      <c r="Q42" s="295"/>
      <c r="R42" s="298"/>
      <c r="S42" s="295"/>
      <c r="T42" s="298"/>
      <c r="U42" s="296" t="s">
        <v>62</v>
      </c>
      <c r="V42" s="297">
        <v>45979.0</v>
      </c>
      <c r="W42" s="295"/>
      <c r="X42" s="298"/>
      <c r="Y42" s="295"/>
      <c r="Z42" s="298"/>
      <c r="AA42" s="295"/>
      <c r="AB42" s="295"/>
    </row>
    <row r="43">
      <c r="A43" s="278">
        <v>1829.0</v>
      </c>
      <c r="B43" s="279">
        <v>45957.0</v>
      </c>
      <c r="C43" s="280" t="s">
        <v>1325</v>
      </c>
      <c r="D43" s="281"/>
      <c r="E43" s="280" t="s">
        <v>404</v>
      </c>
      <c r="F43" s="280" t="s">
        <v>295</v>
      </c>
      <c r="G43" s="282">
        <v>1.3560326E7</v>
      </c>
      <c r="H43" s="280" t="s">
        <v>200</v>
      </c>
      <c r="I43" s="283" t="s">
        <v>1326</v>
      </c>
      <c r="J43" s="284" t="s">
        <v>1327</v>
      </c>
      <c r="K43" s="285" t="s">
        <v>299</v>
      </c>
      <c r="L43" s="286" t="s">
        <v>1328</v>
      </c>
      <c r="M43" s="287"/>
      <c r="N43" s="287"/>
      <c r="O43" s="304"/>
      <c r="P43" s="290"/>
      <c r="Q43" s="305" t="s">
        <v>62</v>
      </c>
      <c r="R43" s="289">
        <v>45975.0</v>
      </c>
      <c r="S43" s="287"/>
      <c r="T43" s="290"/>
      <c r="U43" s="288" t="s">
        <v>62</v>
      </c>
      <c r="V43" s="289">
        <v>45975.0</v>
      </c>
      <c r="W43" s="287"/>
      <c r="X43" s="290"/>
      <c r="Y43" s="287"/>
      <c r="Z43" s="290"/>
      <c r="AA43" s="287"/>
      <c r="AB43" s="287"/>
    </row>
    <row r="44">
      <c r="A44" s="292">
        <v>1828.0</v>
      </c>
      <c r="B44" s="279">
        <v>45954.0</v>
      </c>
      <c r="C44" s="280" t="s">
        <v>1329</v>
      </c>
      <c r="D44" s="281"/>
      <c r="E44" s="280" t="s">
        <v>1330</v>
      </c>
      <c r="F44" s="281"/>
      <c r="G44" s="280" t="s">
        <v>1331</v>
      </c>
      <c r="H44" s="280" t="s">
        <v>200</v>
      </c>
      <c r="I44" s="283" t="s">
        <v>1332</v>
      </c>
      <c r="J44" s="284" t="s">
        <v>1333</v>
      </c>
      <c r="K44" s="303"/>
      <c r="L44" s="300"/>
      <c r="M44" s="295"/>
      <c r="N44" s="295"/>
      <c r="O44" s="303"/>
      <c r="P44" s="298"/>
      <c r="Q44" s="295"/>
      <c r="R44" s="298"/>
      <c r="S44" s="295"/>
      <c r="T44" s="298"/>
      <c r="U44" s="296" t="s">
        <v>62</v>
      </c>
      <c r="V44" s="297">
        <v>45989.0</v>
      </c>
      <c r="W44" s="295"/>
      <c r="X44" s="298"/>
      <c r="Y44" s="295"/>
      <c r="Z44" s="298"/>
      <c r="AA44" s="295"/>
      <c r="AB44" s="295"/>
    </row>
    <row r="45">
      <c r="A45" s="312">
        <v>1822.0</v>
      </c>
      <c r="B45" s="313">
        <v>45952.0</v>
      </c>
      <c r="C45" s="281" t="s">
        <v>582</v>
      </c>
      <c r="D45" s="281"/>
      <c r="E45" s="281" t="s">
        <v>67</v>
      </c>
      <c r="F45" s="281" t="s">
        <v>49</v>
      </c>
      <c r="G45" s="314">
        <v>1.9050262E7</v>
      </c>
      <c r="H45" s="281" t="s">
        <v>42</v>
      </c>
      <c r="I45" s="315" t="s">
        <v>1334</v>
      </c>
      <c r="J45" s="316" t="s">
        <v>1335</v>
      </c>
      <c r="K45" s="317" t="s">
        <v>129</v>
      </c>
      <c r="L45" s="318" t="s">
        <v>585</v>
      </c>
      <c r="M45" s="319" t="s">
        <v>586</v>
      </c>
      <c r="N45" s="318"/>
      <c r="O45" s="320" t="s">
        <v>62</v>
      </c>
      <c r="P45" s="321">
        <v>45958.0</v>
      </c>
      <c r="Q45" s="318"/>
      <c r="R45" s="322"/>
      <c r="S45" s="318"/>
      <c r="T45" s="322"/>
      <c r="U45" s="320" t="s">
        <v>62</v>
      </c>
      <c r="V45" s="323">
        <v>45959.0</v>
      </c>
      <c r="W45" s="318"/>
      <c r="X45" s="322"/>
      <c r="Y45" s="318"/>
      <c r="Z45" s="322"/>
      <c r="AA45" s="318"/>
      <c r="AB45" s="318"/>
    </row>
    <row r="46">
      <c r="A46" s="292">
        <v>1821.0</v>
      </c>
      <c r="B46" s="279">
        <v>45952.0</v>
      </c>
      <c r="C46" s="280" t="s">
        <v>1336</v>
      </c>
      <c r="D46" s="324" t="s">
        <v>29</v>
      </c>
      <c r="E46" s="280" t="s">
        <v>1337</v>
      </c>
      <c r="F46" s="280" t="s">
        <v>1338</v>
      </c>
      <c r="G46" s="280" t="s">
        <v>1339</v>
      </c>
      <c r="H46" s="280" t="s">
        <v>200</v>
      </c>
      <c r="I46" s="283" t="s">
        <v>1340</v>
      </c>
      <c r="J46" s="284" t="s">
        <v>1341</v>
      </c>
      <c r="K46" s="293" t="s">
        <v>1342</v>
      </c>
      <c r="L46" s="300"/>
      <c r="M46" s="295"/>
      <c r="N46" s="295"/>
      <c r="O46" s="303"/>
      <c r="P46" s="298"/>
      <c r="Q46" s="295"/>
      <c r="R46" s="298"/>
      <c r="S46" s="295"/>
      <c r="T46" s="298"/>
      <c r="U46" s="296" t="s">
        <v>62</v>
      </c>
      <c r="V46" s="297">
        <v>45979.0</v>
      </c>
      <c r="W46" s="295"/>
      <c r="X46" s="298"/>
      <c r="Y46" s="295"/>
      <c r="Z46" s="298"/>
      <c r="AA46" s="295"/>
      <c r="AB46" s="295"/>
    </row>
    <row r="47">
      <c r="A47" s="278">
        <v>1820.0</v>
      </c>
      <c r="B47" s="279">
        <v>45951.0</v>
      </c>
      <c r="C47" s="280" t="s">
        <v>1262</v>
      </c>
      <c r="D47" s="281"/>
      <c r="E47" s="280" t="s">
        <v>918</v>
      </c>
      <c r="F47" s="280" t="s">
        <v>1263</v>
      </c>
      <c r="G47" s="282">
        <v>1.6351895E7</v>
      </c>
      <c r="H47" s="280" t="s">
        <v>32</v>
      </c>
      <c r="I47" s="283" t="s">
        <v>1343</v>
      </c>
      <c r="J47" s="284" t="s">
        <v>1344</v>
      </c>
      <c r="K47" s="285" t="s">
        <v>1266</v>
      </c>
      <c r="L47" s="299"/>
      <c r="M47" s="287"/>
      <c r="N47" s="287"/>
      <c r="O47" s="304"/>
      <c r="P47" s="290"/>
      <c r="Q47" s="287"/>
      <c r="R47" s="290"/>
      <c r="S47" s="287"/>
      <c r="T47" s="290"/>
      <c r="U47" s="288" t="s">
        <v>62</v>
      </c>
      <c r="V47" s="289">
        <v>45982.0</v>
      </c>
      <c r="W47" s="287"/>
      <c r="X47" s="290"/>
      <c r="Y47" s="287"/>
      <c r="Z47" s="290"/>
      <c r="AA47" s="287"/>
      <c r="AB47" s="287"/>
    </row>
    <row r="48">
      <c r="A48" s="292">
        <v>1819.0</v>
      </c>
      <c r="B48" s="279">
        <v>45951.0</v>
      </c>
      <c r="C48" s="280" t="s">
        <v>1262</v>
      </c>
      <c r="D48" s="281"/>
      <c r="E48" s="280" t="s">
        <v>918</v>
      </c>
      <c r="F48" s="280" t="s">
        <v>1263</v>
      </c>
      <c r="G48" s="282">
        <v>1.6351885E7</v>
      </c>
      <c r="H48" s="280" t="s">
        <v>32</v>
      </c>
      <c r="I48" s="283" t="s">
        <v>1345</v>
      </c>
      <c r="J48" s="284" t="s">
        <v>1346</v>
      </c>
      <c r="K48" s="293" t="s">
        <v>1266</v>
      </c>
      <c r="L48" s="294" t="s">
        <v>1347</v>
      </c>
      <c r="M48" s="294" t="s">
        <v>1348</v>
      </c>
      <c r="N48" s="295"/>
      <c r="O48" s="296" t="s">
        <v>62</v>
      </c>
      <c r="P48" s="297">
        <v>45953.0</v>
      </c>
      <c r="Q48" s="295"/>
      <c r="R48" s="298"/>
      <c r="S48" s="295"/>
      <c r="T48" s="298"/>
      <c r="U48" s="296" t="s">
        <v>62</v>
      </c>
      <c r="V48" s="297">
        <v>45982.0</v>
      </c>
      <c r="W48" s="295"/>
      <c r="X48" s="298"/>
      <c r="Y48" s="295"/>
      <c r="Z48" s="298"/>
      <c r="AA48" s="295"/>
      <c r="AB48" s="295"/>
    </row>
    <row r="49">
      <c r="A49" s="278">
        <v>1818.0</v>
      </c>
      <c r="B49" s="279">
        <v>45950.0</v>
      </c>
      <c r="C49" s="280" t="s">
        <v>1262</v>
      </c>
      <c r="D49" s="281"/>
      <c r="E49" s="280" t="s">
        <v>918</v>
      </c>
      <c r="F49" s="280" t="s">
        <v>261</v>
      </c>
      <c r="G49" s="282">
        <v>1.6351867E7</v>
      </c>
      <c r="H49" s="280" t="s">
        <v>32</v>
      </c>
      <c r="I49" s="283" t="s">
        <v>1349</v>
      </c>
      <c r="J49" s="284" t="s">
        <v>1350</v>
      </c>
      <c r="K49" s="285" t="s">
        <v>278</v>
      </c>
      <c r="L49" s="286" t="s">
        <v>1351</v>
      </c>
      <c r="M49" s="286" t="s">
        <v>280</v>
      </c>
      <c r="N49" s="287"/>
      <c r="O49" s="304"/>
      <c r="P49" s="290"/>
      <c r="Q49" s="287"/>
      <c r="R49" s="290"/>
      <c r="S49" s="287"/>
      <c r="T49" s="290"/>
      <c r="U49" s="288" t="s">
        <v>62</v>
      </c>
      <c r="V49" s="289">
        <v>45982.0</v>
      </c>
      <c r="W49" s="287"/>
      <c r="X49" s="290"/>
      <c r="Y49" s="287"/>
      <c r="Z49" s="290"/>
      <c r="AA49" s="287"/>
      <c r="AB49" s="287"/>
    </row>
    <row r="50">
      <c r="A50" s="292">
        <v>1817.0</v>
      </c>
      <c r="B50" s="279">
        <v>45947.0</v>
      </c>
      <c r="C50" s="280" t="s">
        <v>1262</v>
      </c>
      <c r="D50" s="281"/>
      <c r="E50" s="280" t="s">
        <v>918</v>
      </c>
      <c r="F50" s="280" t="s">
        <v>300</v>
      </c>
      <c r="G50" s="282">
        <v>1.6351873E7</v>
      </c>
      <c r="H50" s="280" t="s">
        <v>32</v>
      </c>
      <c r="I50" s="283" t="s">
        <v>1352</v>
      </c>
      <c r="J50" s="284" t="s">
        <v>1353</v>
      </c>
      <c r="K50" s="293" t="s">
        <v>284</v>
      </c>
      <c r="L50" s="300"/>
      <c r="M50" s="295"/>
      <c r="N50" s="295"/>
      <c r="O50" s="303"/>
      <c r="P50" s="298"/>
      <c r="Q50" s="295"/>
      <c r="R50" s="298"/>
      <c r="S50" s="295"/>
      <c r="T50" s="298"/>
      <c r="U50" s="296" t="s">
        <v>62</v>
      </c>
      <c r="V50" s="297">
        <v>45982.0</v>
      </c>
      <c r="W50" s="295"/>
      <c r="X50" s="298"/>
      <c r="Y50" s="295"/>
      <c r="Z50" s="298"/>
      <c r="AA50" s="295"/>
      <c r="AB50" s="295"/>
    </row>
    <row r="51">
      <c r="A51" s="292">
        <v>1816.0</v>
      </c>
      <c r="B51" s="279">
        <v>45947.0</v>
      </c>
      <c r="C51" s="280" t="s">
        <v>605</v>
      </c>
      <c r="D51" s="281"/>
      <c r="E51" s="280" t="s">
        <v>89</v>
      </c>
      <c r="F51" s="280" t="s">
        <v>41</v>
      </c>
      <c r="G51" s="282">
        <v>1.5831368E7</v>
      </c>
      <c r="H51" s="280" t="s">
        <v>51</v>
      </c>
      <c r="I51" s="283" t="s">
        <v>1354</v>
      </c>
      <c r="J51" s="284" t="s">
        <v>1355</v>
      </c>
      <c r="K51" s="293" t="s">
        <v>608</v>
      </c>
      <c r="L51" s="294" t="s">
        <v>1356</v>
      </c>
      <c r="M51" s="294" t="s">
        <v>610</v>
      </c>
      <c r="N51" s="295"/>
      <c r="O51" s="296" t="s">
        <v>62</v>
      </c>
      <c r="P51" s="297">
        <v>45952.0</v>
      </c>
      <c r="Q51" s="295"/>
      <c r="R51" s="298"/>
      <c r="S51" s="295"/>
      <c r="T51" s="298"/>
      <c r="U51" s="296" t="s">
        <v>62</v>
      </c>
      <c r="V51" s="297">
        <v>46000.0</v>
      </c>
      <c r="W51" s="295"/>
      <c r="X51" s="298"/>
      <c r="Y51" s="295"/>
      <c r="Z51" s="298"/>
      <c r="AA51" s="295"/>
      <c r="AB51" s="295"/>
    </row>
    <row r="52">
      <c r="A52" s="278">
        <v>1815.0</v>
      </c>
      <c r="B52" s="279">
        <v>45947.0</v>
      </c>
      <c r="C52" s="280" t="s">
        <v>605</v>
      </c>
      <c r="D52" s="281"/>
      <c r="E52" s="280" t="s">
        <v>89</v>
      </c>
      <c r="F52" s="280" t="s">
        <v>41</v>
      </c>
      <c r="G52" s="282">
        <v>1.5831367E7</v>
      </c>
      <c r="H52" s="280" t="s">
        <v>51</v>
      </c>
      <c r="I52" s="283" t="s">
        <v>1357</v>
      </c>
      <c r="J52" s="284" t="s">
        <v>1358</v>
      </c>
      <c r="K52" s="285" t="s">
        <v>608</v>
      </c>
      <c r="L52" s="286" t="s">
        <v>1359</v>
      </c>
      <c r="M52" s="286" t="s">
        <v>610</v>
      </c>
      <c r="N52" s="287"/>
      <c r="O52" s="288" t="s">
        <v>62</v>
      </c>
      <c r="P52" s="289">
        <v>45960.0</v>
      </c>
      <c r="Q52" s="287"/>
      <c r="R52" s="290"/>
      <c r="S52" s="287"/>
      <c r="T52" s="290"/>
      <c r="U52" s="288" t="s">
        <v>62</v>
      </c>
      <c r="V52" s="289">
        <v>46000.0</v>
      </c>
      <c r="W52" s="287"/>
      <c r="X52" s="290"/>
      <c r="Y52" s="287"/>
      <c r="Z52" s="290"/>
      <c r="AA52" s="287"/>
      <c r="AB52" s="287"/>
    </row>
    <row r="53">
      <c r="A53" s="292">
        <v>1814.0</v>
      </c>
      <c r="B53" s="279">
        <v>45947.0</v>
      </c>
      <c r="C53" s="280" t="s">
        <v>605</v>
      </c>
      <c r="D53" s="281"/>
      <c r="E53" s="280" t="s">
        <v>89</v>
      </c>
      <c r="F53" s="280" t="s">
        <v>41</v>
      </c>
      <c r="G53" s="282">
        <v>1.5831365E7</v>
      </c>
      <c r="H53" s="280" t="s">
        <v>51</v>
      </c>
      <c r="I53" s="283" t="s">
        <v>1360</v>
      </c>
      <c r="J53" s="284" t="s">
        <v>1361</v>
      </c>
      <c r="K53" s="293" t="s">
        <v>608</v>
      </c>
      <c r="L53" s="294" t="s">
        <v>1278</v>
      </c>
      <c r="M53" s="294" t="s">
        <v>610</v>
      </c>
      <c r="N53" s="295"/>
      <c r="O53" s="296" t="s">
        <v>62</v>
      </c>
      <c r="P53" s="297">
        <v>45952.0</v>
      </c>
      <c r="Q53" s="295"/>
      <c r="R53" s="298"/>
      <c r="S53" s="295"/>
      <c r="T53" s="298"/>
      <c r="U53" s="296" t="s">
        <v>62</v>
      </c>
      <c r="V53" s="297">
        <v>46002.0</v>
      </c>
      <c r="W53" s="295"/>
      <c r="X53" s="298"/>
      <c r="Y53" s="295"/>
      <c r="Z53" s="298"/>
      <c r="AA53" s="295"/>
      <c r="AB53" s="295"/>
    </row>
    <row r="54">
      <c r="A54" s="278">
        <v>1813.0</v>
      </c>
      <c r="B54" s="279">
        <v>45947.0</v>
      </c>
      <c r="C54" s="280" t="s">
        <v>605</v>
      </c>
      <c r="D54" s="281"/>
      <c r="E54" s="280" t="s">
        <v>1362</v>
      </c>
      <c r="F54" s="280" t="s">
        <v>41</v>
      </c>
      <c r="G54" s="282">
        <v>1.5831364E7</v>
      </c>
      <c r="H54" s="280" t="s">
        <v>51</v>
      </c>
      <c r="I54" s="283" t="s">
        <v>1363</v>
      </c>
      <c r="J54" s="284" t="s">
        <v>1364</v>
      </c>
      <c r="K54" s="285" t="s">
        <v>608</v>
      </c>
      <c r="L54" s="286" t="s">
        <v>1365</v>
      </c>
      <c r="M54" s="286" t="s">
        <v>610</v>
      </c>
      <c r="N54" s="287"/>
      <c r="O54" s="288" t="s">
        <v>62</v>
      </c>
      <c r="P54" s="289">
        <v>45960.0</v>
      </c>
      <c r="Q54" s="287"/>
      <c r="R54" s="290"/>
      <c r="S54" s="287"/>
      <c r="T54" s="290"/>
      <c r="U54" s="288" t="s">
        <v>62</v>
      </c>
      <c r="V54" s="289">
        <v>46002.0</v>
      </c>
      <c r="W54" s="287"/>
      <c r="X54" s="290"/>
      <c r="Y54" s="287"/>
      <c r="Z54" s="290"/>
      <c r="AA54" s="287"/>
      <c r="AB54" s="287"/>
    </row>
    <row r="55">
      <c r="A55" s="292">
        <v>1812.0</v>
      </c>
      <c r="B55" s="308">
        <v>45947.0</v>
      </c>
      <c r="C55" s="293" t="s">
        <v>605</v>
      </c>
      <c r="D55" s="303"/>
      <c r="E55" s="293" t="s">
        <v>89</v>
      </c>
      <c r="F55" s="293" t="s">
        <v>41</v>
      </c>
      <c r="G55" s="292">
        <v>1.5831363E7</v>
      </c>
      <c r="H55" s="293" t="s">
        <v>51</v>
      </c>
      <c r="I55" s="309" t="s">
        <v>1366</v>
      </c>
      <c r="J55" s="284" t="s">
        <v>1367</v>
      </c>
      <c r="K55" s="293" t="s">
        <v>608</v>
      </c>
      <c r="L55" s="294" t="s">
        <v>1368</v>
      </c>
      <c r="M55" s="294" t="s">
        <v>610</v>
      </c>
      <c r="N55" s="295"/>
      <c r="O55" s="296" t="s">
        <v>62</v>
      </c>
      <c r="P55" s="297">
        <v>45957.0</v>
      </c>
      <c r="Q55" s="295"/>
      <c r="R55" s="298"/>
      <c r="S55" s="295"/>
      <c r="T55" s="298"/>
      <c r="U55" s="296" t="s">
        <v>62</v>
      </c>
      <c r="V55" s="297">
        <v>45979.0</v>
      </c>
      <c r="W55" s="295"/>
      <c r="X55" s="298"/>
      <c r="Y55" s="295"/>
      <c r="Z55" s="298"/>
      <c r="AA55" s="295"/>
      <c r="AB55" s="295"/>
    </row>
    <row r="56">
      <c r="A56" s="278">
        <v>1811.0</v>
      </c>
      <c r="B56" s="307">
        <v>45947.0</v>
      </c>
      <c r="C56" s="285" t="s">
        <v>605</v>
      </c>
      <c r="D56" s="304"/>
      <c r="E56" s="285" t="s">
        <v>89</v>
      </c>
      <c r="F56" s="285" t="s">
        <v>41</v>
      </c>
      <c r="G56" s="278">
        <v>1.5831361E7</v>
      </c>
      <c r="H56" s="285" t="s">
        <v>51</v>
      </c>
      <c r="I56" s="291" t="s">
        <v>1369</v>
      </c>
      <c r="J56" s="284" t="s">
        <v>1370</v>
      </c>
      <c r="K56" s="285" t="s">
        <v>608</v>
      </c>
      <c r="L56" s="286" t="s">
        <v>1371</v>
      </c>
      <c r="M56" s="286" t="s">
        <v>610</v>
      </c>
      <c r="N56" s="287"/>
      <c r="O56" s="288" t="s">
        <v>62</v>
      </c>
      <c r="P56" s="289">
        <v>45958.0</v>
      </c>
      <c r="Q56" s="287"/>
      <c r="R56" s="290"/>
      <c r="S56" s="287"/>
      <c r="T56" s="290"/>
      <c r="U56" s="288" t="s">
        <v>62</v>
      </c>
      <c r="V56" s="289">
        <v>45972.0</v>
      </c>
      <c r="W56" s="287"/>
      <c r="X56" s="290"/>
      <c r="Y56" s="287"/>
      <c r="Z56" s="290"/>
      <c r="AA56" s="287"/>
      <c r="AB56" s="287"/>
    </row>
    <row r="57">
      <c r="A57" s="312">
        <v>1807.0</v>
      </c>
      <c r="B57" s="313">
        <v>45940.0</v>
      </c>
      <c r="C57" s="281" t="s">
        <v>1143</v>
      </c>
      <c r="D57" s="281"/>
      <c r="E57" s="281" t="s">
        <v>48</v>
      </c>
      <c r="F57" s="281" t="s">
        <v>49</v>
      </c>
      <c r="G57" s="314">
        <v>1.4692201E7</v>
      </c>
      <c r="H57" s="281" t="s">
        <v>51</v>
      </c>
      <c r="I57" s="315" t="s">
        <v>1372</v>
      </c>
      <c r="J57" s="316" t="s">
        <v>1373</v>
      </c>
      <c r="K57" s="325" t="s">
        <v>143</v>
      </c>
      <c r="L57" s="318" t="s">
        <v>1374</v>
      </c>
      <c r="M57" s="318" t="s">
        <v>610</v>
      </c>
      <c r="N57" s="318"/>
      <c r="O57" s="317"/>
      <c r="P57" s="322"/>
      <c r="Q57" s="318"/>
      <c r="R57" s="322"/>
      <c r="S57" s="318"/>
      <c r="T57" s="322"/>
      <c r="U57" s="320" t="s">
        <v>62</v>
      </c>
      <c r="V57" s="321">
        <v>45958.0</v>
      </c>
      <c r="W57" s="318"/>
      <c r="X57" s="322"/>
      <c r="Y57" s="318"/>
      <c r="Z57" s="322"/>
      <c r="AA57" s="318"/>
      <c r="AB57" s="318"/>
    </row>
    <row r="58">
      <c r="A58" s="312">
        <v>1806.0</v>
      </c>
      <c r="B58" s="313">
        <v>45939.0</v>
      </c>
      <c r="C58" s="281" t="s">
        <v>1294</v>
      </c>
      <c r="D58" s="281"/>
      <c r="E58" s="281" t="s">
        <v>1247</v>
      </c>
      <c r="F58" s="281" t="s">
        <v>49</v>
      </c>
      <c r="G58" s="314">
        <v>1.5781685E7</v>
      </c>
      <c r="H58" s="281" t="s">
        <v>32</v>
      </c>
      <c r="I58" s="315" t="s">
        <v>1375</v>
      </c>
      <c r="J58" s="316" t="s">
        <v>1376</v>
      </c>
      <c r="K58" s="317" t="s">
        <v>1244</v>
      </c>
      <c r="L58" s="318" t="s">
        <v>659</v>
      </c>
      <c r="M58" s="318" t="s">
        <v>610</v>
      </c>
      <c r="N58" s="318"/>
      <c r="O58" s="317"/>
      <c r="P58" s="322"/>
      <c r="Q58" s="318"/>
      <c r="R58" s="322"/>
      <c r="S58" s="318"/>
      <c r="T58" s="322"/>
      <c r="U58" s="320" t="s">
        <v>62</v>
      </c>
      <c r="V58" s="321">
        <v>45960.0</v>
      </c>
      <c r="W58" s="318"/>
      <c r="X58" s="322"/>
      <c r="Y58" s="318"/>
      <c r="Z58" s="322"/>
      <c r="AA58" s="318"/>
      <c r="AB58" s="318"/>
    </row>
    <row r="59">
      <c r="A59" s="312">
        <v>1805.0</v>
      </c>
      <c r="B59" s="313">
        <v>45938.0</v>
      </c>
      <c r="C59" s="281" t="s">
        <v>1377</v>
      </c>
      <c r="D59" s="281" t="s">
        <v>66</v>
      </c>
      <c r="E59" s="281" t="s">
        <v>918</v>
      </c>
      <c r="F59" s="281" t="s">
        <v>261</v>
      </c>
      <c r="G59" s="314">
        <v>1.635182E7</v>
      </c>
      <c r="H59" s="281" t="s">
        <v>32</v>
      </c>
      <c r="I59" s="315" t="s">
        <v>1378</v>
      </c>
      <c r="J59" s="316" t="s">
        <v>1379</v>
      </c>
      <c r="K59" s="317" t="s">
        <v>278</v>
      </c>
      <c r="L59" s="318" t="s">
        <v>1286</v>
      </c>
      <c r="M59" s="318" t="s">
        <v>280</v>
      </c>
      <c r="N59" s="318"/>
      <c r="O59" s="317"/>
      <c r="P59" s="322"/>
      <c r="Q59" s="326" t="s">
        <v>62</v>
      </c>
      <c r="R59" s="321">
        <v>45945.0</v>
      </c>
      <c r="S59" s="318"/>
      <c r="T59" s="322"/>
      <c r="U59" s="320" t="s">
        <v>62</v>
      </c>
      <c r="V59" s="321">
        <v>45946.0</v>
      </c>
      <c r="W59" s="318"/>
      <c r="X59" s="322"/>
      <c r="Y59" s="318"/>
      <c r="Z59" s="322"/>
      <c r="AA59" s="318"/>
      <c r="AB59" s="318"/>
    </row>
    <row r="60">
      <c r="A60" s="292">
        <v>1804.0</v>
      </c>
      <c r="B60" s="279">
        <v>45937.0</v>
      </c>
      <c r="C60" s="280" t="s">
        <v>767</v>
      </c>
      <c r="D60" s="281"/>
      <c r="E60" s="280" t="s">
        <v>768</v>
      </c>
      <c r="F60" s="280" t="s">
        <v>1380</v>
      </c>
      <c r="G60" s="282">
        <v>1.9080179E7</v>
      </c>
      <c r="H60" s="280" t="s">
        <v>200</v>
      </c>
      <c r="I60" s="283" t="s">
        <v>1381</v>
      </c>
      <c r="J60" s="284" t="s">
        <v>1382</v>
      </c>
      <c r="K60" s="293" t="s">
        <v>1383</v>
      </c>
      <c r="L60" s="294" t="s">
        <v>1384</v>
      </c>
      <c r="M60" s="295"/>
      <c r="N60" s="295"/>
      <c r="O60" s="296" t="s">
        <v>62</v>
      </c>
      <c r="P60" s="297">
        <v>45957.0</v>
      </c>
      <c r="Q60" s="295"/>
      <c r="R60" s="298"/>
      <c r="S60" s="295"/>
      <c r="T60" s="298"/>
      <c r="U60" s="296" t="s">
        <v>62</v>
      </c>
      <c r="V60" s="297">
        <v>45982.0</v>
      </c>
      <c r="W60" s="295"/>
      <c r="X60" s="298"/>
      <c r="Y60" s="295"/>
      <c r="Z60" s="298"/>
      <c r="AA60" s="295"/>
      <c r="AB60" s="295"/>
    </row>
    <row r="61">
      <c r="A61" s="292">
        <v>1803.0</v>
      </c>
      <c r="B61" s="279">
        <v>45936.0</v>
      </c>
      <c r="C61" s="280" t="s">
        <v>1385</v>
      </c>
      <c r="D61" s="281"/>
      <c r="E61" s="280" t="s">
        <v>1386</v>
      </c>
      <c r="F61" s="280" t="s">
        <v>515</v>
      </c>
      <c r="G61" s="282">
        <v>1.5800377E7</v>
      </c>
      <c r="H61" s="280" t="s">
        <v>200</v>
      </c>
      <c r="I61" s="283" t="s">
        <v>1387</v>
      </c>
      <c r="J61" s="284" t="s">
        <v>1388</v>
      </c>
      <c r="K61" s="293" t="s">
        <v>519</v>
      </c>
      <c r="L61" s="300"/>
      <c r="M61" s="295"/>
      <c r="N61" s="295"/>
      <c r="O61" s="303"/>
      <c r="P61" s="298"/>
      <c r="Q61" s="295"/>
      <c r="R61" s="298"/>
      <c r="S61" s="295"/>
      <c r="T61" s="298"/>
      <c r="U61" s="296" t="s">
        <v>62</v>
      </c>
      <c r="V61" s="297">
        <v>45979.0</v>
      </c>
      <c r="W61" s="295"/>
      <c r="X61" s="298"/>
      <c r="Y61" s="295"/>
      <c r="Z61" s="298"/>
      <c r="AA61" s="295"/>
      <c r="AB61" s="295"/>
    </row>
    <row r="62">
      <c r="A62" s="312">
        <v>1801.0</v>
      </c>
      <c r="B62" s="313">
        <v>45932.0</v>
      </c>
      <c r="C62" s="281" t="s">
        <v>1294</v>
      </c>
      <c r="D62" s="281"/>
      <c r="E62" s="281" t="s">
        <v>1247</v>
      </c>
      <c r="F62" s="281" t="s">
        <v>49</v>
      </c>
      <c r="G62" s="314">
        <v>1.5781682E7</v>
      </c>
      <c r="H62" s="281" t="s">
        <v>32</v>
      </c>
      <c r="I62" s="315" t="s">
        <v>1389</v>
      </c>
      <c r="J62" s="316" t="s">
        <v>1390</v>
      </c>
      <c r="K62" s="317" t="s">
        <v>1244</v>
      </c>
      <c r="L62" s="318" t="s">
        <v>1391</v>
      </c>
      <c r="M62" s="318" t="s">
        <v>1392</v>
      </c>
      <c r="N62" s="318"/>
      <c r="O62" s="320" t="s">
        <v>62</v>
      </c>
      <c r="P62" s="321">
        <v>45933.0</v>
      </c>
      <c r="Q62" s="318"/>
      <c r="R62" s="322"/>
      <c r="S62" s="318"/>
      <c r="T62" s="322"/>
      <c r="U62" s="320" t="s">
        <v>62</v>
      </c>
      <c r="V62" s="321">
        <v>45933.0</v>
      </c>
      <c r="W62" s="318"/>
      <c r="X62" s="322"/>
      <c r="Y62" s="318"/>
      <c r="Z62" s="322"/>
      <c r="AA62" s="318"/>
      <c r="AB62" s="318"/>
    </row>
    <row r="63">
      <c r="A63" s="312">
        <v>1794.0</v>
      </c>
      <c r="B63" s="313">
        <v>45931.0</v>
      </c>
      <c r="C63" s="281" t="s">
        <v>1393</v>
      </c>
      <c r="D63" s="281"/>
      <c r="E63" s="281" t="s">
        <v>1394</v>
      </c>
      <c r="F63" s="281" t="s">
        <v>49</v>
      </c>
      <c r="G63" s="314">
        <v>1.8170198E7</v>
      </c>
      <c r="H63" s="281" t="s">
        <v>32</v>
      </c>
      <c r="I63" s="315" t="s">
        <v>1395</v>
      </c>
      <c r="J63" s="316" t="s">
        <v>1396</v>
      </c>
      <c r="K63" s="317" t="s">
        <v>1397</v>
      </c>
      <c r="L63" s="318" t="s">
        <v>1398</v>
      </c>
      <c r="M63" s="318" t="s">
        <v>725</v>
      </c>
      <c r="N63" s="318"/>
      <c r="O63" s="317"/>
      <c r="P63" s="322"/>
      <c r="Q63" s="318"/>
      <c r="R63" s="322"/>
      <c r="S63" s="318"/>
      <c r="T63" s="322"/>
      <c r="U63" s="320" t="s">
        <v>62</v>
      </c>
      <c r="V63" s="321">
        <v>45938.0</v>
      </c>
      <c r="W63" s="318"/>
      <c r="X63" s="322"/>
      <c r="Y63" s="318"/>
      <c r="Z63" s="322"/>
      <c r="AA63" s="318"/>
      <c r="AB63" s="318"/>
    </row>
    <row r="64">
      <c r="A64" s="312">
        <v>1792.0</v>
      </c>
      <c r="B64" s="313">
        <v>45929.0</v>
      </c>
      <c r="C64" s="281" t="s">
        <v>605</v>
      </c>
      <c r="D64" s="281"/>
      <c r="E64" s="281" t="s">
        <v>89</v>
      </c>
      <c r="F64" s="281" t="s">
        <v>41</v>
      </c>
      <c r="G64" s="314">
        <v>1.5831356E7</v>
      </c>
      <c r="H64" s="281" t="s">
        <v>51</v>
      </c>
      <c r="I64" s="315" t="s">
        <v>1399</v>
      </c>
      <c r="J64" s="316" t="s">
        <v>1400</v>
      </c>
      <c r="K64" s="317" t="s">
        <v>608</v>
      </c>
      <c r="L64" s="318" t="s">
        <v>1374</v>
      </c>
      <c r="M64" s="318" t="s">
        <v>610</v>
      </c>
      <c r="N64" s="318"/>
      <c r="O64" s="320" t="s">
        <v>62</v>
      </c>
      <c r="P64" s="321">
        <v>45939.0</v>
      </c>
      <c r="Q64" s="318"/>
      <c r="R64" s="322"/>
      <c r="S64" s="318"/>
      <c r="T64" s="322"/>
      <c r="U64" s="320" t="s">
        <v>62</v>
      </c>
      <c r="V64" s="321">
        <v>45966.0</v>
      </c>
      <c r="W64" s="318"/>
      <c r="X64" s="322"/>
      <c r="Y64" s="318"/>
      <c r="Z64" s="322"/>
      <c r="AA64" s="318"/>
      <c r="AB64" s="318"/>
    </row>
    <row r="65">
      <c r="A65" s="327">
        <v>1789.0</v>
      </c>
      <c r="B65" s="328">
        <v>45926.0</v>
      </c>
      <c r="C65" s="329" t="s">
        <v>1294</v>
      </c>
      <c r="D65" s="329"/>
      <c r="E65" s="329" t="s">
        <v>1247</v>
      </c>
      <c r="F65" s="329" t="s">
        <v>49</v>
      </c>
      <c r="G65" s="330">
        <v>1.5781684E7</v>
      </c>
      <c r="H65" s="329" t="s">
        <v>32</v>
      </c>
      <c r="I65" s="331" t="s">
        <v>1401</v>
      </c>
      <c r="J65" s="332" t="s">
        <v>1402</v>
      </c>
      <c r="K65" s="333" t="s">
        <v>1244</v>
      </c>
      <c r="L65" s="334" t="s">
        <v>659</v>
      </c>
      <c r="M65" s="334" t="s">
        <v>610</v>
      </c>
      <c r="N65" s="334"/>
      <c r="O65" s="335" t="s">
        <v>62</v>
      </c>
      <c r="P65" s="336">
        <v>45929.0</v>
      </c>
      <c r="Q65" s="334"/>
      <c r="R65" s="337"/>
      <c r="S65" s="334"/>
      <c r="T65" s="337"/>
      <c r="U65" s="335" t="s">
        <v>62</v>
      </c>
      <c r="V65" s="336">
        <v>45946.0</v>
      </c>
      <c r="W65" s="334"/>
      <c r="X65" s="337"/>
      <c r="Y65" s="334"/>
      <c r="Z65" s="337"/>
      <c r="AA65" s="334"/>
      <c r="AB65" s="334"/>
    </row>
    <row r="66">
      <c r="A66" s="338">
        <v>1788.0</v>
      </c>
      <c r="B66" s="339">
        <v>45926.0</v>
      </c>
      <c r="C66" s="340" t="s">
        <v>1294</v>
      </c>
      <c r="D66" s="340"/>
      <c r="E66" s="340" t="s">
        <v>1247</v>
      </c>
      <c r="F66" s="340" t="s">
        <v>49</v>
      </c>
      <c r="G66" s="341">
        <v>1.5781683E7</v>
      </c>
      <c r="H66" s="340" t="s">
        <v>32</v>
      </c>
      <c r="I66" s="342" t="s">
        <v>1401</v>
      </c>
      <c r="J66" s="343" t="s">
        <v>1402</v>
      </c>
      <c r="K66" s="344" t="s">
        <v>1244</v>
      </c>
      <c r="L66" s="345" t="s">
        <v>659</v>
      </c>
      <c r="M66" s="345" t="s">
        <v>610</v>
      </c>
      <c r="N66" s="345"/>
      <c r="O66" s="346" t="s">
        <v>62</v>
      </c>
      <c r="P66" s="347">
        <v>45929.0</v>
      </c>
      <c r="Q66" s="345"/>
      <c r="R66" s="348"/>
      <c r="S66" s="345"/>
      <c r="T66" s="348"/>
      <c r="U66" s="346" t="s">
        <v>62</v>
      </c>
      <c r="V66" s="347">
        <v>45932.0</v>
      </c>
      <c r="W66" s="345"/>
      <c r="X66" s="348"/>
      <c r="Y66" s="345"/>
      <c r="Z66" s="348"/>
      <c r="AA66" s="345"/>
      <c r="AB66" s="345"/>
    </row>
    <row r="67">
      <c r="A67" s="312">
        <v>1787.0</v>
      </c>
      <c r="B67" s="313">
        <v>45925.0</v>
      </c>
      <c r="C67" s="281" t="s">
        <v>1403</v>
      </c>
      <c r="D67" s="281"/>
      <c r="E67" s="281" t="s">
        <v>588</v>
      </c>
      <c r="F67" s="281" t="s">
        <v>1404</v>
      </c>
      <c r="G67" s="314">
        <v>1.9500106E7</v>
      </c>
      <c r="H67" s="281" t="s">
        <v>51</v>
      </c>
      <c r="I67" s="315" t="s">
        <v>1405</v>
      </c>
      <c r="J67" s="316" t="s">
        <v>1406</v>
      </c>
      <c r="K67" s="317" t="s">
        <v>964</v>
      </c>
      <c r="L67" s="318"/>
      <c r="M67" s="318"/>
      <c r="N67" s="318"/>
      <c r="O67" s="320" t="s">
        <v>62</v>
      </c>
      <c r="P67" s="321">
        <v>45925.0</v>
      </c>
      <c r="Q67" s="318"/>
      <c r="R67" s="322"/>
      <c r="S67" s="318"/>
      <c r="T67" s="322"/>
      <c r="U67" s="320" t="s">
        <v>62</v>
      </c>
      <c r="V67" s="321">
        <v>45925.0</v>
      </c>
      <c r="W67" s="318"/>
      <c r="X67" s="322"/>
      <c r="Y67" s="318"/>
      <c r="Z67" s="322"/>
      <c r="AA67" s="318"/>
      <c r="AB67" s="318"/>
    </row>
    <row r="68">
      <c r="A68" s="312">
        <v>1786.0</v>
      </c>
      <c r="B68" s="313">
        <v>45924.0</v>
      </c>
      <c r="C68" s="281" t="s">
        <v>1407</v>
      </c>
      <c r="D68" s="281"/>
      <c r="E68" s="281" t="s">
        <v>885</v>
      </c>
      <c r="F68" s="281" t="s">
        <v>49</v>
      </c>
      <c r="G68" s="314">
        <v>1.5122578E7</v>
      </c>
      <c r="H68" s="281" t="s">
        <v>32</v>
      </c>
      <c r="I68" s="315" t="s">
        <v>1408</v>
      </c>
      <c r="J68" s="316" t="s">
        <v>1409</v>
      </c>
      <c r="K68" s="317" t="s">
        <v>1244</v>
      </c>
      <c r="L68" s="318" t="s">
        <v>646</v>
      </c>
      <c r="M68" s="318" t="s">
        <v>1234</v>
      </c>
      <c r="N68" s="318"/>
      <c r="O68" s="317"/>
      <c r="P68" s="322"/>
      <c r="Q68" s="318"/>
      <c r="R68" s="322"/>
      <c r="S68" s="318"/>
      <c r="T68" s="322"/>
      <c r="U68" s="320" t="s">
        <v>62</v>
      </c>
      <c r="V68" s="321">
        <v>45926.0</v>
      </c>
      <c r="W68" s="318"/>
      <c r="X68" s="322"/>
      <c r="Y68" s="318"/>
      <c r="Z68" s="322"/>
      <c r="AA68" s="318"/>
      <c r="AB68" s="318"/>
    </row>
    <row r="69">
      <c r="A69" s="312">
        <v>1785.0</v>
      </c>
      <c r="B69" s="313">
        <v>45924.0</v>
      </c>
      <c r="C69" s="281" t="s">
        <v>1410</v>
      </c>
      <c r="D69" s="281"/>
      <c r="E69" s="281" t="s">
        <v>1411</v>
      </c>
      <c r="F69" s="281" t="s">
        <v>160</v>
      </c>
      <c r="G69" s="314">
        <v>1.5620388E7</v>
      </c>
      <c r="H69" s="281" t="s">
        <v>32</v>
      </c>
      <c r="I69" s="315" t="s">
        <v>1412</v>
      </c>
      <c r="J69" s="316" t="s">
        <v>1413</v>
      </c>
      <c r="K69" s="317"/>
      <c r="L69" s="318"/>
      <c r="M69" s="318"/>
      <c r="N69" s="318"/>
      <c r="O69" s="317"/>
      <c r="P69" s="322"/>
      <c r="Q69" s="318"/>
      <c r="R69" s="322"/>
      <c r="S69" s="318"/>
      <c r="T69" s="322"/>
      <c r="U69" s="320" t="s">
        <v>62</v>
      </c>
      <c r="V69" s="321">
        <v>45924.0</v>
      </c>
      <c r="W69" s="318"/>
      <c r="X69" s="322"/>
      <c r="Y69" s="318"/>
      <c r="Z69" s="322"/>
      <c r="AA69" s="318"/>
      <c r="AB69" s="318"/>
    </row>
    <row r="70">
      <c r="A70" s="314">
        <v>1781.0</v>
      </c>
      <c r="B70" s="313">
        <v>45741.0</v>
      </c>
      <c r="C70" s="281" t="s">
        <v>373</v>
      </c>
      <c r="D70" s="281"/>
      <c r="E70" s="281" t="s">
        <v>374</v>
      </c>
      <c r="F70" s="281" t="s">
        <v>1414</v>
      </c>
      <c r="G70" s="314">
        <v>1.9240134E7</v>
      </c>
      <c r="H70" s="281" t="s">
        <v>348</v>
      </c>
      <c r="I70" s="315" t="s">
        <v>1415</v>
      </c>
      <c r="J70" s="316" t="s">
        <v>1416</v>
      </c>
      <c r="K70" s="281"/>
      <c r="L70" s="349" t="s">
        <v>1417</v>
      </c>
      <c r="M70" s="349"/>
      <c r="N70" s="349"/>
      <c r="O70" s="350" t="s">
        <v>62</v>
      </c>
      <c r="P70" s="351">
        <v>45741.0</v>
      </c>
      <c r="Q70" s="318"/>
      <c r="R70" s="322"/>
      <c r="S70" s="318"/>
      <c r="T70" s="322"/>
      <c r="U70" s="320" t="s">
        <v>62</v>
      </c>
      <c r="V70" s="322"/>
      <c r="W70" s="318"/>
      <c r="X70" s="322"/>
      <c r="Y70" s="318"/>
      <c r="Z70" s="322"/>
      <c r="AA70" s="318"/>
      <c r="AB70" s="318"/>
    </row>
    <row r="71">
      <c r="A71" s="312">
        <v>1780.0</v>
      </c>
      <c r="B71" s="313">
        <v>45919.0</v>
      </c>
      <c r="C71" s="281" t="s">
        <v>605</v>
      </c>
      <c r="D71" s="281"/>
      <c r="E71" s="281" t="s">
        <v>89</v>
      </c>
      <c r="F71" s="281" t="s">
        <v>41</v>
      </c>
      <c r="G71" s="314">
        <v>1.5831356E7</v>
      </c>
      <c r="H71" s="281" t="s">
        <v>51</v>
      </c>
      <c r="I71" s="315" t="s">
        <v>1418</v>
      </c>
      <c r="J71" s="316" t="s">
        <v>1419</v>
      </c>
      <c r="K71" s="317" t="s">
        <v>608</v>
      </c>
      <c r="L71" s="318" t="s">
        <v>1257</v>
      </c>
      <c r="M71" s="318" t="s">
        <v>610</v>
      </c>
      <c r="N71" s="318"/>
      <c r="O71" s="320" t="s">
        <v>62</v>
      </c>
      <c r="P71" s="322"/>
      <c r="Q71" s="318"/>
      <c r="R71" s="322"/>
      <c r="S71" s="318"/>
      <c r="T71" s="322"/>
      <c r="U71" s="320" t="s">
        <v>62</v>
      </c>
      <c r="V71" s="321">
        <v>45966.0</v>
      </c>
      <c r="W71" s="318"/>
      <c r="X71" s="322"/>
      <c r="Y71" s="318"/>
      <c r="Z71" s="322"/>
      <c r="AA71" s="318"/>
      <c r="AB71" s="318"/>
    </row>
    <row r="72">
      <c r="A72" s="312">
        <v>1779.0</v>
      </c>
      <c r="B72" s="313">
        <v>45919.0</v>
      </c>
      <c r="C72" s="281" t="s">
        <v>605</v>
      </c>
      <c r="D72" s="281"/>
      <c r="E72" s="281" t="s">
        <v>89</v>
      </c>
      <c r="F72" s="281" t="s">
        <v>41</v>
      </c>
      <c r="G72" s="314">
        <v>1.5831355E7</v>
      </c>
      <c r="H72" s="281" t="s">
        <v>51</v>
      </c>
      <c r="I72" s="315" t="s">
        <v>1420</v>
      </c>
      <c r="J72" s="352" t="s">
        <v>1421</v>
      </c>
      <c r="K72" s="317" t="s">
        <v>608</v>
      </c>
      <c r="L72" s="318" t="s">
        <v>1422</v>
      </c>
      <c r="M72" s="318" t="s">
        <v>610</v>
      </c>
      <c r="N72" s="318"/>
      <c r="O72" s="320" t="s">
        <v>62</v>
      </c>
      <c r="P72" s="322"/>
      <c r="Q72" s="318"/>
      <c r="R72" s="322"/>
      <c r="S72" s="318"/>
      <c r="T72" s="322"/>
      <c r="U72" s="320" t="s">
        <v>62</v>
      </c>
      <c r="V72" s="321">
        <v>45930.0</v>
      </c>
      <c r="W72" s="318"/>
      <c r="X72" s="322"/>
      <c r="Y72" s="318"/>
      <c r="Z72" s="322"/>
      <c r="AA72" s="318"/>
      <c r="AB72" s="318"/>
    </row>
    <row r="73">
      <c r="A73" s="312">
        <v>1778.0</v>
      </c>
      <c r="B73" s="313">
        <v>45919.0</v>
      </c>
      <c r="C73" s="281" t="s">
        <v>605</v>
      </c>
      <c r="D73" s="281"/>
      <c r="E73" s="281" t="s">
        <v>89</v>
      </c>
      <c r="F73" s="281" t="s">
        <v>41</v>
      </c>
      <c r="G73" s="314">
        <v>1.5831354E7</v>
      </c>
      <c r="H73" s="281" t="s">
        <v>51</v>
      </c>
      <c r="I73" s="315" t="s">
        <v>1423</v>
      </c>
      <c r="J73" s="316" t="s">
        <v>1424</v>
      </c>
      <c r="K73" s="317" t="s">
        <v>608</v>
      </c>
      <c r="L73" s="318" t="s">
        <v>1425</v>
      </c>
      <c r="M73" s="318" t="s">
        <v>610</v>
      </c>
      <c r="N73" s="318"/>
      <c r="O73" s="320" t="s">
        <v>62</v>
      </c>
      <c r="P73" s="322"/>
      <c r="Q73" s="318"/>
      <c r="R73" s="322"/>
      <c r="S73" s="318"/>
      <c r="T73" s="322"/>
      <c r="U73" s="320" t="s">
        <v>62</v>
      </c>
      <c r="V73" s="321">
        <v>45930.0</v>
      </c>
      <c r="W73" s="318"/>
      <c r="X73" s="322"/>
      <c r="Y73" s="318"/>
      <c r="Z73" s="322"/>
      <c r="AA73" s="318"/>
      <c r="AB73" s="318"/>
    </row>
    <row r="74">
      <c r="A74" s="312">
        <v>1777.0</v>
      </c>
      <c r="B74" s="313">
        <v>45919.0</v>
      </c>
      <c r="C74" s="281" t="s">
        <v>605</v>
      </c>
      <c r="D74" s="281"/>
      <c r="E74" s="281" t="s">
        <v>89</v>
      </c>
      <c r="F74" s="281" t="s">
        <v>41</v>
      </c>
      <c r="G74" s="314">
        <v>1.5831353E7</v>
      </c>
      <c r="H74" s="281" t="s">
        <v>51</v>
      </c>
      <c r="I74" s="315" t="s">
        <v>1418</v>
      </c>
      <c r="J74" s="316" t="s">
        <v>1426</v>
      </c>
      <c r="K74" s="317" t="s">
        <v>608</v>
      </c>
      <c r="L74" s="318" t="s">
        <v>1257</v>
      </c>
      <c r="M74" s="318" t="s">
        <v>610</v>
      </c>
      <c r="N74" s="318"/>
      <c r="O74" s="320" t="s">
        <v>62</v>
      </c>
      <c r="P74" s="322"/>
      <c r="Q74" s="318"/>
      <c r="R74" s="322"/>
      <c r="S74" s="318"/>
      <c r="T74" s="322"/>
      <c r="U74" s="320" t="s">
        <v>62</v>
      </c>
      <c r="V74" s="321">
        <v>45930.0</v>
      </c>
      <c r="W74" s="318"/>
      <c r="X74" s="322"/>
      <c r="Y74" s="318"/>
      <c r="Z74" s="322"/>
      <c r="AA74" s="318"/>
      <c r="AB74" s="318"/>
    </row>
    <row r="75">
      <c r="A75" s="292">
        <v>1776.0</v>
      </c>
      <c r="B75" s="279">
        <v>45918.0</v>
      </c>
      <c r="C75" s="280" t="s">
        <v>1427</v>
      </c>
      <c r="D75" s="281"/>
      <c r="E75" s="280" t="s">
        <v>514</v>
      </c>
      <c r="F75" s="280" t="s">
        <v>515</v>
      </c>
      <c r="G75" s="282">
        <v>1.4800218E7</v>
      </c>
      <c r="H75" s="280" t="s">
        <v>200</v>
      </c>
      <c r="I75" s="283" t="s">
        <v>1428</v>
      </c>
      <c r="J75" s="284" t="s">
        <v>1429</v>
      </c>
      <c r="K75" s="293" t="s">
        <v>1430</v>
      </c>
      <c r="L75" s="300"/>
      <c r="M75" s="295"/>
      <c r="N75" s="295"/>
      <c r="O75" s="303"/>
      <c r="P75" s="298"/>
      <c r="Q75" s="295"/>
      <c r="R75" s="298"/>
      <c r="S75" s="295"/>
      <c r="T75" s="298"/>
      <c r="U75" s="296" t="s">
        <v>62</v>
      </c>
      <c r="V75" s="297">
        <v>45975.0</v>
      </c>
      <c r="W75" s="295"/>
      <c r="X75" s="298"/>
      <c r="Y75" s="295"/>
      <c r="Z75" s="298"/>
      <c r="AA75" s="295"/>
      <c r="AB75" s="295"/>
    </row>
    <row r="76">
      <c r="A76" s="312">
        <v>1774.0</v>
      </c>
      <c r="B76" s="313">
        <v>45912.0</v>
      </c>
      <c r="C76" s="281" t="s">
        <v>1431</v>
      </c>
      <c r="D76" s="281"/>
      <c r="E76" s="281" t="s">
        <v>918</v>
      </c>
      <c r="F76" s="281" t="s">
        <v>1432</v>
      </c>
      <c r="G76" s="314">
        <v>1.6351795E7</v>
      </c>
      <c r="H76" s="281" t="s">
        <v>32</v>
      </c>
      <c r="I76" s="315" t="s">
        <v>1433</v>
      </c>
      <c r="J76" s="316" t="s">
        <v>1434</v>
      </c>
      <c r="K76" s="317" t="s">
        <v>1435</v>
      </c>
      <c r="L76" s="318" t="s">
        <v>343</v>
      </c>
      <c r="M76" s="318"/>
      <c r="N76" s="318"/>
      <c r="O76" s="317"/>
      <c r="P76" s="322"/>
      <c r="Q76" s="318"/>
      <c r="R76" s="322"/>
      <c r="S76" s="318"/>
      <c r="T76" s="322"/>
      <c r="U76" s="320" t="s">
        <v>62</v>
      </c>
      <c r="V76" s="321">
        <v>45925.0</v>
      </c>
      <c r="W76" s="318"/>
      <c r="X76" s="322"/>
      <c r="Y76" s="318"/>
      <c r="Z76" s="322"/>
      <c r="AA76" s="318"/>
      <c r="AB76" s="318"/>
    </row>
    <row r="77">
      <c r="A77" s="312">
        <v>1771.0</v>
      </c>
      <c r="B77" s="313">
        <v>45912.0</v>
      </c>
      <c r="C77" s="281" t="s">
        <v>582</v>
      </c>
      <c r="D77" s="281" t="s">
        <v>66</v>
      </c>
      <c r="E77" s="281" t="s">
        <v>67</v>
      </c>
      <c r="F77" s="281" t="s">
        <v>49</v>
      </c>
      <c r="G77" s="314">
        <v>1.9050281E7</v>
      </c>
      <c r="H77" s="281" t="s">
        <v>42</v>
      </c>
      <c r="I77" s="315" t="s">
        <v>1436</v>
      </c>
      <c r="J77" s="316" t="s">
        <v>1437</v>
      </c>
      <c r="K77" s="317" t="s">
        <v>129</v>
      </c>
      <c r="L77" s="353" t="s">
        <v>585</v>
      </c>
      <c r="M77" s="319" t="s">
        <v>586</v>
      </c>
      <c r="N77" s="318"/>
      <c r="O77" s="320" t="s">
        <v>62</v>
      </c>
      <c r="P77" s="321">
        <v>45922.0</v>
      </c>
      <c r="Q77" s="318"/>
      <c r="R77" s="322"/>
      <c r="S77" s="318"/>
      <c r="T77" s="322"/>
      <c r="U77" s="320" t="s">
        <v>62</v>
      </c>
      <c r="V77" s="321">
        <v>45936.0</v>
      </c>
      <c r="W77" s="318"/>
      <c r="X77" s="322"/>
      <c r="Y77" s="318"/>
      <c r="Z77" s="322"/>
      <c r="AA77" s="318"/>
      <c r="AB77" s="318"/>
    </row>
    <row r="78">
      <c r="A78" s="278">
        <v>1770.0</v>
      </c>
      <c r="B78" s="279">
        <v>45912.0</v>
      </c>
      <c r="C78" s="280" t="s">
        <v>1438</v>
      </c>
      <c r="D78" s="280" t="s">
        <v>66</v>
      </c>
      <c r="E78" s="280" t="s">
        <v>417</v>
      </c>
      <c r="F78" s="280" t="s">
        <v>281</v>
      </c>
      <c r="G78" s="282">
        <v>1.6340615E7</v>
      </c>
      <c r="H78" s="280" t="s">
        <v>200</v>
      </c>
      <c r="I78" s="283" t="s">
        <v>1439</v>
      </c>
      <c r="J78" s="284" t="s">
        <v>1440</v>
      </c>
      <c r="K78" s="285" t="s">
        <v>420</v>
      </c>
      <c r="L78" s="286" t="s">
        <v>1441</v>
      </c>
      <c r="M78" s="354" t="s">
        <v>267</v>
      </c>
      <c r="N78" s="287"/>
      <c r="O78" s="288" t="s">
        <v>62</v>
      </c>
      <c r="P78" s="289">
        <v>45937.0</v>
      </c>
      <c r="Q78" s="287"/>
      <c r="R78" s="290"/>
      <c r="S78" s="287"/>
      <c r="T78" s="290"/>
      <c r="U78" s="288" t="s">
        <v>62</v>
      </c>
      <c r="V78" s="289">
        <v>45989.0</v>
      </c>
      <c r="W78" s="287"/>
      <c r="X78" s="290"/>
      <c r="Y78" s="287"/>
      <c r="Z78" s="290"/>
      <c r="AA78" s="287"/>
      <c r="AB78" s="287"/>
    </row>
    <row r="79">
      <c r="A79" s="312">
        <v>1769.0</v>
      </c>
      <c r="B79" s="313">
        <v>45912.0</v>
      </c>
      <c r="C79" s="281" t="s">
        <v>268</v>
      </c>
      <c r="D79" s="281"/>
      <c r="E79" s="281" t="s">
        <v>89</v>
      </c>
      <c r="F79" s="281" t="s">
        <v>41</v>
      </c>
      <c r="G79" s="314">
        <v>1.5831343E7</v>
      </c>
      <c r="H79" s="281" t="s">
        <v>51</v>
      </c>
      <c r="I79" s="315" t="s">
        <v>1442</v>
      </c>
      <c r="J79" s="316" t="s">
        <v>1443</v>
      </c>
      <c r="K79" s="317" t="s">
        <v>92</v>
      </c>
      <c r="L79" s="318" t="s">
        <v>640</v>
      </c>
      <c r="M79" s="318" t="s">
        <v>610</v>
      </c>
      <c r="N79" s="318"/>
      <c r="O79" s="320" t="s">
        <v>62</v>
      </c>
      <c r="P79" s="321">
        <v>45912.0</v>
      </c>
      <c r="Q79" s="318"/>
      <c r="R79" s="322"/>
      <c r="S79" s="318"/>
      <c r="T79" s="322"/>
      <c r="U79" s="320" t="s">
        <v>62</v>
      </c>
      <c r="V79" s="321">
        <v>45926.0</v>
      </c>
      <c r="W79" s="318"/>
      <c r="X79" s="322"/>
      <c r="Y79" s="318"/>
      <c r="Z79" s="322"/>
      <c r="AA79" s="318"/>
      <c r="AB79" s="318"/>
    </row>
    <row r="80">
      <c r="A80" s="312">
        <v>1768.0</v>
      </c>
      <c r="B80" s="313">
        <v>45911.0</v>
      </c>
      <c r="C80" s="281" t="s">
        <v>268</v>
      </c>
      <c r="D80" s="281"/>
      <c r="E80" s="281" t="s">
        <v>89</v>
      </c>
      <c r="F80" s="281" t="s">
        <v>41</v>
      </c>
      <c r="G80" s="314">
        <v>1.5831343E7</v>
      </c>
      <c r="H80" s="281" t="s">
        <v>51</v>
      </c>
      <c r="I80" s="315" t="s">
        <v>1444</v>
      </c>
      <c r="J80" s="316" t="s">
        <v>1445</v>
      </c>
      <c r="K80" s="317" t="s">
        <v>92</v>
      </c>
      <c r="L80" s="318" t="s">
        <v>1356</v>
      </c>
      <c r="M80" s="318" t="s">
        <v>610</v>
      </c>
      <c r="N80" s="318"/>
      <c r="O80" s="320" t="s">
        <v>62</v>
      </c>
      <c r="P80" s="321">
        <v>45912.0</v>
      </c>
      <c r="Q80" s="318"/>
      <c r="R80" s="322"/>
      <c r="S80" s="318"/>
      <c r="T80" s="322"/>
      <c r="U80" s="320" t="s">
        <v>62</v>
      </c>
      <c r="V80" s="321">
        <v>45926.0</v>
      </c>
      <c r="W80" s="318"/>
      <c r="X80" s="322"/>
      <c r="Y80" s="318"/>
      <c r="Z80" s="322"/>
      <c r="AA80" s="318"/>
      <c r="AB80" s="318"/>
    </row>
    <row r="81">
      <c r="A81" s="312">
        <v>1767.0</v>
      </c>
      <c r="B81" s="313">
        <v>45911.0</v>
      </c>
      <c r="C81" s="281" t="s">
        <v>268</v>
      </c>
      <c r="D81" s="281"/>
      <c r="E81" s="281" t="s">
        <v>89</v>
      </c>
      <c r="F81" s="281" t="s">
        <v>41</v>
      </c>
      <c r="G81" s="314">
        <v>1.5831342E7</v>
      </c>
      <c r="H81" s="281" t="s">
        <v>51</v>
      </c>
      <c r="I81" s="315" t="s">
        <v>1446</v>
      </c>
      <c r="J81" s="316" t="s">
        <v>1447</v>
      </c>
      <c r="K81" s="317" t="s">
        <v>92</v>
      </c>
      <c r="L81" s="318" t="s">
        <v>1276</v>
      </c>
      <c r="M81" s="318" t="s">
        <v>610</v>
      </c>
      <c r="N81" s="318"/>
      <c r="O81" s="320" t="s">
        <v>62</v>
      </c>
      <c r="P81" s="321">
        <v>45912.0</v>
      </c>
      <c r="Q81" s="318"/>
      <c r="R81" s="322"/>
      <c r="S81" s="318"/>
      <c r="T81" s="322"/>
      <c r="U81" s="320" t="s">
        <v>62</v>
      </c>
      <c r="V81" s="321">
        <v>45926.0</v>
      </c>
      <c r="W81" s="318"/>
      <c r="X81" s="322"/>
      <c r="Y81" s="318"/>
      <c r="Z81" s="322"/>
      <c r="AA81" s="318"/>
      <c r="AB81" s="318"/>
    </row>
    <row r="82">
      <c r="A82" s="312">
        <v>1765.0</v>
      </c>
      <c r="B82" s="313">
        <v>45910.0</v>
      </c>
      <c r="C82" s="281" t="s">
        <v>1448</v>
      </c>
      <c r="D82" s="281" t="s">
        <v>66</v>
      </c>
      <c r="E82" s="281" t="s">
        <v>1059</v>
      </c>
      <c r="F82" s="281" t="s">
        <v>1060</v>
      </c>
      <c r="G82" s="314">
        <v>1.9070636E7</v>
      </c>
      <c r="H82" s="281" t="s">
        <v>135</v>
      </c>
      <c r="I82" s="315" t="s">
        <v>1061</v>
      </c>
      <c r="J82" s="316" t="s">
        <v>1449</v>
      </c>
      <c r="K82" s="317" t="s">
        <v>1063</v>
      </c>
      <c r="L82" s="318"/>
      <c r="M82" s="318"/>
      <c r="N82" s="318"/>
      <c r="O82" s="320" t="s">
        <v>62</v>
      </c>
      <c r="P82" s="321">
        <v>45911.0</v>
      </c>
      <c r="Q82" s="318"/>
      <c r="R82" s="322"/>
      <c r="S82" s="318"/>
      <c r="T82" s="322"/>
      <c r="U82" s="320" t="s">
        <v>62</v>
      </c>
      <c r="V82" s="321">
        <v>45944.0</v>
      </c>
      <c r="W82" s="318"/>
      <c r="X82" s="322"/>
      <c r="Y82" s="318"/>
      <c r="Z82" s="322"/>
      <c r="AA82" s="318"/>
      <c r="AB82" s="318"/>
    </row>
    <row r="83">
      <c r="A83" s="312">
        <v>1764.0</v>
      </c>
      <c r="B83" s="313">
        <v>45910.0</v>
      </c>
      <c r="C83" s="281" t="s">
        <v>1450</v>
      </c>
      <c r="D83" s="281"/>
      <c r="E83" s="281" t="s">
        <v>89</v>
      </c>
      <c r="F83" s="281" t="s">
        <v>41</v>
      </c>
      <c r="G83" s="314">
        <v>1.5831167E7</v>
      </c>
      <c r="H83" s="281" t="s">
        <v>51</v>
      </c>
      <c r="I83" s="315" t="s">
        <v>1451</v>
      </c>
      <c r="J83" s="316" t="s">
        <v>1452</v>
      </c>
      <c r="K83" s="317" t="s">
        <v>92</v>
      </c>
      <c r="L83" s="318" t="s">
        <v>1276</v>
      </c>
      <c r="M83" s="318" t="s">
        <v>610</v>
      </c>
      <c r="N83" s="318"/>
      <c r="O83" s="320" t="s">
        <v>62</v>
      </c>
      <c r="P83" s="321">
        <v>45910.0</v>
      </c>
      <c r="Q83" s="318"/>
      <c r="R83" s="322"/>
      <c r="S83" s="318"/>
      <c r="T83" s="322"/>
      <c r="U83" s="320" t="s">
        <v>62</v>
      </c>
      <c r="V83" s="321">
        <v>45924.0</v>
      </c>
      <c r="W83" s="318"/>
      <c r="X83" s="322"/>
      <c r="Y83" s="318"/>
      <c r="Z83" s="322"/>
      <c r="AA83" s="318"/>
      <c r="AB83" s="318"/>
    </row>
    <row r="84">
      <c r="A84" s="312">
        <v>1762.0</v>
      </c>
      <c r="B84" s="313">
        <v>45908.0</v>
      </c>
      <c r="C84" s="281" t="s">
        <v>1431</v>
      </c>
      <c r="D84" s="281"/>
      <c r="E84" s="281" t="s">
        <v>918</v>
      </c>
      <c r="F84" s="281" t="s">
        <v>281</v>
      </c>
      <c r="G84" s="314">
        <v>1.6351795E7</v>
      </c>
      <c r="H84" s="281" t="s">
        <v>32</v>
      </c>
      <c r="I84" s="315" t="s">
        <v>1453</v>
      </c>
      <c r="J84" s="316" t="s">
        <v>1454</v>
      </c>
      <c r="K84" s="317" t="s">
        <v>284</v>
      </c>
      <c r="L84" s="318" t="s">
        <v>1455</v>
      </c>
      <c r="M84" s="318"/>
      <c r="N84" s="318"/>
      <c r="O84" s="317"/>
      <c r="P84" s="322"/>
      <c r="Q84" s="326" t="s">
        <v>62</v>
      </c>
      <c r="R84" s="321">
        <v>45912.0</v>
      </c>
      <c r="S84" s="318"/>
      <c r="T84" s="322"/>
      <c r="U84" s="320" t="s">
        <v>62</v>
      </c>
      <c r="V84" s="321">
        <v>45925.0</v>
      </c>
      <c r="W84" s="318"/>
      <c r="X84" s="322"/>
      <c r="Y84" s="318"/>
      <c r="Z84" s="322"/>
      <c r="AA84" s="318"/>
      <c r="AB84" s="318"/>
    </row>
    <row r="85">
      <c r="A85" s="355">
        <v>1761.0</v>
      </c>
      <c r="B85" s="356">
        <v>45908.0</v>
      </c>
      <c r="C85" s="357" t="s">
        <v>1448</v>
      </c>
      <c r="D85" s="357" t="s">
        <v>66</v>
      </c>
      <c r="E85" s="357" t="s">
        <v>1059</v>
      </c>
      <c r="F85" s="357" t="s">
        <v>1060</v>
      </c>
      <c r="G85" s="358">
        <v>1.907064E7</v>
      </c>
      <c r="H85" s="357" t="s">
        <v>135</v>
      </c>
      <c r="I85" s="359" t="s">
        <v>1456</v>
      </c>
      <c r="J85" s="360" t="s">
        <v>1457</v>
      </c>
      <c r="K85" s="361" t="s">
        <v>1063</v>
      </c>
      <c r="L85" s="299"/>
      <c r="M85" s="287"/>
      <c r="N85" s="287"/>
      <c r="O85" s="362" t="s">
        <v>62</v>
      </c>
      <c r="P85" s="363">
        <v>45908.0</v>
      </c>
      <c r="Q85" s="287"/>
      <c r="R85" s="290"/>
      <c r="S85" s="287"/>
      <c r="T85" s="290"/>
      <c r="U85" s="362" t="s">
        <v>62</v>
      </c>
      <c r="V85" s="363">
        <v>45982.0</v>
      </c>
      <c r="W85" s="287"/>
      <c r="X85" s="290"/>
      <c r="Y85" s="287"/>
      <c r="Z85" s="290"/>
      <c r="AA85" s="287"/>
      <c r="AB85" s="287"/>
    </row>
    <row r="86">
      <c r="A86" s="312">
        <v>1760.0</v>
      </c>
      <c r="B86" s="313">
        <v>45905.0</v>
      </c>
      <c r="C86" s="281" t="s">
        <v>1458</v>
      </c>
      <c r="D86" s="281"/>
      <c r="E86" s="281" t="s">
        <v>1011</v>
      </c>
      <c r="F86" s="281" t="s">
        <v>1459</v>
      </c>
      <c r="G86" s="314">
        <v>1.9210006E7</v>
      </c>
      <c r="H86" s="281" t="s">
        <v>32</v>
      </c>
      <c r="I86" s="315" t="s">
        <v>1460</v>
      </c>
      <c r="J86" s="316" t="s">
        <v>1461</v>
      </c>
      <c r="K86" s="317"/>
      <c r="L86" s="318"/>
      <c r="M86" s="318"/>
      <c r="N86" s="318"/>
      <c r="O86" s="317"/>
      <c r="P86" s="322"/>
      <c r="Q86" s="318"/>
      <c r="R86" s="322"/>
      <c r="S86" s="318"/>
      <c r="T86" s="322"/>
      <c r="U86" s="320" t="s">
        <v>62</v>
      </c>
      <c r="V86" s="364">
        <v>45912.0</v>
      </c>
      <c r="W86" s="349"/>
      <c r="X86" s="322"/>
      <c r="Y86" s="318"/>
      <c r="Z86" s="322"/>
      <c r="AA86" s="318"/>
      <c r="AB86" s="318"/>
    </row>
    <row r="87">
      <c r="A87" s="312">
        <v>1759.0</v>
      </c>
      <c r="B87" s="313">
        <v>45905.0</v>
      </c>
      <c r="C87" s="281" t="s">
        <v>1462</v>
      </c>
      <c r="D87" s="281"/>
      <c r="E87" s="281" t="s">
        <v>830</v>
      </c>
      <c r="F87" s="281" t="s">
        <v>49</v>
      </c>
      <c r="G87" s="314">
        <v>1.9190066E7</v>
      </c>
      <c r="H87" s="281" t="s">
        <v>32</v>
      </c>
      <c r="I87" s="315" t="s">
        <v>1463</v>
      </c>
      <c r="J87" s="316" t="s">
        <v>1464</v>
      </c>
      <c r="K87" s="317"/>
      <c r="L87" s="318"/>
      <c r="M87" s="318"/>
      <c r="N87" s="318"/>
      <c r="O87" s="317"/>
      <c r="P87" s="322"/>
      <c r="Q87" s="318"/>
      <c r="R87" s="322"/>
      <c r="S87" s="318"/>
      <c r="T87" s="322"/>
      <c r="U87" s="320" t="s">
        <v>62</v>
      </c>
      <c r="V87" s="364">
        <v>45912.0</v>
      </c>
      <c r="W87" s="349"/>
      <c r="X87" s="322"/>
      <c r="Y87" s="318"/>
      <c r="Z87" s="322"/>
      <c r="AA87" s="318"/>
      <c r="AB87" s="318"/>
    </row>
    <row r="88">
      <c r="A88" s="312">
        <v>1758.0</v>
      </c>
      <c r="B88" s="313">
        <v>45905.0</v>
      </c>
      <c r="C88" s="281" t="s">
        <v>1448</v>
      </c>
      <c r="D88" s="281" t="s">
        <v>66</v>
      </c>
      <c r="E88" s="281" t="s">
        <v>1059</v>
      </c>
      <c r="F88" s="281" t="s">
        <v>1060</v>
      </c>
      <c r="G88" s="314">
        <v>1.9070636E7</v>
      </c>
      <c r="H88" s="281" t="s">
        <v>135</v>
      </c>
      <c r="I88" s="315" t="s">
        <v>1465</v>
      </c>
      <c r="J88" s="316" t="s">
        <v>1466</v>
      </c>
      <c r="K88" s="317" t="s">
        <v>1063</v>
      </c>
      <c r="L88" s="318"/>
      <c r="M88" s="318"/>
      <c r="N88" s="318"/>
      <c r="O88" s="320" t="s">
        <v>62</v>
      </c>
      <c r="P88" s="321">
        <v>45908.0</v>
      </c>
      <c r="Q88" s="318"/>
      <c r="R88" s="322"/>
      <c r="S88" s="318"/>
      <c r="T88" s="322"/>
      <c r="U88" s="320" t="s">
        <v>62</v>
      </c>
      <c r="V88" s="321">
        <v>45944.0</v>
      </c>
      <c r="W88" s="318"/>
      <c r="X88" s="322"/>
      <c r="Y88" s="318"/>
      <c r="Z88" s="322"/>
      <c r="AA88" s="318"/>
      <c r="AB88" s="318"/>
    </row>
    <row r="89">
      <c r="A89" s="312">
        <v>1756.0</v>
      </c>
      <c r="B89" s="313">
        <v>45905.0</v>
      </c>
      <c r="C89" s="281" t="s">
        <v>1431</v>
      </c>
      <c r="D89" s="281"/>
      <c r="E89" s="281" t="s">
        <v>918</v>
      </c>
      <c r="F89" s="281" t="s">
        <v>1467</v>
      </c>
      <c r="G89" s="314">
        <v>1.6351814E7</v>
      </c>
      <c r="H89" s="281" t="s">
        <v>32</v>
      </c>
      <c r="I89" s="315" t="s">
        <v>1433</v>
      </c>
      <c r="J89" s="316" t="s">
        <v>1468</v>
      </c>
      <c r="K89" s="317" t="s">
        <v>1435</v>
      </c>
      <c r="L89" s="318" t="s">
        <v>343</v>
      </c>
      <c r="M89" s="318"/>
      <c r="N89" s="318"/>
      <c r="O89" s="317"/>
      <c r="P89" s="322"/>
      <c r="Q89" s="326" t="s">
        <v>62</v>
      </c>
      <c r="R89" s="321">
        <v>45910.0</v>
      </c>
      <c r="S89" s="318"/>
      <c r="T89" s="322"/>
      <c r="U89" s="320" t="s">
        <v>62</v>
      </c>
      <c r="V89" s="321">
        <v>45917.0</v>
      </c>
      <c r="W89" s="318"/>
      <c r="X89" s="322"/>
      <c r="Y89" s="318"/>
      <c r="Z89" s="322"/>
      <c r="AA89" s="318"/>
      <c r="AB89" s="318"/>
    </row>
    <row r="90">
      <c r="A90" s="312">
        <v>1755.0</v>
      </c>
      <c r="B90" s="313">
        <v>45903.0</v>
      </c>
      <c r="C90" s="281" t="s">
        <v>1431</v>
      </c>
      <c r="D90" s="281"/>
      <c r="E90" s="281" t="s">
        <v>918</v>
      </c>
      <c r="F90" s="281" t="s">
        <v>261</v>
      </c>
      <c r="G90" s="314">
        <v>1.6351816E7</v>
      </c>
      <c r="H90" s="281" t="s">
        <v>32</v>
      </c>
      <c r="I90" s="315" t="s">
        <v>1469</v>
      </c>
      <c r="J90" s="316" t="s">
        <v>1470</v>
      </c>
      <c r="K90" s="317" t="s">
        <v>278</v>
      </c>
      <c r="L90" s="318" t="s">
        <v>279</v>
      </c>
      <c r="M90" s="318" t="s">
        <v>280</v>
      </c>
      <c r="N90" s="318"/>
      <c r="O90" s="317"/>
      <c r="P90" s="322"/>
      <c r="Q90" s="318"/>
      <c r="R90" s="322"/>
      <c r="S90" s="318"/>
      <c r="T90" s="322"/>
      <c r="U90" s="320" t="s">
        <v>62</v>
      </c>
      <c r="V90" s="321">
        <v>45917.0</v>
      </c>
      <c r="W90" s="318"/>
      <c r="X90" s="322"/>
      <c r="Y90" s="318"/>
      <c r="Z90" s="322"/>
      <c r="AA90" s="318"/>
      <c r="AB90" s="318"/>
    </row>
    <row r="91">
      <c r="A91" s="312">
        <v>1754.0</v>
      </c>
      <c r="B91" s="313">
        <v>45903.0</v>
      </c>
      <c r="C91" s="281" t="s">
        <v>1262</v>
      </c>
      <c r="D91" s="281"/>
      <c r="E91" s="281" t="s">
        <v>918</v>
      </c>
      <c r="F91" s="281" t="s">
        <v>261</v>
      </c>
      <c r="G91" s="314">
        <v>1.6351822E7</v>
      </c>
      <c r="H91" s="281" t="s">
        <v>32</v>
      </c>
      <c r="I91" s="315" t="s">
        <v>1471</v>
      </c>
      <c r="J91" s="316" t="s">
        <v>1472</v>
      </c>
      <c r="K91" s="317" t="s">
        <v>278</v>
      </c>
      <c r="L91" s="318" t="s">
        <v>1473</v>
      </c>
      <c r="M91" s="318" t="s">
        <v>280</v>
      </c>
      <c r="N91" s="318"/>
      <c r="O91" s="317"/>
      <c r="P91" s="322"/>
      <c r="Q91" s="318"/>
      <c r="R91" s="322"/>
      <c r="S91" s="318"/>
      <c r="T91" s="322"/>
      <c r="U91" s="320" t="s">
        <v>62</v>
      </c>
      <c r="V91" s="321">
        <v>45925.0</v>
      </c>
      <c r="W91" s="318"/>
      <c r="X91" s="322"/>
      <c r="Y91" s="318"/>
      <c r="Z91" s="322"/>
      <c r="AA91" s="318"/>
      <c r="AB91" s="318"/>
    </row>
    <row r="92">
      <c r="A92" s="312">
        <v>1753.0</v>
      </c>
      <c r="B92" s="313">
        <v>45903.0</v>
      </c>
      <c r="C92" s="281" t="s">
        <v>325</v>
      </c>
      <c r="D92" s="281"/>
      <c r="E92" s="281" t="s">
        <v>326</v>
      </c>
      <c r="F92" s="281" t="s">
        <v>49</v>
      </c>
      <c r="G92" s="314">
        <v>1.8860134E7</v>
      </c>
      <c r="H92" s="281" t="s">
        <v>42</v>
      </c>
      <c r="I92" s="315" t="s">
        <v>1474</v>
      </c>
      <c r="J92" s="316" t="s">
        <v>1475</v>
      </c>
      <c r="K92" s="317" t="s">
        <v>129</v>
      </c>
      <c r="L92" s="319" t="s">
        <v>585</v>
      </c>
      <c r="M92" s="365" t="s">
        <v>586</v>
      </c>
      <c r="N92" s="318"/>
      <c r="O92" s="320" t="s">
        <v>62</v>
      </c>
      <c r="P92" s="321">
        <v>45904.0</v>
      </c>
      <c r="Q92" s="318"/>
      <c r="R92" s="322"/>
      <c r="S92" s="318"/>
      <c r="T92" s="322"/>
      <c r="U92" s="320" t="s">
        <v>62</v>
      </c>
      <c r="V92" s="321">
        <v>45904.0</v>
      </c>
      <c r="W92" s="349"/>
      <c r="X92" s="322"/>
      <c r="Y92" s="318"/>
      <c r="Z92" s="322"/>
      <c r="AA92" s="318"/>
      <c r="AB92" s="318"/>
    </row>
    <row r="93">
      <c r="A93" s="312">
        <v>1750.0</v>
      </c>
      <c r="B93" s="313">
        <v>45898.0</v>
      </c>
      <c r="C93" s="281" t="s">
        <v>582</v>
      </c>
      <c r="D93" s="281"/>
      <c r="E93" s="281" t="s">
        <v>67</v>
      </c>
      <c r="F93" s="281" t="s">
        <v>49</v>
      </c>
      <c r="G93" s="314">
        <v>1.9050266E7</v>
      </c>
      <c r="H93" s="281" t="s">
        <v>42</v>
      </c>
      <c r="I93" s="315" t="s">
        <v>1476</v>
      </c>
      <c r="J93" s="316" t="s">
        <v>1477</v>
      </c>
      <c r="K93" s="317" t="s">
        <v>129</v>
      </c>
      <c r="L93" s="318" t="s">
        <v>585</v>
      </c>
      <c r="M93" s="365" t="s">
        <v>586</v>
      </c>
      <c r="N93" s="318"/>
      <c r="O93" s="320" t="s">
        <v>62</v>
      </c>
      <c r="P93" s="321">
        <v>45901.0</v>
      </c>
      <c r="Q93" s="318"/>
      <c r="R93" s="322"/>
      <c r="S93" s="318"/>
      <c r="T93" s="322"/>
      <c r="U93" s="320" t="s">
        <v>62</v>
      </c>
      <c r="V93" s="321">
        <v>45902.0</v>
      </c>
      <c r="W93" s="318"/>
      <c r="X93" s="322"/>
      <c r="Y93" s="318"/>
      <c r="Z93" s="322"/>
      <c r="AA93" s="318"/>
      <c r="AB93" s="318"/>
    </row>
    <row r="94">
      <c r="A94" s="312">
        <v>1749.0</v>
      </c>
      <c r="B94" s="313">
        <v>45898.0</v>
      </c>
      <c r="C94" s="281" t="s">
        <v>582</v>
      </c>
      <c r="D94" s="281"/>
      <c r="E94" s="281" t="s">
        <v>67</v>
      </c>
      <c r="F94" s="281" t="s">
        <v>49</v>
      </c>
      <c r="G94" s="314">
        <v>1.9050267E7</v>
      </c>
      <c r="H94" s="281" t="s">
        <v>42</v>
      </c>
      <c r="I94" s="315" t="s">
        <v>1476</v>
      </c>
      <c r="J94" s="316" t="s">
        <v>1477</v>
      </c>
      <c r="K94" s="317" t="s">
        <v>129</v>
      </c>
      <c r="L94" s="318" t="s">
        <v>585</v>
      </c>
      <c r="M94" s="365" t="s">
        <v>586</v>
      </c>
      <c r="N94" s="318"/>
      <c r="O94" s="320" t="s">
        <v>62</v>
      </c>
      <c r="P94" s="321">
        <v>45901.0</v>
      </c>
      <c r="Q94" s="318"/>
      <c r="R94" s="322"/>
      <c r="S94" s="318"/>
      <c r="T94" s="322"/>
      <c r="U94" s="320" t="s">
        <v>62</v>
      </c>
      <c r="V94" s="321">
        <v>45902.0</v>
      </c>
      <c r="W94" s="318"/>
      <c r="X94" s="322"/>
      <c r="Y94" s="318"/>
      <c r="Z94" s="322"/>
      <c r="AA94" s="318"/>
      <c r="AB94" s="318"/>
    </row>
    <row r="95">
      <c r="A95" s="312">
        <v>1748.0</v>
      </c>
      <c r="B95" s="313">
        <v>45898.0</v>
      </c>
      <c r="C95" s="281" t="s">
        <v>1478</v>
      </c>
      <c r="D95" s="281"/>
      <c r="E95" s="281" t="s">
        <v>588</v>
      </c>
      <c r="F95" s="281" t="s">
        <v>1479</v>
      </c>
      <c r="G95" s="314">
        <v>1.9500091E7</v>
      </c>
      <c r="H95" s="281" t="s">
        <v>51</v>
      </c>
      <c r="I95" s="315" t="s">
        <v>1480</v>
      </c>
      <c r="J95" s="316" t="s">
        <v>1481</v>
      </c>
      <c r="K95" s="366" t="s">
        <v>592</v>
      </c>
      <c r="L95" s="318" t="s">
        <v>593</v>
      </c>
      <c r="M95" s="318" t="s">
        <v>594</v>
      </c>
      <c r="N95" s="318"/>
      <c r="O95" s="320" t="s">
        <v>62</v>
      </c>
      <c r="P95" s="321">
        <v>45911.0</v>
      </c>
      <c r="Q95" s="318"/>
      <c r="R95" s="322"/>
      <c r="S95" s="318"/>
      <c r="T95" s="322"/>
      <c r="U95" s="320" t="s">
        <v>62</v>
      </c>
      <c r="V95" s="321">
        <v>45917.0</v>
      </c>
      <c r="W95" s="349"/>
      <c r="X95" s="322"/>
      <c r="Y95" s="318"/>
      <c r="Z95" s="322"/>
      <c r="AA95" s="318"/>
      <c r="AB95" s="318"/>
    </row>
    <row r="96">
      <c r="A96" s="292">
        <v>1746.0</v>
      </c>
      <c r="B96" s="279">
        <v>45897.0</v>
      </c>
      <c r="C96" s="280" t="s">
        <v>758</v>
      </c>
      <c r="D96" s="281"/>
      <c r="E96" s="280" t="s">
        <v>759</v>
      </c>
      <c r="F96" s="280" t="s">
        <v>1482</v>
      </c>
      <c r="G96" s="280" t="s">
        <v>1483</v>
      </c>
      <c r="H96" s="280" t="s">
        <v>200</v>
      </c>
      <c r="I96" s="283" t="s">
        <v>1484</v>
      </c>
      <c r="J96" s="284" t="s">
        <v>1485</v>
      </c>
      <c r="K96" s="293" t="s">
        <v>1486</v>
      </c>
      <c r="L96" s="300"/>
      <c r="M96" s="295"/>
      <c r="N96" s="295"/>
      <c r="O96" s="303"/>
      <c r="P96" s="298"/>
      <c r="Q96" s="295"/>
      <c r="R96" s="298"/>
      <c r="S96" s="295"/>
      <c r="T96" s="298"/>
      <c r="U96" s="296" t="s">
        <v>62</v>
      </c>
      <c r="V96" s="297">
        <v>46014.0</v>
      </c>
      <c r="W96" s="295"/>
      <c r="X96" s="298"/>
      <c r="Y96" s="295"/>
      <c r="Z96" s="298"/>
      <c r="AA96" s="295"/>
      <c r="AB96" s="295"/>
    </row>
    <row r="97">
      <c r="A97" s="269">
        <v>1745.0</v>
      </c>
      <c r="B97" s="367">
        <v>45895.0</v>
      </c>
      <c r="C97" s="260" t="s">
        <v>1407</v>
      </c>
      <c r="D97" s="368"/>
      <c r="E97" s="260" t="s">
        <v>885</v>
      </c>
      <c r="F97" s="260" t="s">
        <v>49</v>
      </c>
      <c r="G97" s="260">
        <v>1.5781681E7</v>
      </c>
      <c r="H97" s="260" t="s">
        <v>32</v>
      </c>
      <c r="I97" s="263" t="s">
        <v>1487</v>
      </c>
      <c r="J97" s="369" t="s">
        <v>1488</v>
      </c>
      <c r="K97" s="234" t="s">
        <v>1244</v>
      </c>
      <c r="L97" s="234" t="s">
        <v>812</v>
      </c>
      <c r="M97" s="234" t="s">
        <v>610</v>
      </c>
      <c r="N97" s="273"/>
      <c r="O97" s="370" t="s">
        <v>62</v>
      </c>
      <c r="P97" s="371">
        <v>45897.0</v>
      </c>
      <c r="Q97" s="274"/>
      <c r="R97" s="275"/>
      <c r="S97" s="274"/>
      <c r="T97" s="275"/>
      <c r="U97" s="370" t="s">
        <v>62</v>
      </c>
      <c r="V97" s="371">
        <v>45901.0</v>
      </c>
      <c r="W97" s="372"/>
      <c r="X97" s="275"/>
      <c r="Y97" s="274"/>
      <c r="Z97" s="275"/>
      <c r="AA97" s="277"/>
      <c r="AB97" s="277"/>
    </row>
    <row r="98">
      <c r="A98" s="312">
        <v>1744.0</v>
      </c>
      <c r="B98" s="313">
        <v>45895.0</v>
      </c>
      <c r="C98" s="281" t="s">
        <v>707</v>
      </c>
      <c r="D98" s="281"/>
      <c r="E98" s="281" t="s">
        <v>708</v>
      </c>
      <c r="F98" s="281" t="s">
        <v>49</v>
      </c>
      <c r="G98" s="314">
        <v>1.9670018E7</v>
      </c>
      <c r="H98" s="281" t="s">
        <v>42</v>
      </c>
      <c r="I98" s="315" t="s">
        <v>1476</v>
      </c>
      <c r="J98" s="316" t="s">
        <v>1489</v>
      </c>
      <c r="K98" s="317" t="s">
        <v>129</v>
      </c>
      <c r="L98" s="318" t="s">
        <v>585</v>
      </c>
      <c r="M98" s="365" t="s">
        <v>586</v>
      </c>
      <c r="N98" s="318"/>
      <c r="O98" s="320" t="s">
        <v>62</v>
      </c>
      <c r="P98" s="321">
        <v>45896.0</v>
      </c>
      <c r="Q98" s="318"/>
      <c r="R98" s="322"/>
      <c r="S98" s="318"/>
      <c r="T98" s="322"/>
      <c r="U98" s="320" t="s">
        <v>62</v>
      </c>
      <c r="V98" s="321" t="s">
        <v>1490</v>
      </c>
      <c r="W98" s="318"/>
      <c r="X98" s="322"/>
      <c r="Y98" s="318"/>
      <c r="Z98" s="322"/>
      <c r="AA98" s="318"/>
      <c r="AB98" s="318"/>
    </row>
    <row r="99">
      <c r="A99" s="312">
        <v>1740.0</v>
      </c>
      <c r="B99" s="313">
        <v>45894.0</v>
      </c>
      <c r="C99" s="281" t="s">
        <v>1407</v>
      </c>
      <c r="D99" s="281"/>
      <c r="E99" s="281" t="s">
        <v>885</v>
      </c>
      <c r="F99" s="281" t="s">
        <v>49</v>
      </c>
      <c r="G99" s="314">
        <v>1.5781675E7</v>
      </c>
      <c r="H99" s="281" t="s">
        <v>32</v>
      </c>
      <c r="I99" s="315" t="s">
        <v>1491</v>
      </c>
      <c r="J99" s="316" t="s">
        <v>1492</v>
      </c>
      <c r="K99" s="317" t="s">
        <v>1244</v>
      </c>
      <c r="L99" s="318" t="s">
        <v>1493</v>
      </c>
      <c r="M99" s="318" t="s">
        <v>915</v>
      </c>
      <c r="N99" s="318"/>
      <c r="O99" s="317"/>
      <c r="P99" s="322"/>
      <c r="Q99" s="318"/>
      <c r="R99" s="322"/>
      <c r="S99" s="318"/>
      <c r="T99" s="322"/>
      <c r="U99" s="320" t="s">
        <v>62</v>
      </c>
      <c r="V99" s="321">
        <v>45916.0</v>
      </c>
      <c r="W99" s="318"/>
      <c r="X99" s="322"/>
      <c r="Y99" s="318"/>
      <c r="Z99" s="322"/>
      <c r="AA99" s="318"/>
      <c r="AB99" s="318"/>
    </row>
    <row r="100">
      <c r="A100" s="312">
        <v>1737.0</v>
      </c>
      <c r="B100" s="313">
        <v>45891.0</v>
      </c>
      <c r="C100" s="281" t="s">
        <v>464</v>
      </c>
      <c r="D100" s="281"/>
      <c r="E100" s="281" t="s">
        <v>465</v>
      </c>
      <c r="F100" s="281" t="s">
        <v>466</v>
      </c>
      <c r="G100" s="314">
        <v>1.5840529E7</v>
      </c>
      <c r="H100" s="281" t="s">
        <v>51</v>
      </c>
      <c r="I100" s="315" t="s">
        <v>1494</v>
      </c>
      <c r="J100" s="316" t="s">
        <v>1495</v>
      </c>
      <c r="K100" s="317" t="s">
        <v>469</v>
      </c>
      <c r="L100" s="318" t="s">
        <v>470</v>
      </c>
      <c r="M100" s="318" t="s">
        <v>471</v>
      </c>
      <c r="N100" s="318"/>
      <c r="O100" s="320" t="s">
        <v>62</v>
      </c>
      <c r="P100" s="321">
        <v>45894.0</v>
      </c>
      <c r="Q100" s="318"/>
      <c r="R100" s="322"/>
      <c r="S100" s="318"/>
      <c r="T100" s="322"/>
      <c r="U100" s="320" t="s">
        <v>62</v>
      </c>
      <c r="V100" s="321">
        <v>45924.0</v>
      </c>
      <c r="W100" s="318"/>
      <c r="X100" s="322"/>
      <c r="Y100" s="318"/>
      <c r="Z100" s="322"/>
      <c r="AA100" s="318"/>
      <c r="AB100" s="318"/>
    </row>
    <row r="101">
      <c r="A101" s="312">
        <v>1736.0</v>
      </c>
      <c r="B101" s="313">
        <v>45891.0</v>
      </c>
      <c r="C101" s="281" t="s">
        <v>464</v>
      </c>
      <c r="D101" s="281"/>
      <c r="E101" s="281" t="s">
        <v>465</v>
      </c>
      <c r="F101" s="281" t="s">
        <v>466</v>
      </c>
      <c r="G101" s="314">
        <v>1.5840528E7</v>
      </c>
      <c r="H101" s="281" t="s">
        <v>51</v>
      </c>
      <c r="I101" s="315" t="s">
        <v>1496</v>
      </c>
      <c r="J101" s="316" t="s">
        <v>1497</v>
      </c>
      <c r="K101" s="317" t="s">
        <v>469</v>
      </c>
      <c r="L101" s="318" t="s">
        <v>470</v>
      </c>
      <c r="M101" s="318" t="s">
        <v>471</v>
      </c>
      <c r="N101" s="318"/>
      <c r="O101" s="320" t="s">
        <v>62</v>
      </c>
      <c r="P101" s="321">
        <v>45894.0</v>
      </c>
      <c r="Q101" s="318"/>
      <c r="R101" s="322"/>
      <c r="S101" s="318"/>
      <c r="T101" s="322"/>
      <c r="U101" s="320" t="s">
        <v>62</v>
      </c>
      <c r="V101" s="321">
        <v>45895.0</v>
      </c>
      <c r="W101" s="318"/>
      <c r="X101" s="322"/>
      <c r="Y101" s="318"/>
      <c r="Z101" s="322"/>
      <c r="AA101" s="318"/>
      <c r="AB101" s="318"/>
    </row>
    <row r="102">
      <c r="A102" s="312">
        <v>1735.0</v>
      </c>
      <c r="B102" s="373">
        <v>45890.0</v>
      </c>
      <c r="C102" s="374" t="s">
        <v>1498</v>
      </c>
      <c r="D102" s="374"/>
      <c r="E102" s="374" t="s">
        <v>1499</v>
      </c>
      <c r="F102" s="374"/>
      <c r="G102" s="375">
        <v>1.9480004E7</v>
      </c>
      <c r="H102" s="374" t="s">
        <v>831</v>
      </c>
      <c r="I102" s="376" t="s">
        <v>1500</v>
      </c>
      <c r="J102" s="377" t="s">
        <v>1501</v>
      </c>
      <c r="K102" s="317" t="s">
        <v>1502</v>
      </c>
      <c r="L102" s="318"/>
      <c r="M102" s="318"/>
      <c r="N102" s="318"/>
      <c r="O102" s="317"/>
      <c r="P102" s="322"/>
      <c r="Q102" s="318"/>
      <c r="R102" s="322"/>
      <c r="S102" s="318"/>
      <c r="T102" s="322"/>
      <c r="U102" s="317"/>
      <c r="V102" s="322"/>
      <c r="W102" s="378" t="s">
        <v>150</v>
      </c>
      <c r="X102" s="322"/>
      <c r="Y102" s="318"/>
      <c r="Z102" s="322"/>
      <c r="AA102" s="379" t="s">
        <v>1503</v>
      </c>
      <c r="AB102" s="318"/>
    </row>
    <row r="103">
      <c r="A103" s="312">
        <v>1734.0</v>
      </c>
      <c r="B103" s="373">
        <v>45890.0</v>
      </c>
      <c r="C103" s="374" t="s">
        <v>1498</v>
      </c>
      <c r="D103" s="374"/>
      <c r="E103" s="374" t="s">
        <v>1499</v>
      </c>
      <c r="F103" s="374"/>
      <c r="G103" s="375">
        <v>1.9480003E7</v>
      </c>
      <c r="H103" s="374" t="s">
        <v>831</v>
      </c>
      <c r="I103" s="376" t="s">
        <v>1504</v>
      </c>
      <c r="J103" s="377" t="s">
        <v>1505</v>
      </c>
      <c r="K103" s="317" t="s">
        <v>1502</v>
      </c>
      <c r="L103" s="318"/>
      <c r="M103" s="318"/>
      <c r="N103" s="318"/>
      <c r="O103" s="317"/>
      <c r="P103" s="322"/>
      <c r="Q103" s="318"/>
      <c r="R103" s="322"/>
      <c r="S103" s="318"/>
      <c r="T103" s="322"/>
      <c r="U103" s="317"/>
      <c r="V103" s="322"/>
      <c r="W103" s="378" t="s">
        <v>150</v>
      </c>
      <c r="X103" s="322"/>
      <c r="Y103" s="318"/>
      <c r="Z103" s="322"/>
      <c r="AA103" s="379" t="s">
        <v>1503</v>
      </c>
      <c r="AB103" s="318"/>
    </row>
    <row r="104">
      <c r="A104" s="269">
        <v>1731.0</v>
      </c>
      <c r="B104" s="367">
        <v>45889.0</v>
      </c>
      <c r="C104" s="260" t="s">
        <v>1506</v>
      </c>
      <c r="D104" s="368"/>
      <c r="E104" s="260" t="s">
        <v>1507</v>
      </c>
      <c r="F104" s="260" t="s">
        <v>1508</v>
      </c>
      <c r="G104" s="260">
        <v>1.516219E7</v>
      </c>
      <c r="H104" s="260" t="s">
        <v>32</v>
      </c>
      <c r="I104" s="263" t="s">
        <v>1509</v>
      </c>
      <c r="J104" s="369" t="s">
        <v>1510</v>
      </c>
      <c r="K104" s="273"/>
      <c r="L104" s="273"/>
      <c r="M104" s="273"/>
      <c r="N104" s="273"/>
      <c r="O104" s="274"/>
      <c r="P104" s="275"/>
      <c r="Q104" s="370" t="s">
        <v>62</v>
      </c>
      <c r="R104" s="371">
        <v>45891.0</v>
      </c>
      <c r="S104" s="274"/>
      <c r="T104" s="275"/>
      <c r="U104" s="370" t="s">
        <v>62</v>
      </c>
      <c r="V104" s="371">
        <v>45894.0</v>
      </c>
      <c r="W104" s="372"/>
      <c r="X104" s="275"/>
      <c r="Y104" s="274"/>
      <c r="Z104" s="275"/>
      <c r="AA104" s="277"/>
      <c r="AB104" s="277"/>
    </row>
    <row r="105">
      <c r="A105" s="312">
        <v>1729.0</v>
      </c>
      <c r="B105" s="313">
        <v>45888.0</v>
      </c>
      <c r="C105" s="281" t="s">
        <v>268</v>
      </c>
      <c r="D105" s="281" t="s">
        <v>66</v>
      </c>
      <c r="E105" s="281" t="s">
        <v>89</v>
      </c>
      <c r="F105" s="281" t="s">
        <v>41</v>
      </c>
      <c r="G105" s="314">
        <v>1.5831335E7</v>
      </c>
      <c r="H105" s="281" t="s">
        <v>51</v>
      </c>
      <c r="I105" s="315" t="s">
        <v>1442</v>
      </c>
      <c r="J105" s="316" t="s">
        <v>1511</v>
      </c>
      <c r="K105" s="317" t="s">
        <v>92</v>
      </c>
      <c r="L105" s="318" t="s">
        <v>1374</v>
      </c>
      <c r="M105" s="318" t="s">
        <v>610</v>
      </c>
      <c r="N105" s="318"/>
      <c r="O105" s="320" t="s">
        <v>62</v>
      </c>
      <c r="P105" s="321">
        <v>45939.0</v>
      </c>
      <c r="Q105" s="318"/>
      <c r="R105" s="322"/>
      <c r="S105" s="318"/>
      <c r="T105" s="322"/>
      <c r="U105" s="320" t="s">
        <v>62</v>
      </c>
      <c r="V105" s="321">
        <v>45966.0</v>
      </c>
      <c r="W105" s="318"/>
      <c r="X105" s="322"/>
      <c r="Y105" s="318"/>
      <c r="Z105" s="322"/>
      <c r="AA105" s="318"/>
      <c r="AB105" s="318"/>
    </row>
    <row r="106">
      <c r="A106" s="269">
        <v>1728.0</v>
      </c>
      <c r="B106" s="367">
        <v>45888.0</v>
      </c>
      <c r="C106" s="260" t="s">
        <v>1512</v>
      </c>
      <c r="D106" s="368"/>
      <c r="E106" s="260" t="s">
        <v>1247</v>
      </c>
      <c r="F106" s="260" t="s">
        <v>49</v>
      </c>
      <c r="G106" s="260">
        <v>1.5781667E7</v>
      </c>
      <c r="H106" s="260" t="s">
        <v>32</v>
      </c>
      <c r="I106" s="263" t="s">
        <v>1487</v>
      </c>
      <c r="J106" s="369" t="s">
        <v>1513</v>
      </c>
      <c r="K106" s="234" t="s">
        <v>1244</v>
      </c>
      <c r="L106" s="234" t="s">
        <v>812</v>
      </c>
      <c r="M106" s="234" t="s">
        <v>610</v>
      </c>
      <c r="N106" s="273"/>
      <c r="O106" s="370" t="s">
        <v>62</v>
      </c>
      <c r="P106" s="371">
        <v>45888.0</v>
      </c>
      <c r="Q106" s="274"/>
      <c r="R106" s="275"/>
      <c r="S106" s="274"/>
      <c r="T106" s="275"/>
      <c r="U106" s="370" t="s">
        <v>62</v>
      </c>
      <c r="V106" s="371">
        <v>45894.0</v>
      </c>
      <c r="W106" s="372"/>
      <c r="X106" s="275"/>
      <c r="Y106" s="274"/>
      <c r="Z106" s="275"/>
      <c r="AA106" s="277"/>
      <c r="AB106" s="277"/>
    </row>
    <row r="107">
      <c r="A107" s="292">
        <v>1727.0</v>
      </c>
      <c r="B107" s="279">
        <v>45877.0</v>
      </c>
      <c r="C107" s="280" t="s">
        <v>1514</v>
      </c>
      <c r="D107" s="280" t="s">
        <v>359</v>
      </c>
      <c r="E107" s="280" t="s">
        <v>1515</v>
      </c>
      <c r="F107" s="280" t="s">
        <v>1516</v>
      </c>
      <c r="G107" s="282">
        <v>1.5331105E7</v>
      </c>
      <c r="H107" s="280" t="s">
        <v>348</v>
      </c>
      <c r="I107" s="283" t="s">
        <v>1517</v>
      </c>
      <c r="J107" s="284" t="s">
        <v>1518</v>
      </c>
      <c r="K107" s="293" t="s">
        <v>1519</v>
      </c>
      <c r="L107" s="294" t="s">
        <v>1520</v>
      </c>
      <c r="M107" s="295"/>
      <c r="N107" s="295"/>
      <c r="O107" s="303"/>
      <c r="P107" s="298"/>
      <c r="Q107" s="295"/>
      <c r="R107" s="298"/>
      <c r="S107" s="295"/>
      <c r="T107" s="298"/>
      <c r="U107" s="296" t="s">
        <v>62</v>
      </c>
      <c r="V107" s="311">
        <v>45938.0</v>
      </c>
      <c r="W107" s="295"/>
      <c r="X107" s="298"/>
      <c r="Y107" s="295"/>
      <c r="Z107" s="298"/>
      <c r="AA107" s="295"/>
      <c r="AB107" s="295"/>
    </row>
    <row r="108">
      <c r="A108" s="278">
        <v>1726.0</v>
      </c>
      <c r="B108" s="279">
        <v>45875.0</v>
      </c>
      <c r="C108" s="280" t="s">
        <v>1521</v>
      </c>
      <c r="D108" s="280" t="s">
        <v>359</v>
      </c>
      <c r="E108" s="280" t="s">
        <v>404</v>
      </c>
      <c r="F108" s="280" t="s">
        <v>295</v>
      </c>
      <c r="G108" s="280" t="s">
        <v>50</v>
      </c>
      <c r="H108" s="280" t="s">
        <v>886</v>
      </c>
      <c r="I108" s="283" t="s">
        <v>1522</v>
      </c>
      <c r="J108" s="284" t="s">
        <v>1523</v>
      </c>
      <c r="K108" s="285" t="s">
        <v>1524</v>
      </c>
      <c r="L108" s="286" t="s">
        <v>958</v>
      </c>
      <c r="M108" s="286" t="s">
        <v>1525</v>
      </c>
      <c r="N108" s="287"/>
      <c r="O108" s="304"/>
      <c r="P108" s="290"/>
      <c r="Q108" s="305" t="s">
        <v>62</v>
      </c>
      <c r="R108" s="289">
        <v>45901.0</v>
      </c>
      <c r="S108" s="287"/>
      <c r="T108" s="290"/>
      <c r="U108" s="288" t="s">
        <v>62</v>
      </c>
      <c r="V108" s="289">
        <v>45912.0</v>
      </c>
      <c r="W108" s="287"/>
      <c r="X108" s="290"/>
      <c r="Y108" s="287"/>
      <c r="Z108" s="290"/>
      <c r="AA108" s="287"/>
      <c r="AB108" s="287"/>
    </row>
    <row r="109">
      <c r="A109" s="312">
        <v>1725.0</v>
      </c>
      <c r="B109" s="313">
        <v>45870.0</v>
      </c>
      <c r="C109" s="281" t="s">
        <v>1478</v>
      </c>
      <c r="D109" s="281"/>
      <c r="E109" s="281" t="s">
        <v>588</v>
      </c>
      <c r="F109" s="380" t="s">
        <v>1526</v>
      </c>
      <c r="G109" s="314">
        <v>1.9500087E7</v>
      </c>
      <c r="H109" s="281" t="s">
        <v>51</v>
      </c>
      <c r="I109" s="315" t="s">
        <v>1527</v>
      </c>
      <c r="J109" s="316" t="s">
        <v>1528</v>
      </c>
      <c r="K109" s="381" t="s">
        <v>964</v>
      </c>
      <c r="L109" s="318"/>
      <c r="M109" s="318"/>
      <c r="N109" s="318"/>
      <c r="O109" s="317"/>
      <c r="P109" s="322"/>
      <c r="Q109" s="318"/>
      <c r="R109" s="322"/>
      <c r="S109" s="318"/>
      <c r="T109" s="322"/>
      <c r="U109" s="320" t="s">
        <v>62</v>
      </c>
      <c r="V109" s="321">
        <v>45873.0</v>
      </c>
      <c r="W109" s="318"/>
      <c r="X109" s="322"/>
      <c r="Y109" s="318"/>
      <c r="Z109" s="322"/>
      <c r="AA109" s="318"/>
      <c r="AB109" s="318"/>
    </row>
    <row r="110">
      <c r="A110" s="312">
        <v>1724.0</v>
      </c>
      <c r="B110" s="313">
        <v>45870.0</v>
      </c>
      <c r="C110" s="281" t="s">
        <v>1478</v>
      </c>
      <c r="D110" s="281"/>
      <c r="E110" s="281" t="s">
        <v>588</v>
      </c>
      <c r="F110" s="380" t="s">
        <v>1526</v>
      </c>
      <c r="G110" s="314">
        <v>1.9500084E7</v>
      </c>
      <c r="H110" s="281" t="s">
        <v>51</v>
      </c>
      <c r="I110" s="315" t="s">
        <v>1527</v>
      </c>
      <c r="J110" s="316" t="s">
        <v>1528</v>
      </c>
      <c r="K110" s="381" t="s">
        <v>964</v>
      </c>
      <c r="L110" s="318"/>
      <c r="M110" s="318"/>
      <c r="N110" s="318"/>
      <c r="O110" s="317"/>
      <c r="P110" s="322"/>
      <c r="Q110" s="318"/>
      <c r="R110" s="322"/>
      <c r="S110" s="318"/>
      <c r="T110" s="322"/>
      <c r="U110" s="320" t="s">
        <v>62</v>
      </c>
      <c r="V110" s="321">
        <v>45873.0</v>
      </c>
      <c r="W110" s="318"/>
      <c r="X110" s="322"/>
      <c r="Y110" s="318"/>
      <c r="Z110" s="322"/>
      <c r="AA110" s="318"/>
      <c r="AB110" s="318"/>
    </row>
    <row r="111">
      <c r="A111" s="312">
        <v>1723.0</v>
      </c>
      <c r="B111" s="313">
        <v>45870.0</v>
      </c>
      <c r="C111" s="281" t="s">
        <v>1529</v>
      </c>
      <c r="D111" s="281"/>
      <c r="E111" s="281" t="s">
        <v>506</v>
      </c>
      <c r="F111" s="281" t="s">
        <v>1530</v>
      </c>
      <c r="G111" s="314">
        <v>1.7240018E7</v>
      </c>
      <c r="H111" s="281" t="s">
        <v>348</v>
      </c>
      <c r="I111" s="315" t="s">
        <v>1531</v>
      </c>
      <c r="J111" s="316" t="s">
        <v>1532</v>
      </c>
      <c r="K111" s="317" t="s">
        <v>1533</v>
      </c>
      <c r="L111" s="318" t="s">
        <v>1534</v>
      </c>
      <c r="M111" s="318" t="s">
        <v>1535</v>
      </c>
      <c r="N111" s="318"/>
      <c r="O111" s="317"/>
      <c r="P111" s="322"/>
      <c r="Q111" s="318"/>
      <c r="R111" s="322"/>
      <c r="S111" s="318"/>
      <c r="T111" s="322"/>
      <c r="U111" s="320" t="s">
        <v>62</v>
      </c>
      <c r="V111" s="323">
        <v>45904.0</v>
      </c>
      <c r="W111" s="349"/>
      <c r="X111" s="322"/>
      <c r="Y111" s="318"/>
      <c r="Z111" s="322"/>
      <c r="AA111" s="318"/>
      <c r="AB111" s="318"/>
    </row>
    <row r="112">
      <c r="A112" s="312">
        <v>1721.0</v>
      </c>
      <c r="B112" s="373">
        <v>44985.0</v>
      </c>
      <c r="C112" s="374" t="s">
        <v>1536</v>
      </c>
      <c r="D112" s="374"/>
      <c r="E112" s="374" t="s">
        <v>1537</v>
      </c>
      <c r="F112" s="374" t="s">
        <v>240</v>
      </c>
      <c r="G112" s="382">
        <v>1.7680123E7</v>
      </c>
      <c r="H112" s="374" t="s">
        <v>42</v>
      </c>
      <c r="I112" s="376" t="s">
        <v>1538</v>
      </c>
      <c r="J112" s="377" t="s">
        <v>1539</v>
      </c>
      <c r="K112" s="317" t="s">
        <v>1540</v>
      </c>
      <c r="L112" s="318"/>
      <c r="M112" s="318"/>
      <c r="N112" s="318"/>
      <c r="O112" s="317"/>
      <c r="P112" s="322"/>
      <c r="Q112" s="318"/>
      <c r="R112" s="322"/>
      <c r="S112" s="318"/>
      <c r="T112" s="322"/>
      <c r="U112" s="317"/>
      <c r="V112" s="322"/>
      <c r="W112" s="378" t="s">
        <v>150</v>
      </c>
      <c r="X112" s="322"/>
      <c r="Y112" s="318"/>
      <c r="Z112" s="322"/>
      <c r="AA112" s="318"/>
      <c r="AB112" s="318"/>
    </row>
    <row r="113">
      <c r="A113" s="312">
        <v>1720.0</v>
      </c>
      <c r="B113" s="313">
        <v>45868.0</v>
      </c>
      <c r="C113" s="281" t="s">
        <v>1448</v>
      </c>
      <c r="D113" s="281" t="s">
        <v>66</v>
      </c>
      <c r="E113" s="281" t="s">
        <v>1059</v>
      </c>
      <c r="F113" s="281" t="s">
        <v>1060</v>
      </c>
      <c r="G113" s="314">
        <v>1.9070576E7</v>
      </c>
      <c r="H113" s="281" t="s">
        <v>135</v>
      </c>
      <c r="I113" s="315" t="s">
        <v>1541</v>
      </c>
      <c r="J113" s="316" t="s">
        <v>1542</v>
      </c>
      <c r="K113" s="317" t="s">
        <v>1063</v>
      </c>
      <c r="L113" s="318" t="s">
        <v>1543</v>
      </c>
      <c r="M113" s="318" t="s">
        <v>1544</v>
      </c>
      <c r="N113" s="318"/>
      <c r="O113" s="320" t="s">
        <v>62</v>
      </c>
      <c r="P113" s="321">
        <v>45869.0</v>
      </c>
      <c r="Q113" s="318"/>
      <c r="R113" s="322"/>
      <c r="S113" s="318"/>
      <c r="T113" s="322"/>
      <c r="U113" s="320" t="s">
        <v>62</v>
      </c>
      <c r="V113" s="383">
        <v>45905.0</v>
      </c>
      <c r="W113" s="349"/>
      <c r="X113" s="322"/>
      <c r="Y113" s="318"/>
      <c r="Z113" s="322"/>
      <c r="AA113" s="318"/>
      <c r="AB113" s="318"/>
    </row>
    <row r="114">
      <c r="A114" s="269">
        <v>1718.0</v>
      </c>
      <c r="B114" s="367">
        <v>45868.0</v>
      </c>
      <c r="C114" s="260" t="s">
        <v>582</v>
      </c>
      <c r="D114" s="368"/>
      <c r="E114" s="260" t="s">
        <v>67</v>
      </c>
      <c r="F114" s="260" t="s">
        <v>49</v>
      </c>
      <c r="G114" s="260">
        <v>1.9050277E7</v>
      </c>
      <c r="H114" s="260" t="s">
        <v>42</v>
      </c>
      <c r="I114" s="263" t="s">
        <v>1545</v>
      </c>
      <c r="J114" s="369" t="s">
        <v>1546</v>
      </c>
      <c r="K114" s="234" t="s">
        <v>129</v>
      </c>
      <c r="L114" s="234" t="s">
        <v>585</v>
      </c>
      <c r="M114" s="384" t="s">
        <v>586</v>
      </c>
      <c r="N114" s="273"/>
      <c r="O114" s="370" t="s">
        <v>62</v>
      </c>
      <c r="P114" s="371">
        <v>45870.0</v>
      </c>
      <c r="Q114" s="274"/>
      <c r="R114" s="275"/>
      <c r="S114" s="274"/>
      <c r="T114" s="275"/>
      <c r="U114" s="370" t="s">
        <v>62</v>
      </c>
      <c r="V114" s="371">
        <v>45870.0</v>
      </c>
      <c r="W114" s="372"/>
      <c r="X114" s="275"/>
      <c r="Y114" s="274"/>
      <c r="Z114" s="275"/>
      <c r="AA114" s="277"/>
      <c r="AB114" s="277"/>
    </row>
    <row r="115">
      <c r="A115" s="312">
        <v>1717.0</v>
      </c>
      <c r="B115" s="313">
        <v>45867.0</v>
      </c>
      <c r="C115" s="281" t="s">
        <v>1547</v>
      </c>
      <c r="D115" s="281"/>
      <c r="E115" s="281" t="s">
        <v>819</v>
      </c>
      <c r="F115" s="281" t="s">
        <v>1548</v>
      </c>
      <c r="G115" s="314">
        <v>1.6042884E7</v>
      </c>
      <c r="H115" s="281" t="s">
        <v>32</v>
      </c>
      <c r="I115" s="315" t="s">
        <v>1549</v>
      </c>
      <c r="J115" s="316" t="s">
        <v>1550</v>
      </c>
      <c r="K115" s="317" t="s">
        <v>823</v>
      </c>
      <c r="L115" s="318" t="s">
        <v>1551</v>
      </c>
      <c r="M115" s="318" t="s">
        <v>1552</v>
      </c>
      <c r="N115" s="318"/>
      <c r="O115" s="320" t="s">
        <v>62</v>
      </c>
      <c r="P115" s="321">
        <v>45869.0</v>
      </c>
      <c r="Q115" s="318"/>
      <c r="R115" s="322"/>
      <c r="S115" s="318"/>
      <c r="T115" s="322"/>
      <c r="U115" s="320" t="s">
        <v>62</v>
      </c>
      <c r="V115" s="321">
        <v>45902.0</v>
      </c>
      <c r="W115" s="349"/>
      <c r="X115" s="322"/>
      <c r="Y115" s="318"/>
      <c r="Z115" s="322"/>
      <c r="AA115" s="318"/>
      <c r="AB115" s="318"/>
    </row>
    <row r="116">
      <c r="A116" s="312">
        <v>1716.0</v>
      </c>
      <c r="B116" s="313">
        <v>45867.0</v>
      </c>
      <c r="C116" s="281" t="s">
        <v>1448</v>
      </c>
      <c r="D116" s="281" t="s">
        <v>66</v>
      </c>
      <c r="E116" s="281" t="s">
        <v>1059</v>
      </c>
      <c r="F116" s="281" t="s">
        <v>1060</v>
      </c>
      <c r="G116" s="314">
        <v>1.9070577E7</v>
      </c>
      <c r="H116" s="281" t="s">
        <v>135</v>
      </c>
      <c r="I116" s="315" t="s">
        <v>1061</v>
      </c>
      <c r="J116" s="316" t="s">
        <v>1553</v>
      </c>
      <c r="K116" s="317" t="s">
        <v>1063</v>
      </c>
      <c r="L116" s="318" t="s">
        <v>1064</v>
      </c>
      <c r="M116" s="318" t="s">
        <v>1065</v>
      </c>
      <c r="N116" s="318"/>
      <c r="O116" s="320" t="s">
        <v>62</v>
      </c>
      <c r="P116" s="321">
        <v>45867.0</v>
      </c>
      <c r="Q116" s="318"/>
      <c r="R116" s="322"/>
      <c r="S116" s="318"/>
      <c r="T116" s="322"/>
      <c r="U116" s="320" t="s">
        <v>62</v>
      </c>
      <c r="V116" s="383">
        <v>45905.0</v>
      </c>
      <c r="W116" s="349"/>
      <c r="X116" s="322"/>
      <c r="Y116" s="318"/>
      <c r="Z116" s="322"/>
      <c r="AA116" s="318"/>
      <c r="AB116" s="318"/>
    </row>
    <row r="117">
      <c r="A117" s="269">
        <v>1714.0</v>
      </c>
      <c r="B117" s="367">
        <v>45866.0</v>
      </c>
      <c r="C117" s="260" t="s">
        <v>1448</v>
      </c>
      <c r="D117" s="260" t="s">
        <v>66</v>
      </c>
      <c r="E117" s="260" t="s">
        <v>1059</v>
      </c>
      <c r="F117" s="260" t="s">
        <v>1060</v>
      </c>
      <c r="G117" s="260">
        <v>1.9070574E7</v>
      </c>
      <c r="H117" s="260" t="s">
        <v>135</v>
      </c>
      <c r="I117" s="263" t="s">
        <v>1061</v>
      </c>
      <c r="J117" s="369" t="s">
        <v>1554</v>
      </c>
      <c r="K117" s="234" t="s">
        <v>1063</v>
      </c>
      <c r="L117" s="234" t="s">
        <v>1064</v>
      </c>
      <c r="M117" s="234" t="s">
        <v>1065</v>
      </c>
      <c r="N117" s="273"/>
      <c r="O117" s="370" t="s">
        <v>62</v>
      </c>
      <c r="P117" s="371">
        <v>45867.0</v>
      </c>
      <c r="Q117" s="274"/>
      <c r="R117" s="275"/>
      <c r="S117" s="274"/>
      <c r="T117" s="275"/>
      <c r="U117" s="370" t="s">
        <v>62</v>
      </c>
      <c r="V117" s="371">
        <v>45870.0</v>
      </c>
      <c r="W117" s="372"/>
      <c r="X117" s="275"/>
      <c r="Y117" s="274"/>
      <c r="Z117" s="275"/>
      <c r="AA117" s="277"/>
      <c r="AB117" s="277"/>
    </row>
    <row r="118">
      <c r="A118" s="269">
        <v>1708.0</v>
      </c>
      <c r="B118" s="367">
        <v>45861.0</v>
      </c>
      <c r="C118" s="260" t="s">
        <v>1407</v>
      </c>
      <c r="D118" s="368"/>
      <c r="E118" s="260" t="s">
        <v>885</v>
      </c>
      <c r="F118" s="260" t="s">
        <v>49</v>
      </c>
      <c r="G118" s="260">
        <v>1.5122559E7</v>
      </c>
      <c r="H118" s="260" t="s">
        <v>32</v>
      </c>
      <c r="I118" s="263" t="s">
        <v>1555</v>
      </c>
      <c r="J118" s="369" t="s">
        <v>1556</v>
      </c>
      <c r="K118" s="234" t="s">
        <v>1244</v>
      </c>
      <c r="L118" s="234" t="s">
        <v>1557</v>
      </c>
      <c r="M118" s="234" t="s">
        <v>610</v>
      </c>
      <c r="N118" s="273"/>
      <c r="O118" s="370" t="s">
        <v>62</v>
      </c>
      <c r="P118" s="371">
        <v>45862.0</v>
      </c>
      <c r="Q118" s="274"/>
      <c r="R118" s="275"/>
      <c r="S118" s="274"/>
      <c r="T118" s="275"/>
      <c r="U118" s="370" t="s">
        <v>62</v>
      </c>
      <c r="V118" s="371">
        <v>45866.0</v>
      </c>
      <c r="W118" s="372"/>
      <c r="X118" s="275"/>
      <c r="Y118" s="274"/>
      <c r="Z118" s="275"/>
      <c r="AA118" s="277"/>
      <c r="AB118" s="277"/>
    </row>
    <row r="119">
      <c r="A119" s="312">
        <v>1707.0</v>
      </c>
      <c r="B119" s="313">
        <v>45860.0</v>
      </c>
      <c r="C119" s="281" t="s">
        <v>1558</v>
      </c>
      <c r="D119" s="281"/>
      <c r="E119" s="281" t="s">
        <v>1386</v>
      </c>
      <c r="F119" s="281" t="s">
        <v>1467</v>
      </c>
      <c r="G119" s="314">
        <v>1.5800365E7</v>
      </c>
      <c r="H119" s="281" t="s">
        <v>200</v>
      </c>
      <c r="I119" s="315" t="s">
        <v>1559</v>
      </c>
      <c r="J119" s="316" t="s">
        <v>1560</v>
      </c>
      <c r="K119" s="317" t="s">
        <v>1561</v>
      </c>
      <c r="L119" s="318" t="s">
        <v>1562</v>
      </c>
      <c r="M119" s="318"/>
      <c r="N119" s="318"/>
      <c r="O119" s="317"/>
      <c r="P119" s="322"/>
      <c r="Q119" s="326" t="s">
        <v>1563</v>
      </c>
      <c r="R119" s="321">
        <v>45862.0</v>
      </c>
      <c r="S119" s="318"/>
      <c r="T119" s="322"/>
      <c r="U119" s="320" t="s">
        <v>62</v>
      </c>
      <c r="V119" s="322"/>
      <c r="W119" s="318"/>
      <c r="X119" s="322"/>
      <c r="Y119" s="318"/>
      <c r="Z119" s="322"/>
      <c r="AA119" s="318"/>
      <c r="AB119" s="318"/>
    </row>
    <row r="120">
      <c r="A120" s="269">
        <v>1705.0</v>
      </c>
      <c r="B120" s="367">
        <v>45856.0</v>
      </c>
      <c r="C120" s="260" t="s">
        <v>1438</v>
      </c>
      <c r="D120" s="368"/>
      <c r="E120" s="260" t="s">
        <v>417</v>
      </c>
      <c r="F120" s="260" t="s">
        <v>300</v>
      </c>
      <c r="G120" s="260">
        <v>1.6340601E7</v>
      </c>
      <c r="H120" s="260" t="s">
        <v>200</v>
      </c>
      <c r="I120" s="263" t="s">
        <v>1564</v>
      </c>
      <c r="J120" s="369" t="s">
        <v>1565</v>
      </c>
      <c r="K120" s="234" t="s">
        <v>420</v>
      </c>
      <c r="L120" s="234" t="s">
        <v>1566</v>
      </c>
      <c r="M120" s="273"/>
      <c r="N120" s="273"/>
      <c r="O120" s="370" t="s">
        <v>1563</v>
      </c>
      <c r="P120" s="371">
        <v>45876.0</v>
      </c>
      <c r="Q120" s="274"/>
      <c r="R120" s="275"/>
      <c r="S120" s="274"/>
      <c r="T120" s="275"/>
      <c r="U120" s="370" t="s">
        <v>1563</v>
      </c>
      <c r="V120" s="371">
        <v>45876.0</v>
      </c>
      <c r="W120" s="372"/>
      <c r="X120" s="275"/>
      <c r="Y120" s="274"/>
      <c r="Z120" s="275"/>
      <c r="AA120" s="277"/>
      <c r="AB120" s="277"/>
    </row>
    <row r="121">
      <c r="A121" s="312">
        <v>1704.0</v>
      </c>
      <c r="B121" s="313">
        <v>45855.0</v>
      </c>
      <c r="C121" s="281" t="s">
        <v>1567</v>
      </c>
      <c r="D121" s="281"/>
      <c r="E121" s="281" t="s">
        <v>1568</v>
      </c>
      <c r="F121" s="281" t="s">
        <v>49</v>
      </c>
      <c r="G121" s="314">
        <v>1.6270362E7</v>
      </c>
      <c r="H121" s="281" t="s">
        <v>51</v>
      </c>
      <c r="I121" s="315" t="s">
        <v>1569</v>
      </c>
      <c r="J121" s="316" t="s">
        <v>1570</v>
      </c>
      <c r="K121" s="317" t="s">
        <v>1571</v>
      </c>
      <c r="L121" s="318" t="s">
        <v>1572</v>
      </c>
      <c r="M121" s="318" t="s">
        <v>1573</v>
      </c>
      <c r="N121" s="318"/>
      <c r="O121" s="320" t="s">
        <v>62</v>
      </c>
      <c r="P121" s="321">
        <v>45890.0</v>
      </c>
      <c r="Q121" s="318"/>
      <c r="R121" s="322"/>
      <c r="S121" s="326" t="s">
        <v>62</v>
      </c>
      <c r="T121" s="321">
        <v>45877.0</v>
      </c>
      <c r="U121" s="320" t="s">
        <v>62</v>
      </c>
      <c r="V121" s="321">
        <v>45924.0</v>
      </c>
      <c r="W121" s="318"/>
      <c r="X121" s="322"/>
      <c r="Y121" s="318"/>
      <c r="Z121" s="322"/>
      <c r="AA121" s="318"/>
      <c r="AB121" s="318"/>
    </row>
    <row r="122">
      <c r="A122" s="269">
        <v>1702.0</v>
      </c>
      <c r="B122" s="367">
        <v>45854.0</v>
      </c>
      <c r="C122" s="260" t="s">
        <v>1438</v>
      </c>
      <c r="D122" s="368"/>
      <c r="E122" s="260" t="s">
        <v>417</v>
      </c>
      <c r="F122" s="260" t="s">
        <v>300</v>
      </c>
      <c r="G122" s="260">
        <v>1.6340605E7</v>
      </c>
      <c r="H122" s="260" t="s">
        <v>200</v>
      </c>
      <c r="I122" s="263" t="s">
        <v>1574</v>
      </c>
      <c r="J122" s="369" t="s">
        <v>1575</v>
      </c>
      <c r="K122" s="234" t="s">
        <v>420</v>
      </c>
      <c r="L122" s="234" t="s">
        <v>1576</v>
      </c>
      <c r="M122" s="273"/>
      <c r="N122" s="273"/>
      <c r="O122" s="370" t="s">
        <v>1563</v>
      </c>
      <c r="P122" s="371">
        <v>45876.0</v>
      </c>
      <c r="Q122" s="274"/>
      <c r="R122" s="275"/>
      <c r="S122" s="274"/>
      <c r="T122" s="275"/>
      <c r="U122" s="370" t="s">
        <v>1563</v>
      </c>
      <c r="V122" s="371">
        <v>45876.0</v>
      </c>
      <c r="W122" s="372"/>
      <c r="X122" s="275"/>
      <c r="Y122" s="274"/>
      <c r="Z122" s="275"/>
      <c r="AA122" s="277"/>
      <c r="AB122" s="277"/>
    </row>
    <row r="123">
      <c r="A123" s="312">
        <v>1701.0</v>
      </c>
      <c r="B123" s="313">
        <v>45853.0</v>
      </c>
      <c r="C123" s="281" t="s">
        <v>1529</v>
      </c>
      <c r="D123" s="281"/>
      <c r="E123" s="281" t="s">
        <v>506</v>
      </c>
      <c r="F123" s="281" t="s">
        <v>49</v>
      </c>
      <c r="G123" s="281" t="s">
        <v>1577</v>
      </c>
      <c r="H123" s="281" t="s">
        <v>200</v>
      </c>
      <c r="I123" s="315" t="s">
        <v>1578</v>
      </c>
      <c r="J123" s="316" t="s">
        <v>1579</v>
      </c>
      <c r="K123" s="317" t="s">
        <v>811</v>
      </c>
      <c r="L123" s="318" t="s">
        <v>1580</v>
      </c>
      <c r="M123" s="318" t="s">
        <v>1581</v>
      </c>
      <c r="N123" s="318"/>
      <c r="O123" s="317"/>
      <c r="P123" s="322"/>
      <c r="Q123" s="318"/>
      <c r="R123" s="322"/>
      <c r="S123" s="318"/>
      <c r="T123" s="322"/>
      <c r="U123" s="320" t="s">
        <v>62</v>
      </c>
      <c r="V123" s="323">
        <v>45925.0</v>
      </c>
      <c r="W123" s="318"/>
      <c r="X123" s="322"/>
      <c r="Y123" s="318"/>
      <c r="Z123" s="322"/>
      <c r="AA123" s="318"/>
      <c r="AB123" s="318"/>
    </row>
    <row r="124">
      <c r="A124" s="312">
        <v>1700.0</v>
      </c>
      <c r="B124" s="313">
        <v>45852.0</v>
      </c>
      <c r="C124" s="281" t="s">
        <v>1582</v>
      </c>
      <c r="D124" s="281" t="s">
        <v>1583</v>
      </c>
      <c r="E124" s="281" t="s">
        <v>1584</v>
      </c>
      <c r="F124" s="281" t="s">
        <v>160</v>
      </c>
      <c r="G124" s="281" t="s">
        <v>50</v>
      </c>
      <c r="H124" s="281" t="s">
        <v>51</v>
      </c>
      <c r="I124" s="315" t="s">
        <v>1585</v>
      </c>
      <c r="J124" s="316" t="s">
        <v>1586</v>
      </c>
      <c r="K124" s="317" t="s">
        <v>1587</v>
      </c>
      <c r="L124" s="318" t="s">
        <v>1588</v>
      </c>
      <c r="M124" s="318" t="s">
        <v>1589</v>
      </c>
      <c r="N124" s="318"/>
      <c r="O124" s="320" t="s">
        <v>62</v>
      </c>
      <c r="P124" s="321">
        <v>45908.0</v>
      </c>
      <c r="Q124" s="318"/>
      <c r="R124" s="322"/>
      <c r="S124" s="318"/>
      <c r="T124" s="322"/>
      <c r="U124" s="320" t="s">
        <v>62</v>
      </c>
      <c r="V124" s="321">
        <v>45924.0</v>
      </c>
      <c r="W124" s="318"/>
      <c r="X124" s="322"/>
      <c r="Y124" s="318"/>
      <c r="Z124" s="322"/>
      <c r="AA124" s="318"/>
      <c r="AB124" s="318"/>
    </row>
    <row r="125">
      <c r="A125" s="269">
        <v>1699.0</v>
      </c>
      <c r="B125" s="367">
        <v>45848.0</v>
      </c>
      <c r="C125" s="260" t="s">
        <v>1512</v>
      </c>
      <c r="D125" s="368"/>
      <c r="E125" s="260" t="s">
        <v>1247</v>
      </c>
      <c r="F125" s="260" t="s">
        <v>49</v>
      </c>
      <c r="G125" s="260">
        <v>1.5781654E7</v>
      </c>
      <c r="H125" s="260" t="s">
        <v>32</v>
      </c>
      <c r="I125" s="263" t="s">
        <v>1590</v>
      </c>
      <c r="J125" s="369" t="s">
        <v>1591</v>
      </c>
      <c r="K125" s="234" t="s">
        <v>1592</v>
      </c>
      <c r="L125" s="234" t="s">
        <v>1593</v>
      </c>
      <c r="M125" s="234" t="s">
        <v>1594</v>
      </c>
      <c r="N125" s="273"/>
      <c r="O125" s="370" t="s">
        <v>1595</v>
      </c>
      <c r="P125" s="371">
        <v>45897.0</v>
      </c>
      <c r="Q125" s="274"/>
      <c r="R125" s="275"/>
      <c r="S125" s="370" t="s">
        <v>1596</v>
      </c>
      <c r="T125" s="275"/>
      <c r="U125" s="370" t="s">
        <v>62</v>
      </c>
      <c r="V125" s="371">
        <v>45901.0</v>
      </c>
      <c r="W125" s="372"/>
      <c r="X125" s="275"/>
      <c r="Y125" s="274"/>
      <c r="Z125" s="275"/>
      <c r="AA125" s="277"/>
      <c r="AB125" s="277"/>
    </row>
    <row r="126">
      <c r="A126" s="269">
        <v>1697.0</v>
      </c>
      <c r="B126" s="367">
        <v>45845.0</v>
      </c>
      <c r="C126" s="260" t="s">
        <v>1438</v>
      </c>
      <c r="D126" s="368"/>
      <c r="E126" s="260" t="s">
        <v>417</v>
      </c>
      <c r="F126" s="260" t="s">
        <v>1467</v>
      </c>
      <c r="G126" s="260">
        <v>1.6340605E7</v>
      </c>
      <c r="H126" s="260" t="s">
        <v>200</v>
      </c>
      <c r="I126" s="263" t="s">
        <v>1597</v>
      </c>
      <c r="J126" s="369" t="s">
        <v>1598</v>
      </c>
      <c r="K126" s="234" t="s">
        <v>1266</v>
      </c>
      <c r="L126" s="273"/>
      <c r="M126" s="273"/>
      <c r="N126" s="273"/>
      <c r="O126" s="274"/>
      <c r="P126" s="275"/>
      <c r="Q126" s="370" t="s">
        <v>1563</v>
      </c>
      <c r="R126" s="371">
        <v>45861.0</v>
      </c>
      <c r="S126" s="274"/>
      <c r="T126" s="275"/>
      <c r="U126" s="370" t="s">
        <v>1563</v>
      </c>
      <c r="V126" s="371">
        <v>45876.0</v>
      </c>
      <c r="W126" s="372"/>
      <c r="X126" s="275"/>
      <c r="Y126" s="274"/>
      <c r="Z126" s="275"/>
      <c r="AA126" s="277"/>
      <c r="AB126" s="277"/>
    </row>
    <row r="127">
      <c r="A127" s="312">
        <v>1696.0</v>
      </c>
      <c r="B127" s="313">
        <v>45842.0</v>
      </c>
      <c r="C127" s="281" t="s">
        <v>1599</v>
      </c>
      <c r="D127" s="281" t="s">
        <v>66</v>
      </c>
      <c r="E127" s="281" t="s">
        <v>918</v>
      </c>
      <c r="F127" s="281" t="s">
        <v>261</v>
      </c>
      <c r="G127" s="281" t="s">
        <v>50</v>
      </c>
      <c r="H127" s="281" t="s">
        <v>32</v>
      </c>
      <c r="I127" s="315" t="s">
        <v>1600</v>
      </c>
      <c r="J127" s="316" t="s">
        <v>1601</v>
      </c>
      <c r="K127" s="317" t="s">
        <v>278</v>
      </c>
      <c r="L127" s="318" t="s">
        <v>289</v>
      </c>
      <c r="M127" s="318"/>
      <c r="N127" s="318"/>
      <c r="O127" s="317"/>
      <c r="P127" s="322"/>
      <c r="Q127" s="326" t="s">
        <v>62</v>
      </c>
      <c r="R127" s="321">
        <v>45938.0</v>
      </c>
      <c r="S127" s="318"/>
      <c r="T127" s="322"/>
      <c r="U127" s="320" t="s">
        <v>62</v>
      </c>
      <c r="V127" s="321">
        <v>45946.0</v>
      </c>
      <c r="W127" s="318"/>
      <c r="X127" s="322"/>
      <c r="Y127" s="318"/>
      <c r="Z127" s="322"/>
      <c r="AA127" s="318"/>
      <c r="AB127" s="318"/>
    </row>
    <row r="128">
      <c r="A128" s="312">
        <v>1695.0</v>
      </c>
      <c r="B128" s="313">
        <v>45841.0</v>
      </c>
      <c r="C128" s="281" t="s">
        <v>1431</v>
      </c>
      <c r="D128" s="281"/>
      <c r="E128" s="281" t="s">
        <v>918</v>
      </c>
      <c r="F128" s="281" t="s">
        <v>261</v>
      </c>
      <c r="G128" s="314">
        <v>1.6351795E7</v>
      </c>
      <c r="H128" s="281" t="s">
        <v>32</v>
      </c>
      <c r="I128" s="315" t="s">
        <v>1602</v>
      </c>
      <c r="J128" s="316" t="s">
        <v>1603</v>
      </c>
      <c r="K128" s="317" t="s">
        <v>278</v>
      </c>
      <c r="L128" s="318" t="s">
        <v>289</v>
      </c>
      <c r="M128" s="318"/>
      <c r="N128" s="318"/>
      <c r="O128" s="317"/>
      <c r="P128" s="322"/>
      <c r="Q128" s="326" t="s">
        <v>62</v>
      </c>
      <c r="R128" s="321">
        <v>45908.0</v>
      </c>
      <c r="S128" s="318"/>
      <c r="T128" s="322"/>
      <c r="U128" s="320" t="s">
        <v>62</v>
      </c>
      <c r="V128" s="321">
        <v>45925.0</v>
      </c>
      <c r="W128" s="318"/>
      <c r="X128" s="322"/>
      <c r="Y128" s="318"/>
      <c r="Z128" s="322"/>
      <c r="AA128" s="318"/>
      <c r="AB128" s="318"/>
    </row>
    <row r="129">
      <c r="A129" s="312">
        <v>1693.0</v>
      </c>
      <c r="B129" s="385">
        <v>45839.0</v>
      </c>
      <c r="C129" s="317" t="s">
        <v>1604</v>
      </c>
      <c r="D129" s="317"/>
      <c r="E129" s="317" t="s">
        <v>1106</v>
      </c>
      <c r="F129" s="317" t="s">
        <v>1028</v>
      </c>
      <c r="G129" s="317"/>
      <c r="H129" s="317" t="s">
        <v>103</v>
      </c>
      <c r="I129" s="386" t="s">
        <v>1605</v>
      </c>
      <c r="J129" s="387" t="s">
        <v>1606</v>
      </c>
      <c r="K129" s="317"/>
      <c r="L129" s="318"/>
      <c r="M129" s="318"/>
      <c r="N129" s="318"/>
      <c r="O129" s="317"/>
      <c r="P129" s="322"/>
      <c r="Q129" s="318"/>
      <c r="R129" s="322"/>
      <c r="S129" s="318"/>
      <c r="T129" s="322"/>
      <c r="U129" s="325" t="s">
        <v>1607</v>
      </c>
      <c r="V129" s="322"/>
      <c r="W129" s="318"/>
      <c r="X129" s="322"/>
      <c r="Y129" s="318"/>
      <c r="Z129" s="322"/>
      <c r="AA129" s="318"/>
      <c r="AB129" s="318"/>
    </row>
    <row r="130">
      <c r="A130" s="312">
        <v>1692.0</v>
      </c>
      <c r="B130" s="385">
        <v>45839.0</v>
      </c>
      <c r="C130" s="317" t="s">
        <v>1604</v>
      </c>
      <c r="D130" s="317"/>
      <c r="E130" s="317" t="s">
        <v>1106</v>
      </c>
      <c r="F130" s="317" t="s">
        <v>49</v>
      </c>
      <c r="G130" s="317"/>
      <c r="H130" s="317" t="s">
        <v>103</v>
      </c>
      <c r="I130" s="386" t="s">
        <v>1608</v>
      </c>
      <c r="J130" s="387" t="s">
        <v>1609</v>
      </c>
      <c r="K130" s="317"/>
      <c r="L130" s="318"/>
      <c r="M130" s="318"/>
      <c r="N130" s="318"/>
      <c r="O130" s="317"/>
      <c r="P130" s="322"/>
      <c r="Q130" s="318"/>
      <c r="R130" s="322"/>
      <c r="S130" s="318"/>
      <c r="T130" s="322"/>
      <c r="U130" s="325" t="s">
        <v>1607</v>
      </c>
      <c r="V130" s="322"/>
      <c r="W130" s="318"/>
      <c r="X130" s="322"/>
      <c r="Y130" s="318"/>
      <c r="Z130" s="322"/>
      <c r="AA130" s="318"/>
      <c r="AB130" s="318"/>
    </row>
    <row r="131">
      <c r="A131" s="312">
        <v>1691.0</v>
      </c>
      <c r="B131" s="313">
        <v>45835.0</v>
      </c>
      <c r="C131" s="281" t="s">
        <v>498</v>
      </c>
      <c r="D131" s="281"/>
      <c r="E131" s="281" t="s">
        <v>499</v>
      </c>
      <c r="F131" s="281" t="s">
        <v>1610</v>
      </c>
      <c r="G131" s="314">
        <v>1.7160366E7</v>
      </c>
      <c r="H131" s="281" t="s">
        <v>443</v>
      </c>
      <c r="I131" s="315" t="s">
        <v>1611</v>
      </c>
      <c r="J131" s="316" t="s">
        <v>1612</v>
      </c>
      <c r="K131" s="317" t="s">
        <v>1613</v>
      </c>
      <c r="L131" s="318" t="s">
        <v>1614</v>
      </c>
      <c r="M131" s="318" t="s">
        <v>1615</v>
      </c>
      <c r="N131" s="318"/>
      <c r="O131" s="317"/>
      <c r="P131" s="322"/>
      <c r="Q131" s="326" t="s">
        <v>62</v>
      </c>
      <c r="R131" s="321">
        <v>45856.0</v>
      </c>
      <c r="S131" s="318"/>
      <c r="T131" s="322"/>
      <c r="U131" s="320" t="s">
        <v>62</v>
      </c>
      <c r="V131" s="322"/>
      <c r="W131" s="318"/>
      <c r="X131" s="322"/>
      <c r="Y131" s="318"/>
      <c r="Z131" s="322"/>
      <c r="AA131" s="318"/>
      <c r="AB131" s="318"/>
    </row>
    <row r="132">
      <c r="A132" s="269">
        <v>1689.0</v>
      </c>
      <c r="B132" s="367">
        <v>45831.0</v>
      </c>
      <c r="C132" s="260" t="s">
        <v>1616</v>
      </c>
      <c r="D132" s="260" t="s">
        <v>66</v>
      </c>
      <c r="E132" s="260" t="s">
        <v>1059</v>
      </c>
      <c r="F132" s="260" t="s">
        <v>1060</v>
      </c>
      <c r="G132" s="260">
        <v>1.9070568E7</v>
      </c>
      <c r="H132" s="260" t="s">
        <v>135</v>
      </c>
      <c r="I132" s="263" t="s">
        <v>1617</v>
      </c>
      <c r="J132" s="369" t="s">
        <v>1618</v>
      </c>
      <c r="K132" s="234" t="s">
        <v>1063</v>
      </c>
      <c r="L132" s="234" t="s">
        <v>554</v>
      </c>
      <c r="M132" s="234" t="s">
        <v>1619</v>
      </c>
      <c r="N132" s="273"/>
      <c r="O132" s="370" t="s">
        <v>62</v>
      </c>
      <c r="P132" s="371">
        <v>45876.0</v>
      </c>
      <c r="Q132" s="274"/>
      <c r="R132" s="275"/>
      <c r="S132" s="370" t="s">
        <v>62</v>
      </c>
      <c r="T132" s="371">
        <v>45876.0</v>
      </c>
      <c r="U132" s="370" t="s">
        <v>62</v>
      </c>
      <c r="V132" s="371">
        <v>45877.0</v>
      </c>
      <c r="W132" s="372"/>
      <c r="X132" s="275"/>
      <c r="Y132" s="274"/>
      <c r="Z132" s="275"/>
      <c r="AA132" s="277"/>
      <c r="AB132" s="277"/>
    </row>
    <row r="133">
      <c r="A133" s="269">
        <v>1687.0</v>
      </c>
      <c r="B133" s="367">
        <v>45826.0</v>
      </c>
      <c r="C133" s="260" t="s">
        <v>1620</v>
      </c>
      <c r="D133" s="368"/>
      <c r="E133" s="260" t="s">
        <v>506</v>
      </c>
      <c r="F133" s="260" t="s">
        <v>1621</v>
      </c>
      <c r="G133" s="260">
        <v>1.7242875E7</v>
      </c>
      <c r="H133" s="260" t="s">
        <v>200</v>
      </c>
      <c r="I133" s="263" t="s">
        <v>1622</v>
      </c>
      <c r="J133" s="369" t="s">
        <v>1623</v>
      </c>
      <c r="K133" s="234" t="s">
        <v>1624</v>
      </c>
      <c r="L133" s="234" t="s">
        <v>1625</v>
      </c>
      <c r="M133" s="234" t="s">
        <v>1626</v>
      </c>
      <c r="N133" s="273"/>
      <c r="O133" s="370" t="s">
        <v>1563</v>
      </c>
      <c r="P133" s="371">
        <v>45826.0</v>
      </c>
      <c r="Q133" s="274"/>
      <c r="R133" s="275"/>
      <c r="S133" s="274"/>
      <c r="T133" s="275"/>
      <c r="U133" s="370" t="s">
        <v>1563</v>
      </c>
      <c r="V133" s="371">
        <v>45827.0</v>
      </c>
      <c r="W133" s="372"/>
      <c r="X133" s="275"/>
      <c r="Y133" s="274"/>
      <c r="Z133" s="275"/>
      <c r="AA133" s="277"/>
      <c r="AB133" s="277"/>
    </row>
    <row r="134">
      <c r="A134" s="269">
        <v>1686.0</v>
      </c>
      <c r="B134" s="367">
        <v>45821.0</v>
      </c>
      <c r="C134" s="260" t="s">
        <v>582</v>
      </c>
      <c r="D134" s="260" t="s">
        <v>66</v>
      </c>
      <c r="E134" s="260" t="s">
        <v>67</v>
      </c>
      <c r="F134" s="260" t="s">
        <v>49</v>
      </c>
      <c r="G134" s="260">
        <v>1.9050269E7</v>
      </c>
      <c r="H134" s="260" t="s">
        <v>42</v>
      </c>
      <c r="I134" s="263" t="s">
        <v>1627</v>
      </c>
      <c r="J134" s="369" t="s">
        <v>1628</v>
      </c>
      <c r="K134" s="234" t="s">
        <v>129</v>
      </c>
      <c r="L134" s="234" t="s">
        <v>585</v>
      </c>
      <c r="M134" s="384" t="s">
        <v>586</v>
      </c>
      <c r="N134" s="273"/>
      <c r="O134" s="370" t="s">
        <v>62</v>
      </c>
      <c r="P134" s="371">
        <v>45853.0</v>
      </c>
      <c r="Q134" s="274"/>
      <c r="R134" s="275"/>
      <c r="S134" s="274"/>
      <c r="T134" s="275"/>
      <c r="U134" s="370" t="s">
        <v>62</v>
      </c>
      <c r="V134" s="371">
        <v>45854.0</v>
      </c>
      <c r="W134" s="388"/>
      <c r="X134" s="275"/>
      <c r="Y134" s="274"/>
      <c r="Z134" s="275"/>
      <c r="AA134" s="277"/>
      <c r="AB134" s="277"/>
    </row>
    <row r="135">
      <c r="A135" s="269">
        <v>1685.0</v>
      </c>
      <c r="B135" s="367">
        <v>45821.0</v>
      </c>
      <c r="C135" s="260" t="s">
        <v>1629</v>
      </c>
      <c r="D135" s="260" t="s">
        <v>66</v>
      </c>
      <c r="E135" s="260" t="s">
        <v>67</v>
      </c>
      <c r="F135" s="260" t="s">
        <v>111</v>
      </c>
      <c r="G135" s="260">
        <v>1.9050248E7</v>
      </c>
      <c r="H135" s="261" t="s">
        <v>42</v>
      </c>
      <c r="I135" s="263" t="s">
        <v>1630</v>
      </c>
      <c r="J135" s="369" t="s">
        <v>1631</v>
      </c>
      <c r="K135" s="273"/>
      <c r="L135" s="273"/>
      <c r="M135" s="273"/>
      <c r="N135" s="273"/>
      <c r="O135" s="274"/>
      <c r="P135" s="275"/>
      <c r="Q135" s="274"/>
      <c r="R135" s="275"/>
      <c r="S135" s="274"/>
      <c r="T135" s="275"/>
      <c r="U135" s="370" t="s">
        <v>150</v>
      </c>
      <c r="V135" s="275"/>
      <c r="W135" s="388"/>
      <c r="X135" s="275"/>
      <c r="Y135" s="274"/>
      <c r="Z135" s="275"/>
      <c r="AA135" s="277"/>
      <c r="AB135" s="277"/>
    </row>
    <row r="136">
      <c r="A136" s="269">
        <v>1681.0</v>
      </c>
      <c r="B136" s="367">
        <v>45819.0</v>
      </c>
      <c r="C136" s="260" t="s">
        <v>1616</v>
      </c>
      <c r="D136" s="260" t="s">
        <v>66</v>
      </c>
      <c r="E136" s="260" t="s">
        <v>1059</v>
      </c>
      <c r="F136" s="260" t="s">
        <v>1060</v>
      </c>
      <c r="G136" s="260">
        <v>1.9070566E7</v>
      </c>
      <c r="H136" s="260" t="s">
        <v>135</v>
      </c>
      <c r="I136" s="263" t="s">
        <v>1061</v>
      </c>
      <c r="J136" s="369" t="s">
        <v>1632</v>
      </c>
      <c r="K136" s="234" t="s">
        <v>1063</v>
      </c>
      <c r="L136" s="234" t="s">
        <v>1064</v>
      </c>
      <c r="M136" s="234" t="s">
        <v>1065</v>
      </c>
      <c r="N136" s="273"/>
      <c r="O136" s="370" t="s">
        <v>62</v>
      </c>
      <c r="P136" s="371">
        <v>45824.0</v>
      </c>
      <c r="Q136" s="274"/>
      <c r="R136" s="275"/>
      <c r="S136" s="274"/>
      <c r="T136" s="275"/>
      <c r="U136" s="370" t="s">
        <v>62</v>
      </c>
      <c r="V136" s="371">
        <v>45875.0</v>
      </c>
      <c r="W136" s="372"/>
      <c r="X136" s="275"/>
      <c r="Y136" s="274"/>
      <c r="Z136" s="275"/>
      <c r="AA136" s="277"/>
      <c r="AB136" s="277"/>
    </row>
    <row r="137">
      <c r="A137" s="389">
        <v>1680.0</v>
      </c>
      <c r="B137" s="259">
        <v>45174.0</v>
      </c>
      <c r="C137" s="260" t="s">
        <v>1633</v>
      </c>
      <c r="D137" s="390" t="s">
        <v>29</v>
      </c>
      <c r="E137" s="261" t="s">
        <v>1634</v>
      </c>
      <c r="F137" s="261" t="s">
        <v>702</v>
      </c>
      <c r="G137" s="261"/>
      <c r="H137" s="261" t="s">
        <v>348</v>
      </c>
      <c r="I137" s="263" t="s">
        <v>1635</v>
      </c>
      <c r="J137" s="263" t="s">
        <v>1636</v>
      </c>
      <c r="K137" s="234" t="s">
        <v>1637</v>
      </c>
      <c r="L137" s="273"/>
      <c r="M137" s="273"/>
      <c r="N137" s="273"/>
      <c r="O137" s="274"/>
      <c r="P137" s="275"/>
      <c r="Q137" s="274"/>
      <c r="R137" s="275"/>
      <c r="S137" s="274"/>
      <c r="T137" s="275"/>
      <c r="U137" s="370" t="s">
        <v>62</v>
      </c>
      <c r="V137" s="275"/>
      <c r="W137" s="388"/>
      <c r="X137" s="275"/>
      <c r="Y137" s="274"/>
      <c r="Z137" s="275"/>
      <c r="AA137" s="391"/>
      <c r="AB137" s="277"/>
    </row>
    <row r="138">
      <c r="A138" s="278">
        <v>1678.0</v>
      </c>
      <c r="B138" s="279">
        <v>45814.0</v>
      </c>
      <c r="C138" s="280" t="s">
        <v>1638</v>
      </c>
      <c r="D138" s="280" t="s">
        <v>359</v>
      </c>
      <c r="E138" s="280" t="s">
        <v>1639</v>
      </c>
      <c r="F138" s="280" t="s">
        <v>1640</v>
      </c>
      <c r="G138" s="280" t="s">
        <v>50</v>
      </c>
      <c r="H138" s="280" t="s">
        <v>135</v>
      </c>
      <c r="I138" s="283" t="s">
        <v>1641</v>
      </c>
      <c r="J138" s="284" t="s">
        <v>1642</v>
      </c>
      <c r="K138" s="285" t="s">
        <v>1643</v>
      </c>
      <c r="L138" s="286" t="s">
        <v>1644</v>
      </c>
      <c r="M138" s="286" t="s">
        <v>1645</v>
      </c>
      <c r="N138" s="287"/>
      <c r="O138" s="288" t="s">
        <v>62</v>
      </c>
      <c r="P138" s="289">
        <v>45965.0</v>
      </c>
      <c r="Q138" s="287"/>
      <c r="R138" s="290"/>
      <c r="S138" s="287"/>
      <c r="T138" s="290"/>
      <c r="U138" s="288" t="s">
        <v>62</v>
      </c>
      <c r="V138" s="289">
        <v>45975.0</v>
      </c>
      <c r="W138" s="287"/>
      <c r="X138" s="290"/>
      <c r="Y138" s="287"/>
      <c r="Z138" s="290"/>
      <c r="AA138" s="287"/>
      <c r="AB138" s="287"/>
    </row>
    <row r="139">
      <c r="A139" s="269">
        <v>1675.0</v>
      </c>
      <c r="B139" s="367">
        <v>45811.0</v>
      </c>
      <c r="C139" s="260" t="s">
        <v>1646</v>
      </c>
      <c r="D139" s="260" t="s">
        <v>66</v>
      </c>
      <c r="E139" s="260" t="s">
        <v>48</v>
      </c>
      <c r="F139" s="260" t="s">
        <v>49</v>
      </c>
      <c r="G139" s="260">
        <v>1.4692164E7</v>
      </c>
      <c r="H139" s="260" t="s">
        <v>51</v>
      </c>
      <c r="I139" s="263" t="s">
        <v>1647</v>
      </c>
      <c r="J139" s="369" t="s">
        <v>1648</v>
      </c>
      <c r="K139" s="234" t="s">
        <v>143</v>
      </c>
      <c r="L139" s="234" t="s">
        <v>613</v>
      </c>
      <c r="M139" s="234" t="s">
        <v>1649</v>
      </c>
      <c r="N139" s="273"/>
      <c r="O139" s="370" t="s">
        <v>62</v>
      </c>
      <c r="P139" s="371">
        <v>45811.0</v>
      </c>
      <c r="Q139" s="274"/>
      <c r="R139" s="275"/>
      <c r="S139" s="274"/>
      <c r="T139" s="275"/>
      <c r="U139" s="370" t="s">
        <v>62</v>
      </c>
      <c r="V139" s="371">
        <v>45818.0</v>
      </c>
      <c r="W139" s="372"/>
      <c r="X139" s="275"/>
      <c r="Y139" s="274"/>
      <c r="Z139" s="275"/>
      <c r="AA139" s="277"/>
      <c r="AB139" s="277"/>
    </row>
    <row r="140">
      <c r="A140" s="269">
        <v>1674.0</v>
      </c>
      <c r="B140" s="270">
        <v>45811.0</v>
      </c>
      <c r="C140" s="234" t="s">
        <v>1650</v>
      </c>
      <c r="D140" s="234" t="s">
        <v>66</v>
      </c>
      <c r="E140" s="392" t="s">
        <v>1651</v>
      </c>
      <c r="F140" s="234" t="s">
        <v>1652</v>
      </c>
      <c r="G140" s="393" t="s">
        <v>1653</v>
      </c>
      <c r="H140" s="234" t="s">
        <v>395</v>
      </c>
      <c r="I140" s="238" t="s">
        <v>1654</v>
      </c>
      <c r="J140" s="394" t="s">
        <v>1655</v>
      </c>
      <c r="K140" s="273"/>
      <c r="L140" s="273"/>
      <c r="M140" s="273"/>
      <c r="N140" s="273"/>
      <c r="O140" s="274"/>
      <c r="P140" s="275"/>
      <c r="Q140" s="274"/>
      <c r="R140" s="275"/>
      <c r="S140" s="274"/>
      <c r="T140" s="275"/>
      <c r="U140" s="274"/>
      <c r="V140" s="275"/>
      <c r="W140" s="372"/>
      <c r="X140" s="275"/>
      <c r="Y140" s="274"/>
      <c r="Z140" s="275"/>
      <c r="AA140" s="277"/>
      <c r="AB140" s="277"/>
    </row>
    <row r="141">
      <c r="A141" s="292">
        <v>1671.0</v>
      </c>
      <c r="B141" s="395">
        <v>45807.0</v>
      </c>
      <c r="C141" s="280" t="s">
        <v>707</v>
      </c>
      <c r="D141" s="280" t="s">
        <v>66</v>
      </c>
      <c r="E141" s="280" t="s">
        <v>708</v>
      </c>
      <c r="F141" s="280" t="s">
        <v>49</v>
      </c>
      <c r="G141" s="282">
        <v>1.9670014E7</v>
      </c>
      <c r="H141" s="280" t="s">
        <v>42</v>
      </c>
      <c r="I141" s="283" t="s">
        <v>1334</v>
      </c>
      <c r="J141" s="284" t="s">
        <v>1656</v>
      </c>
      <c r="K141" s="293" t="s">
        <v>129</v>
      </c>
      <c r="L141" s="294" t="s">
        <v>585</v>
      </c>
      <c r="M141" s="396" t="s">
        <v>586</v>
      </c>
      <c r="N141" s="295"/>
      <c r="O141" s="296" t="s">
        <v>62</v>
      </c>
      <c r="P141" s="297">
        <v>45979.0</v>
      </c>
      <c r="Q141" s="295"/>
      <c r="R141" s="298"/>
      <c r="S141" s="295"/>
      <c r="T141" s="298"/>
      <c r="U141" s="296" t="s">
        <v>62</v>
      </c>
      <c r="V141" s="297">
        <v>45979.0</v>
      </c>
      <c r="W141" s="295"/>
      <c r="X141" s="298"/>
      <c r="Y141" s="295"/>
      <c r="Z141" s="298"/>
      <c r="AA141" s="295"/>
      <c r="AB141" s="295"/>
    </row>
    <row r="142">
      <c r="A142" s="269">
        <v>1669.0</v>
      </c>
      <c r="B142" s="367">
        <v>45757.0</v>
      </c>
      <c r="C142" s="260" t="s">
        <v>1657</v>
      </c>
      <c r="D142" s="260" t="s">
        <v>66</v>
      </c>
      <c r="E142" s="260" t="s">
        <v>1101</v>
      </c>
      <c r="F142" s="260" t="s">
        <v>1658</v>
      </c>
      <c r="G142" s="368"/>
      <c r="H142" s="260" t="s">
        <v>348</v>
      </c>
      <c r="I142" s="263" t="s">
        <v>1659</v>
      </c>
      <c r="J142" s="369" t="s">
        <v>1660</v>
      </c>
      <c r="K142" s="234" t="s">
        <v>1661</v>
      </c>
      <c r="L142" s="234" t="s">
        <v>1662</v>
      </c>
      <c r="M142" s="234" t="s">
        <v>1663</v>
      </c>
      <c r="N142" s="273"/>
      <c r="O142" s="370" t="s">
        <v>62</v>
      </c>
      <c r="P142" s="371">
        <v>45806.0</v>
      </c>
      <c r="Q142" s="274"/>
      <c r="R142" s="275"/>
      <c r="S142" s="274"/>
      <c r="T142" s="275"/>
      <c r="U142" s="370" t="s">
        <v>150</v>
      </c>
      <c r="V142" s="275"/>
      <c r="W142" s="388"/>
      <c r="X142" s="275"/>
      <c r="Y142" s="274"/>
      <c r="Z142" s="275"/>
      <c r="AA142" s="277"/>
      <c r="AB142" s="277"/>
    </row>
    <row r="143">
      <c r="A143" s="292">
        <v>1665.0</v>
      </c>
      <c r="B143" s="308">
        <v>45804.0</v>
      </c>
      <c r="C143" s="293" t="s">
        <v>381</v>
      </c>
      <c r="D143" s="293" t="s">
        <v>66</v>
      </c>
      <c r="E143" s="293" t="s">
        <v>382</v>
      </c>
      <c r="F143" s="293" t="s">
        <v>1664</v>
      </c>
      <c r="G143" s="292">
        <v>1.9560015E7</v>
      </c>
      <c r="H143" s="293" t="s">
        <v>348</v>
      </c>
      <c r="I143" s="309" t="s">
        <v>1665</v>
      </c>
      <c r="J143" s="284" t="s">
        <v>1666</v>
      </c>
      <c r="K143" s="293" t="s">
        <v>1667</v>
      </c>
      <c r="L143" s="301" t="s">
        <v>1668</v>
      </c>
      <c r="M143" s="294" t="s">
        <v>1669</v>
      </c>
      <c r="N143" s="295"/>
      <c r="O143" s="296" t="s">
        <v>62</v>
      </c>
      <c r="P143" s="297">
        <v>45975.0</v>
      </c>
      <c r="Q143" s="295"/>
      <c r="R143" s="298"/>
      <c r="S143" s="295"/>
      <c r="T143" s="298"/>
      <c r="U143" s="296" t="s">
        <v>62</v>
      </c>
      <c r="V143" s="297">
        <v>45979.0</v>
      </c>
      <c r="W143" s="295"/>
      <c r="X143" s="298"/>
      <c r="Y143" s="295"/>
      <c r="Z143" s="298"/>
      <c r="AA143" s="295"/>
      <c r="AB143" s="295"/>
    </row>
    <row r="144">
      <c r="A144" s="269">
        <v>1664.0</v>
      </c>
      <c r="B144" s="397">
        <v>45800.0</v>
      </c>
      <c r="C144" s="398" t="s">
        <v>758</v>
      </c>
      <c r="D144" s="398" t="s">
        <v>66</v>
      </c>
      <c r="E144" s="398" t="s">
        <v>759</v>
      </c>
      <c r="F144" s="398" t="s">
        <v>900</v>
      </c>
      <c r="G144" s="398">
        <v>1.9080233E7</v>
      </c>
      <c r="H144" s="398" t="s">
        <v>200</v>
      </c>
      <c r="I144" s="399" t="s">
        <v>1670</v>
      </c>
      <c r="J144" s="369" t="s">
        <v>1671</v>
      </c>
      <c r="K144" s="234" t="s">
        <v>904</v>
      </c>
      <c r="L144" s="234" t="s">
        <v>138</v>
      </c>
      <c r="M144" s="234" t="s">
        <v>1672</v>
      </c>
      <c r="N144" s="273"/>
      <c r="O144" s="274"/>
      <c r="P144" s="275"/>
      <c r="Q144" s="274"/>
      <c r="R144" s="275"/>
      <c r="S144" s="274"/>
      <c r="T144" s="275"/>
      <c r="U144" s="370" t="s">
        <v>150</v>
      </c>
      <c r="V144" s="275"/>
      <c r="W144" s="388"/>
      <c r="X144" s="275"/>
      <c r="Y144" s="274"/>
      <c r="Z144" s="275"/>
      <c r="AA144" s="400">
        <v>2.0250708E7</v>
      </c>
      <c r="AB144" s="277"/>
    </row>
    <row r="145">
      <c r="A145" s="269">
        <v>1663.0</v>
      </c>
      <c r="B145" s="367">
        <v>45800.0</v>
      </c>
      <c r="C145" s="260" t="s">
        <v>1604</v>
      </c>
      <c r="D145" s="260" t="s">
        <v>66</v>
      </c>
      <c r="E145" s="260" t="s">
        <v>1106</v>
      </c>
      <c r="F145" s="260" t="s">
        <v>412</v>
      </c>
      <c r="G145" s="260" t="s">
        <v>50</v>
      </c>
      <c r="H145" s="260" t="s">
        <v>103</v>
      </c>
      <c r="I145" s="263" t="s">
        <v>1673</v>
      </c>
      <c r="J145" s="369" t="s">
        <v>1674</v>
      </c>
      <c r="K145" s="234" t="s">
        <v>1109</v>
      </c>
      <c r="L145" s="234" t="s">
        <v>914</v>
      </c>
      <c r="M145" s="234" t="s">
        <v>1675</v>
      </c>
      <c r="N145" s="273"/>
      <c r="O145" s="370" t="s">
        <v>62</v>
      </c>
      <c r="P145" s="371">
        <v>45818.0</v>
      </c>
      <c r="Q145" s="274"/>
      <c r="R145" s="275"/>
      <c r="S145" s="274"/>
      <c r="T145" s="275"/>
      <c r="U145" s="370" t="s">
        <v>150</v>
      </c>
      <c r="V145" s="275"/>
      <c r="W145" s="388"/>
      <c r="X145" s="275"/>
      <c r="Y145" s="274"/>
      <c r="Z145" s="275"/>
      <c r="AA145" s="277"/>
      <c r="AB145" s="277"/>
    </row>
    <row r="146">
      <c r="A146" s="269">
        <v>1662.0</v>
      </c>
      <c r="B146" s="367">
        <v>45800.0</v>
      </c>
      <c r="C146" s="260" t="s">
        <v>325</v>
      </c>
      <c r="D146" s="260" t="s">
        <v>66</v>
      </c>
      <c r="E146" s="260" t="s">
        <v>326</v>
      </c>
      <c r="F146" s="260" t="s">
        <v>49</v>
      </c>
      <c r="G146" s="260">
        <v>1.8860124E7</v>
      </c>
      <c r="H146" s="260" t="s">
        <v>42</v>
      </c>
      <c r="I146" s="263" t="s">
        <v>1676</v>
      </c>
      <c r="J146" s="369" t="s">
        <v>1677</v>
      </c>
      <c r="K146" s="234" t="s">
        <v>129</v>
      </c>
      <c r="L146" s="401" t="s">
        <v>585</v>
      </c>
      <c r="M146" s="401" t="s">
        <v>1678</v>
      </c>
      <c r="N146" s="273"/>
      <c r="O146" s="370" t="s">
        <v>62</v>
      </c>
      <c r="P146" s="371">
        <v>45803.0</v>
      </c>
      <c r="Q146" s="274"/>
      <c r="R146" s="275"/>
      <c r="S146" s="274"/>
      <c r="T146" s="275"/>
      <c r="U146" s="370" t="s">
        <v>62</v>
      </c>
      <c r="V146" s="371">
        <v>45803.0</v>
      </c>
      <c r="W146" s="372"/>
      <c r="X146" s="275"/>
      <c r="Y146" s="274"/>
      <c r="Z146" s="275"/>
      <c r="AA146" s="277"/>
      <c r="AB146" s="277"/>
    </row>
    <row r="147">
      <c r="A147" s="269">
        <v>1661.0</v>
      </c>
      <c r="B147" s="367">
        <v>45799.0</v>
      </c>
      <c r="C147" s="260" t="s">
        <v>1679</v>
      </c>
      <c r="D147" s="260" t="s">
        <v>66</v>
      </c>
      <c r="E147" s="260" t="s">
        <v>857</v>
      </c>
      <c r="F147" s="260" t="s">
        <v>1680</v>
      </c>
      <c r="G147" s="260" t="s">
        <v>50</v>
      </c>
      <c r="H147" s="260" t="s">
        <v>103</v>
      </c>
      <c r="I147" s="263" t="s">
        <v>1681</v>
      </c>
      <c r="J147" s="369" t="s">
        <v>1682</v>
      </c>
      <c r="K147" s="234" t="s">
        <v>1683</v>
      </c>
      <c r="L147" s="234" t="s">
        <v>1684</v>
      </c>
      <c r="M147" s="234" t="s">
        <v>1685</v>
      </c>
      <c r="N147" s="273"/>
      <c r="O147" s="274"/>
      <c r="P147" s="275"/>
      <c r="Q147" s="370" t="s">
        <v>62</v>
      </c>
      <c r="R147" s="371">
        <v>45814.0</v>
      </c>
      <c r="S147" s="274"/>
      <c r="T147" s="275"/>
      <c r="U147" s="370" t="s">
        <v>150</v>
      </c>
      <c r="V147" s="275"/>
      <c r="W147" s="388"/>
      <c r="X147" s="275"/>
      <c r="Y147" s="274"/>
      <c r="Z147" s="275"/>
      <c r="AA147" s="277"/>
      <c r="AB147" s="277"/>
    </row>
    <row r="148">
      <c r="A148" s="312">
        <v>1660.0</v>
      </c>
      <c r="B148" s="313">
        <v>45799.0</v>
      </c>
      <c r="C148" s="281" t="s">
        <v>582</v>
      </c>
      <c r="D148" s="281" t="s">
        <v>66</v>
      </c>
      <c r="E148" s="281" t="s">
        <v>67</v>
      </c>
      <c r="F148" s="281" t="s">
        <v>49</v>
      </c>
      <c r="G148" s="314">
        <v>1.9050262E7</v>
      </c>
      <c r="H148" s="281" t="s">
        <v>42</v>
      </c>
      <c r="I148" s="315" t="s">
        <v>1686</v>
      </c>
      <c r="J148" s="316" t="s">
        <v>1687</v>
      </c>
      <c r="K148" s="317" t="s">
        <v>129</v>
      </c>
      <c r="L148" s="318"/>
      <c r="M148" s="318"/>
      <c r="N148" s="318"/>
      <c r="O148" s="320" t="s">
        <v>62</v>
      </c>
      <c r="P148" s="321">
        <v>45959.0</v>
      </c>
      <c r="Q148" s="318"/>
      <c r="R148" s="322"/>
      <c r="S148" s="318"/>
      <c r="T148" s="322"/>
      <c r="U148" s="320" t="s">
        <v>62</v>
      </c>
      <c r="V148" s="321">
        <v>45959.0</v>
      </c>
      <c r="W148" s="318"/>
      <c r="X148" s="322"/>
      <c r="Y148" s="318"/>
      <c r="Z148" s="322"/>
      <c r="AA148" s="318"/>
      <c r="AB148" s="318"/>
    </row>
    <row r="149">
      <c r="A149" s="269">
        <v>1659.0</v>
      </c>
      <c r="B149" s="397">
        <v>45799.0</v>
      </c>
      <c r="C149" s="398" t="s">
        <v>373</v>
      </c>
      <c r="D149" s="398" t="s">
        <v>66</v>
      </c>
      <c r="E149" s="398" t="s">
        <v>374</v>
      </c>
      <c r="F149" s="398" t="s">
        <v>458</v>
      </c>
      <c r="G149" s="398" t="s">
        <v>50</v>
      </c>
      <c r="H149" s="398" t="s">
        <v>348</v>
      </c>
      <c r="I149" s="399" t="s">
        <v>1688</v>
      </c>
      <c r="J149" s="369" t="s">
        <v>1689</v>
      </c>
      <c r="K149" s="234" t="s">
        <v>461</v>
      </c>
      <c r="L149" s="234" t="s">
        <v>462</v>
      </c>
      <c r="M149" s="234" t="s">
        <v>1690</v>
      </c>
      <c r="N149" s="273"/>
      <c r="O149" s="370" t="s">
        <v>62</v>
      </c>
      <c r="P149" s="371">
        <v>45805.0</v>
      </c>
      <c r="Q149" s="274"/>
      <c r="R149" s="275"/>
      <c r="S149" s="274"/>
      <c r="T149" s="275"/>
      <c r="U149" s="370" t="s">
        <v>150</v>
      </c>
      <c r="V149" s="275"/>
      <c r="W149" s="388"/>
      <c r="X149" s="275"/>
      <c r="Y149" s="274"/>
      <c r="Z149" s="275"/>
      <c r="AA149" s="277"/>
      <c r="AB149" s="277"/>
    </row>
    <row r="150">
      <c r="A150" s="269">
        <v>1658.0</v>
      </c>
      <c r="B150" s="367">
        <v>45798.0</v>
      </c>
      <c r="C150" s="260" t="s">
        <v>325</v>
      </c>
      <c r="D150" s="260" t="s">
        <v>66</v>
      </c>
      <c r="E150" s="260" t="s">
        <v>326</v>
      </c>
      <c r="F150" s="260" t="s">
        <v>49</v>
      </c>
      <c r="G150" s="260">
        <v>1.8860122E7</v>
      </c>
      <c r="H150" s="260" t="s">
        <v>42</v>
      </c>
      <c r="I150" s="263" t="s">
        <v>1691</v>
      </c>
      <c r="J150" s="369" t="s">
        <v>1692</v>
      </c>
      <c r="K150" s="273"/>
      <c r="L150" s="273"/>
      <c r="M150" s="273"/>
      <c r="N150" s="273"/>
      <c r="O150" s="370" t="s">
        <v>62</v>
      </c>
      <c r="P150" s="371">
        <v>45841.0</v>
      </c>
      <c r="Q150" s="274"/>
      <c r="R150" s="275"/>
      <c r="S150" s="274"/>
      <c r="T150" s="275"/>
      <c r="U150" s="370" t="s">
        <v>62</v>
      </c>
      <c r="V150" s="371">
        <v>45841.0</v>
      </c>
      <c r="W150" s="372"/>
      <c r="X150" s="275"/>
      <c r="Y150" s="274"/>
      <c r="Z150" s="275"/>
      <c r="AA150" s="277"/>
      <c r="AB150" s="277"/>
    </row>
    <row r="151">
      <c r="A151" s="269">
        <v>1656.0</v>
      </c>
      <c r="B151" s="367">
        <v>45798.0</v>
      </c>
      <c r="C151" s="260" t="s">
        <v>582</v>
      </c>
      <c r="D151" s="260" t="s">
        <v>66</v>
      </c>
      <c r="E151" s="260" t="s">
        <v>67</v>
      </c>
      <c r="F151" s="260" t="s">
        <v>49</v>
      </c>
      <c r="G151" s="260">
        <v>1.905026E7</v>
      </c>
      <c r="H151" s="260" t="s">
        <v>42</v>
      </c>
      <c r="I151" s="263" t="s">
        <v>1693</v>
      </c>
      <c r="J151" s="369" t="s">
        <v>1694</v>
      </c>
      <c r="K151" s="234" t="s">
        <v>129</v>
      </c>
      <c r="L151" s="401" t="s">
        <v>585</v>
      </c>
      <c r="M151" s="401" t="s">
        <v>1678</v>
      </c>
      <c r="N151" s="273"/>
      <c r="O151" s="370" t="s">
        <v>62</v>
      </c>
      <c r="P151" s="371">
        <v>45804.0</v>
      </c>
      <c r="Q151" s="274"/>
      <c r="R151" s="275"/>
      <c r="S151" s="274"/>
      <c r="T151" s="275"/>
      <c r="U151" s="370" t="s">
        <v>62</v>
      </c>
      <c r="V151" s="371">
        <v>45804.0</v>
      </c>
      <c r="W151" s="372"/>
      <c r="X151" s="275"/>
      <c r="Y151" s="274"/>
      <c r="Z151" s="275"/>
      <c r="AA151" s="277"/>
      <c r="AB151" s="277"/>
    </row>
    <row r="152">
      <c r="A152" s="269">
        <v>1655.0</v>
      </c>
      <c r="B152" s="367">
        <v>45798.0</v>
      </c>
      <c r="C152" s="260" t="s">
        <v>373</v>
      </c>
      <c r="D152" s="260" t="s">
        <v>66</v>
      </c>
      <c r="E152" s="260" t="s">
        <v>374</v>
      </c>
      <c r="F152" s="260" t="s">
        <v>49</v>
      </c>
      <c r="G152" s="260">
        <v>1.9230138E7</v>
      </c>
      <c r="H152" s="260" t="s">
        <v>348</v>
      </c>
      <c r="I152" s="263" t="s">
        <v>1695</v>
      </c>
      <c r="J152" s="369" t="s">
        <v>1696</v>
      </c>
      <c r="K152" s="234" t="s">
        <v>377</v>
      </c>
      <c r="L152" s="234" t="s">
        <v>1697</v>
      </c>
      <c r="M152" s="273"/>
      <c r="N152" s="273"/>
      <c r="O152" s="370" t="s">
        <v>62</v>
      </c>
      <c r="P152" s="371">
        <v>45821.0</v>
      </c>
      <c r="Q152" s="274"/>
      <c r="R152" s="275"/>
      <c r="S152" s="274"/>
      <c r="T152" s="275"/>
      <c r="U152" s="370" t="s">
        <v>150</v>
      </c>
      <c r="V152" s="275"/>
      <c r="W152" s="388"/>
      <c r="X152" s="275"/>
      <c r="Y152" s="274"/>
      <c r="Z152" s="275"/>
      <c r="AA152" s="277"/>
      <c r="AB152" s="277"/>
    </row>
    <row r="153">
      <c r="A153" s="269">
        <v>1653.0</v>
      </c>
      <c r="B153" s="367">
        <v>45797.0</v>
      </c>
      <c r="C153" s="260" t="s">
        <v>1698</v>
      </c>
      <c r="D153" s="260" t="s">
        <v>66</v>
      </c>
      <c r="E153" s="260" t="s">
        <v>1699</v>
      </c>
      <c r="F153" s="260" t="s">
        <v>1700</v>
      </c>
      <c r="G153" s="260" t="s">
        <v>1701</v>
      </c>
      <c r="H153" s="260" t="s">
        <v>200</v>
      </c>
      <c r="I153" s="263" t="s">
        <v>1702</v>
      </c>
      <c r="J153" s="369" t="s">
        <v>1703</v>
      </c>
      <c r="K153" s="234" t="s">
        <v>1704</v>
      </c>
      <c r="L153" s="234" t="s">
        <v>1705</v>
      </c>
      <c r="M153" s="402" t="s">
        <v>1706</v>
      </c>
      <c r="N153" s="273"/>
      <c r="O153" s="403" t="s">
        <v>1563</v>
      </c>
      <c r="P153" s="371">
        <v>45806.0</v>
      </c>
      <c r="Q153" s="274"/>
      <c r="R153" s="275"/>
      <c r="S153" s="274"/>
      <c r="T153" s="404"/>
      <c r="U153" s="370" t="s">
        <v>1707</v>
      </c>
      <c r="V153" s="371">
        <v>45806.0</v>
      </c>
      <c r="W153" s="388"/>
      <c r="X153" s="275"/>
      <c r="Y153" s="274"/>
      <c r="Z153" s="275"/>
      <c r="AA153" s="277"/>
      <c r="AB153" s="277"/>
    </row>
    <row r="154">
      <c r="A154" s="312">
        <v>1652.0</v>
      </c>
      <c r="B154" s="313">
        <v>45793.0</v>
      </c>
      <c r="C154" s="281" t="s">
        <v>345</v>
      </c>
      <c r="D154" s="281" t="s">
        <v>66</v>
      </c>
      <c r="E154" s="281" t="s">
        <v>346</v>
      </c>
      <c r="F154" s="281" t="s">
        <v>1708</v>
      </c>
      <c r="G154" s="281"/>
      <c r="H154" s="281" t="s">
        <v>1709</v>
      </c>
      <c r="I154" s="315" t="s">
        <v>1710</v>
      </c>
      <c r="J154" s="316" t="s">
        <v>1711</v>
      </c>
      <c r="K154" s="317"/>
      <c r="L154" s="318"/>
      <c r="M154" s="319" t="s">
        <v>1712</v>
      </c>
      <c r="N154" s="318"/>
      <c r="O154" s="317"/>
      <c r="P154" s="322"/>
      <c r="Q154" s="318"/>
      <c r="R154" s="322"/>
      <c r="S154" s="318"/>
      <c r="T154" s="322"/>
      <c r="U154" s="320" t="s">
        <v>62</v>
      </c>
      <c r="V154" s="322"/>
      <c r="W154" s="318"/>
      <c r="X154" s="322"/>
      <c r="Y154" s="318"/>
      <c r="Z154" s="322"/>
      <c r="AA154" s="318"/>
      <c r="AB154" s="318"/>
    </row>
    <row r="155">
      <c r="A155" s="269">
        <v>1651.0</v>
      </c>
      <c r="B155" s="367">
        <v>45796.0</v>
      </c>
      <c r="C155" s="260" t="s">
        <v>1713</v>
      </c>
      <c r="D155" s="260" t="s">
        <v>66</v>
      </c>
      <c r="E155" s="260" t="s">
        <v>227</v>
      </c>
      <c r="F155" s="260" t="s">
        <v>228</v>
      </c>
      <c r="G155" s="260">
        <v>1.9620577E7</v>
      </c>
      <c r="H155" s="260" t="s">
        <v>135</v>
      </c>
      <c r="I155" s="263" t="s">
        <v>1714</v>
      </c>
      <c r="J155" s="369" t="s">
        <v>1715</v>
      </c>
      <c r="K155" s="273"/>
      <c r="L155" s="273"/>
      <c r="M155" s="273"/>
      <c r="N155" s="273"/>
      <c r="O155" s="370" t="s">
        <v>62</v>
      </c>
      <c r="P155" s="371">
        <v>45803.0</v>
      </c>
      <c r="Q155" s="274"/>
      <c r="R155" s="275"/>
      <c r="S155" s="274"/>
      <c r="T155" s="275"/>
      <c r="U155" s="370" t="s">
        <v>62</v>
      </c>
      <c r="V155" s="371">
        <v>45819.0</v>
      </c>
      <c r="W155" s="372"/>
      <c r="X155" s="275"/>
      <c r="Y155" s="274"/>
      <c r="Z155" s="275"/>
      <c r="AA155" s="277"/>
      <c r="AB155" s="277"/>
    </row>
    <row r="156">
      <c r="A156" s="269">
        <v>1650.0</v>
      </c>
      <c r="B156" s="367">
        <v>45793.0</v>
      </c>
      <c r="C156" s="260" t="s">
        <v>1616</v>
      </c>
      <c r="D156" s="260" t="s">
        <v>66</v>
      </c>
      <c r="E156" s="260" t="s">
        <v>1059</v>
      </c>
      <c r="F156" s="260" t="s">
        <v>1060</v>
      </c>
      <c r="G156" s="260">
        <v>1.9070567E7</v>
      </c>
      <c r="H156" s="260" t="s">
        <v>135</v>
      </c>
      <c r="I156" s="263" t="s">
        <v>1541</v>
      </c>
      <c r="J156" s="369" t="s">
        <v>1716</v>
      </c>
      <c r="K156" s="234" t="s">
        <v>1063</v>
      </c>
      <c r="L156" s="234" t="s">
        <v>1717</v>
      </c>
      <c r="M156" s="234" t="s">
        <v>1718</v>
      </c>
      <c r="N156" s="273"/>
      <c r="O156" s="370" t="s">
        <v>62</v>
      </c>
      <c r="P156" s="371">
        <v>45863.0</v>
      </c>
      <c r="Q156" s="274"/>
      <c r="R156" s="275"/>
      <c r="S156" s="274"/>
      <c r="T156" s="275"/>
      <c r="U156" s="370" t="s">
        <v>62</v>
      </c>
      <c r="V156" s="371">
        <v>45875.0</v>
      </c>
      <c r="W156" s="372"/>
      <c r="X156" s="275"/>
      <c r="Y156" s="274"/>
      <c r="Z156" s="275"/>
      <c r="AA156" s="277"/>
      <c r="AB156" s="277"/>
    </row>
    <row r="157">
      <c r="A157" s="269">
        <v>1649.0</v>
      </c>
      <c r="B157" s="367">
        <v>45793.0</v>
      </c>
      <c r="C157" s="260" t="s">
        <v>505</v>
      </c>
      <c r="D157" s="260" t="s">
        <v>29</v>
      </c>
      <c r="E157" s="260" t="s">
        <v>506</v>
      </c>
      <c r="F157" s="260" t="s">
        <v>49</v>
      </c>
      <c r="G157" s="260">
        <v>1.7242664E7</v>
      </c>
      <c r="H157" s="260" t="s">
        <v>200</v>
      </c>
      <c r="I157" s="263" t="s">
        <v>1719</v>
      </c>
      <c r="J157" s="369" t="s">
        <v>1720</v>
      </c>
      <c r="K157" s="234" t="s">
        <v>811</v>
      </c>
      <c r="L157" s="234" t="s">
        <v>1721</v>
      </c>
      <c r="M157" s="234" t="s">
        <v>1722</v>
      </c>
      <c r="N157" s="273"/>
      <c r="O157" s="274"/>
      <c r="P157" s="275"/>
      <c r="Q157" s="370" t="s">
        <v>1563</v>
      </c>
      <c r="R157" s="371">
        <v>45820.0</v>
      </c>
      <c r="S157" s="274"/>
      <c r="T157" s="275"/>
      <c r="U157" s="370" t="s">
        <v>1563</v>
      </c>
      <c r="V157" s="371">
        <v>45820.0</v>
      </c>
      <c r="W157" s="372"/>
      <c r="X157" s="275"/>
      <c r="Y157" s="274"/>
      <c r="Z157" s="275"/>
      <c r="AA157" s="277"/>
      <c r="AB157" s="277"/>
    </row>
    <row r="158">
      <c r="A158" s="312">
        <v>1648.0</v>
      </c>
      <c r="B158" s="313">
        <v>45793.0</v>
      </c>
      <c r="C158" s="281" t="s">
        <v>1311</v>
      </c>
      <c r="D158" s="281" t="s">
        <v>359</v>
      </c>
      <c r="E158" s="281" t="s">
        <v>1312</v>
      </c>
      <c r="F158" s="281" t="s">
        <v>300</v>
      </c>
      <c r="G158" s="314">
        <v>1.3780765E7</v>
      </c>
      <c r="H158" s="281" t="s">
        <v>32</v>
      </c>
      <c r="I158" s="315" t="s">
        <v>1723</v>
      </c>
      <c r="J158" s="316" t="s">
        <v>1724</v>
      </c>
      <c r="K158" s="317" t="s">
        <v>1316</v>
      </c>
      <c r="L158" s="318" t="s">
        <v>1725</v>
      </c>
      <c r="M158" s="318" t="s">
        <v>1726</v>
      </c>
      <c r="N158" s="318"/>
      <c r="O158" s="317"/>
      <c r="P158" s="322"/>
      <c r="Q158" s="326" t="s">
        <v>62</v>
      </c>
      <c r="R158" s="321">
        <v>45796.0</v>
      </c>
      <c r="S158" s="318"/>
      <c r="T158" s="322"/>
      <c r="U158" s="320" t="s">
        <v>62</v>
      </c>
      <c r="V158" s="321">
        <v>45945.0</v>
      </c>
      <c r="W158" s="318"/>
      <c r="X158" s="322"/>
      <c r="Y158" s="318"/>
      <c r="Z158" s="322"/>
      <c r="AA158" s="318"/>
      <c r="AB158" s="405" t="s">
        <v>1727</v>
      </c>
    </row>
    <row r="159">
      <c r="A159" s="312">
        <v>1647.0</v>
      </c>
      <c r="B159" s="313">
        <v>45793.0</v>
      </c>
      <c r="C159" s="281" t="s">
        <v>1311</v>
      </c>
      <c r="D159" s="281" t="s">
        <v>359</v>
      </c>
      <c r="E159" s="281" t="s">
        <v>1312</v>
      </c>
      <c r="F159" s="281" t="s">
        <v>300</v>
      </c>
      <c r="G159" s="314">
        <v>1.3780764E7</v>
      </c>
      <c r="H159" s="281" t="s">
        <v>32</v>
      </c>
      <c r="I159" s="315" t="s">
        <v>1723</v>
      </c>
      <c r="J159" s="316" t="s">
        <v>1728</v>
      </c>
      <c r="K159" s="317" t="s">
        <v>1316</v>
      </c>
      <c r="L159" s="318" t="s">
        <v>1725</v>
      </c>
      <c r="M159" s="318" t="s">
        <v>1726</v>
      </c>
      <c r="N159" s="318"/>
      <c r="O159" s="317"/>
      <c r="P159" s="322"/>
      <c r="Q159" s="326" t="s">
        <v>62</v>
      </c>
      <c r="R159" s="321">
        <v>45796.0</v>
      </c>
      <c r="S159" s="318"/>
      <c r="T159" s="322"/>
      <c r="U159" s="320" t="s">
        <v>62</v>
      </c>
      <c r="V159" s="321">
        <v>45945.0</v>
      </c>
      <c r="W159" s="318"/>
      <c r="X159" s="322"/>
      <c r="Y159" s="318"/>
      <c r="Z159" s="322"/>
      <c r="AA159" s="318"/>
      <c r="AB159" s="405" t="s">
        <v>1727</v>
      </c>
    </row>
    <row r="160">
      <c r="A160" s="269">
        <v>1646.0</v>
      </c>
      <c r="B160" s="367">
        <v>45792.0</v>
      </c>
      <c r="C160" s="260" t="s">
        <v>1729</v>
      </c>
      <c r="D160" s="260" t="s">
        <v>66</v>
      </c>
      <c r="E160" s="260" t="s">
        <v>367</v>
      </c>
      <c r="F160" s="260" t="s">
        <v>49</v>
      </c>
      <c r="G160" s="260">
        <v>1.488282E7</v>
      </c>
      <c r="H160" s="260" t="s">
        <v>120</v>
      </c>
      <c r="I160" s="263" t="s">
        <v>1730</v>
      </c>
      <c r="J160" s="369" t="s">
        <v>1731</v>
      </c>
      <c r="K160" s="234" t="s">
        <v>370</v>
      </c>
      <c r="L160" s="234" t="s">
        <v>1732</v>
      </c>
      <c r="M160" s="234" t="s">
        <v>1733</v>
      </c>
      <c r="N160" s="273"/>
      <c r="O160" s="370" t="s">
        <v>62</v>
      </c>
      <c r="P160" s="371">
        <v>45793.0</v>
      </c>
      <c r="Q160" s="274"/>
      <c r="R160" s="275"/>
      <c r="S160" s="274"/>
      <c r="T160" s="275"/>
      <c r="U160" s="370" t="s">
        <v>62</v>
      </c>
      <c r="V160" s="371">
        <v>45800.0</v>
      </c>
      <c r="W160" s="372"/>
      <c r="X160" s="275"/>
      <c r="Y160" s="274"/>
      <c r="Z160" s="275"/>
      <c r="AA160" s="277"/>
      <c r="AB160" s="277"/>
    </row>
    <row r="161">
      <c r="A161" s="269">
        <v>1645.0</v>
      </c>
      <c r="B161" s="367">
        <v>45792.0</v>
      </c>
      <c r="C161" s="260" t="s">
        <v>1311</v>
      </c>
      <c r="D161" s="260" t="s">
        <v>359</v>
      </c>
      <c r="E161" s="260" t="s">
        <v>1312</v>
      </c>
      <c r="F161" s="260" t="s">
        <v>300</v>
      </c>
      <c r="G161" s="260">
        <v>1.3780756E7</v>
      </c>
      <c r="H161" s="260" t="s">
        <v>32</v>
      </c>
      <c r="I161" s="263" t="s">
        <v>1734</v>
      </c>
      <c r="J161" s="369" t="s">
        <v>1735</v>
      </c>
      <c r="K161" s="234" t="s">
        <v>1316</v>
      </c>
      <c r="L161" s="234" t="s">
        <v>1725</v>
      </c>
      <c r="M161" s="234" t="s">
        <v>1726</v>
      </c>
      <c r="N161" s="273"/>
      <c r="O161" s="274"/>
      <c r="P161" s="275"/>
      <c r="Q161" s="370" t="s">
        <v>62</v>
      </c>
      <c r="R161" s="371">
        <v>45796.0</v>
      </c>
      <c r="S161" s="274"/>
      <c r="T161" s="275"/>
      <c r="U161" s="370" t="s">
        <v>62</v>
      </c>
      <c r="V161" s="371">
        <v>45807.0</v>
      </c>
      <c r="W161" s="372"/>
      <c r="X161" s="275"/>
      <c r="Y161" s="274"/>
      <c r="Z161" s="275"/>
      <c r="AA161" s="277"/>
      <c r="AB161" s="277"/>
    </row>
    <row r="162">
      <c r="A162" s="269">
        <v>1644.0</v>
      </c>
      <c r="B162" s="367">
        <v>45792.0</v>
      </c>
      <c r="C162" s="260" t="s">
        <v>1736</v>
      </c>
      <c r="D162" s="260" t="s">
        <v>66</v>
      </c>
      <c r="E162" s="260" t="s">
        <v>1737</v>
      </c>
      <c r="F162" s="260" t="s">
        <v>1738</v>
      </c>
      <c r="G162" s="260">
        <v>1.6930027E7</v>
      </c>
      <c r="H162" s="260" t="s">
        <v>348</v>
      </c>
      <c r="I162" s="263" t="s">
        <v>1739</v>
      </c>
      <c r="J162" s="369" t="s">
        <v>1740</v>
      </c>
      <c r="K162" s="234" t="s">
        <v>1741</v>
      </c>
      <c r="L162" s="273"/>
      <c r="M162" s="273"/>
      <c r="N162" s="273"/>
      <c r="O162" s="370" t="s">
        <v>150</v>
      </c>
      <c r="P162" s="275"/>
      <c r="Q162" s="274"/>
      <c r="R162" s="275"/>
      <c r="S162" s="274"/>
      <c r="T162" s="275"/>
      <c r="U162" s="370" t="s">
        <v>150</v>
      </c>
      <c r="V162" s="275"/>
      <c r="W162" s="388"/>
      <c r="X162" s="275"/>
      <c r="Y162" s="274"/>
      <c r="Z162" s="275"/>
      <c r="AA162" s="277"/>
      <c r="AB162" s="277"/>
    </row>
    <row r="163">
      <c r="A163" s="269">
        <v>1643.0</v>
      </c>
      <c r="B163" s="367">
        <v>45792.0</v>
      </c>
      <c r="C163" s="260" t="s">
        <v>1311</v>
      </c>
      <c r="D163" s="260" t="s">
        <v>359</v>
      </c>
      <c r="E163" s="260" t="s">
        <v>1312</v>
      </c>
      <c r="F163" s="260" t="s">
        <v>300</v>
      </c>
      <c r="G163" s="260">
        <v>1.3780751E7</v>
      </c>
      <c r="H163" s="260" t="s">
        <v>32</v>
      </c>
      <c r="I163" s="263" t="s">
        <v>1734</v>
      </c>
      <c r="J163" s="369" t="s">
        <v>1742</v>
      </c>
      <c r="K163" s="234" t="s">
        <v>1316</v>
      </c>
      <c r="L163" s="234" t="s">
        <v>1725</v>
      </c>
      <c r="M163" s="234" t="s">
        <v>1726</v>
      </c>
      <c r="N163" s="273"/>
      <c r="O163" s="274"/>
      <c r="P163" s="275"/>
      <c r="Q163" s="370" t="s">
        <v>62</v>
      </c>
      <c r="R163" s="371">
        <v>45796.0</v>
      </c>
      <c r="S163" s="274"/>
      <c r="T163" s="275"/>
      <c r="U163" s="370" t="s">
        <v>62</v>
      </c>
      <c r="V163" s="371">
        <v>45807.0</v>
      </c>
      <c r="W163" s="372"/>
      <c r="X163" s="275"/>
      <c r="Y163" s="274"/>
      <c r="Z163" s="275"/>
      <c r="AA163" s="277"/>
      <c r="AB163" s="277"/>
    </row>
    <row r="164">
      <c r="A164" s="269">
        <v>1642.0</v>
      </c>
      <c r="B164" s="367">
        <v>45768.0</v>
      </c>
      <c r="C164" s="260" t="s">
        <v>780</v>
      </c>
      <c r="D164" s="260" t="s">
        <v>29</v>
      </c>
      <c r="E164" s="260" t="s">
        <v>588</v>
      </c>
      <c r="F164" s="260" t="s">
        <v>589</v>
      </c>
      <c r="G164" s="260" t="s">
        <v>50</v>
      </c>
      <c r="H164" s="260" t="s">
        <v>1743</v>
      </c>
      <c r="I164" s="263" t="s">
        <v>1744</v>
      </c>
      <c r="J164" s="369" t="s">
        <v>1745</v>
      </c>
      <c r="K164" s="384" t="s">
        <v>1746</v>
      </c>
      <c r="L164" s="384" t="s">
        <v>1747</v>
      </c>
      <c r="M164" s="384" t="s">
        <v>1748</v>
      </c>
      <c r="N164" s="273"/>
      <c r="O164" s="274"/>
      <c r="P164" s="275"/>
      <c r="Q164" s="274"/>
      <c r="R164" s="275"/>
      <c r="S164" s="274"/>
      <c r="T164" s="275"/>
      <c r="U164" s="370" t="s">
        <v>150</v>
      </c>
      <c r="V164" s="275"/>
      <c r="W164" s="388"/>
      <c r="X164" s="275"/>
      <c r="Y164" s="274"/>
      <c r="Z164" s="275"/>
      <c r="AA164" s="277"/>
      <c r="AB164" s="277"/>
    </row>
    <row r="165">
      <c r="A165" s="269">
        <v>1641.0</v>
      </c>
      <c r="B165" s="367">
        <v>45768.0</v>
      </c>
      <c r="C165" s="260" t="s">
        <v>1749</v>
      </c>
      <c r="D165" s="260" t="s">
        <v>66</v>
      </c>
      <c r="E165" s="406" t="s">
        <v>1411</v>
      </c>
      <c r="F165" s="260" t="s">
        <v>160</v>
      </c>
      <c r="G165" s="260" t="s">
        <v>50</v>
      </c>
      <c r="H165" s="260" t="s">
        <v>339</v>
      </c>
      <c r="I165" s="406" t="s">
        <v>1750</v>
      </c>
      <c r="J165" s="369" t="s">
        <v>1751</v>
      </c>
      <c r="K165" s="273"/>
      <c r="L165" s="273"/>
      <c r="M165" s="273"/>
      <c r="N165" s="273"/>
      <c r="O165" s="274"/>
      <c r="P165" s="275"/>
      <c r="Q165" s="274"/>
      <c r="R165" s="275"/>
      <c r="S165" s="274"/>
      <c r="T165" s="275"/>
      <c r="U165" s="407" t="s">
        <v>150</v>
      </c>
      <c r="V165" s="275"/>
      <c r="W165" s="388"/>
      <c r="X165" s="275"/>
      <c r="Y165" s="274"/>
      <c r="Z165" s="275"/>
      <c r="AA165" s="277"/>
      <c r="AB165" s="277"/>
    </row>
    <row r="166">
      <c r="A166" s="269">
        <v>1640.0</v>
      </c>
      <c r="B166" s="367">
        <v>45791.0</v>
      </c>
      <c r="C166" s="260" t="s">
        <v>1616</v>
      </c>
      <c r="D166" s="260" t="s">
        <v>66</v>
      </c>
      <c r="E166" s="260" t="s">
        <v>1059</v>
      </c>
      <c r="F166" s="260" t="s">
        <v>1060</v>
      </c>
      <c r="G166" s="260">
        <v>1.907053E7</v>
      </c>
      <c r="H166" s="260" t="s">
        <v>135</v>
      </c>
      <c r="I166" s="263" t="s">
        <v>1061</v>
      </c>
      <c r="J166" s="369" t="s">
        <v>1752</v>
      </c>
      <c r="K166" s="234" t="s">
        <v>1063</v>
      </c>
      <c r="L166" s="234" t="s">
        <v>1064</v>
      </c>
      <c r="M166" s="234" t="s">
        <v>1065</v>
      </c>
      <c r="N166" s="273"/>
      <c r="O166" s="370" t="s">
        <v>62</v>
      </c>
      <c r="P166" s="371">
        <v>45791.0</v>
      </c>
      <c r="Q166" s="274"/>
      <c r="R166" s="275"/>
      <c r="S166" s="274"/>
      <c r="T166" s="275"/>
      <c r="U166" s="370" t="s">
        <v>62</v>
      </c>
      <c r="V166" s="371">
        <v>45819.0</v>
      </c>
      <c r="W166" s="372"/>
      <c r="X166" s="275"/>
      <c r="Y166" s="274"/>
      <c r="Z166" s="275"/>
      <c r="AA166" s="277"/>
      <c r="AB166" s="277"/>
    </row>
    <row r="167">
      <c r="A167" s="269">
        <v>1638.0</v>
      </c>
      <c r="B167" s="367">
        <v>45789.0</v>
      </c>
      <c r="C167" s="260" t="s">
        <v>358</v>
      </c>
      <c r="D167" s="260" t="s">
        <v>359</v>
      </c>
      <c r="E167" s="260" t="s">
        <v>101</v>
      </c>
      <c r="F167" s="260" t="s">
        <v>1028</v>
      </c>
      <c r="G167" s="260" t="s">
        <v>50</v>
      </c>
      <c r="H167" s="260" t="s">
        <v>103</v>
      </c>
      <c r="I167" s="263" t="s">
        <v>1753</v>
      </c>
      <c r="J167" s="369" t="s">
        <v>1754</v>
      </c>
      <c r="K167" s="234" t="s">
        <v>1031</v>
      </c>
      <c r="L167" s="234" t="s">
        <v>1755</v>
      </c>
      <c r="M167" s="234" t="s">
        <v>1756</v>
      </c>
      <c r="N167" s="273"/>
      <c r="O167" s="370" t="s">
        <v>174</v>
      </c>
      <c r="P167" s="275"/>
      <c r="Q167" s="274"/>
      <c r="R167" s="275"/>
      <c r="S167" s="274"/>
      <c r="T167" s="275"/>
      <c r="U167" s="407" t="s">
        <v>150</v>
      </c>
      <c r="V167" s="275"/>
      <c r="W167" s="408" t="s">
        <v>1757</v>
      </c>
      <c r="X167" s="275"/>
      <c r="Y167" s="274"/>
      <c r="Z167" s="275"/>
      <c r="AA167" s="277"/>
      <c r="AB167" s="277"/>
    </row>
    <row r="168">
      <c r="A168" s="269">
        <v>1637.0</v>
      </c>
      <c r="B168" s="367">
        <v>45789.0</v>
      </c>
      <c r="C168" s="260" t="s">
        <v>1646</v>
      </c>
      <c r="D168" s="260" t="s">
        <v>66</v>
      </c>
      <c r="E168" s="260" t="s">
        <v>48</v>
      </c>
      <c r="F168" s="260" t="s">
        <v>49</v>
      </c>
      <c r="G168" s="260">
        <v>1.4692165E7</v>
      </c>
      <c r="H168" s="260" t="s">
        <v>51</v>
      </c>
      <c r="I168" s="263" t="s">
        <v>1758</v>
      </c>
      <c r="J168" s="369" t="s">
        <v>1759</v>
      </c>
      <c r="K168" s="234" t="s">
        <v>143</v>
      </c>
      <c r="L168" s="234" t="s">
        <v>1374</v>
      </c>
      <c r="M168" s="234" t="s">
        <v>1649</v>
      </c>
      <c r="N168" s="273"/>
      <c r="O168" s="370" t="s">
        <v>62</v>
      </c>
      <c r="P168" s="371">
        <v>45796.0</v>
      </c>
      <c r="Q168" s="274"/>
      <c r="R168" s="275"/>
      <c r="S168" s="274"/>
      <c r="T168" s="275"/>
      <c r="U168" s="370" t="s">
        <v>62</v>
      </c>
      <c r="V168" s="371">
        <v>45818.0</v>
      </c>
      <c r="W168" s="372"/>
      <c r="X168" s="275"/>
      <c r="Y168" s="274"/>
      <c r="Z168" s="275"/>
      <c r="AA168" s="277"/>
      <c r="AB168" s="277"/>
    </row>
    <row r="169">
      <c r="A169" s="269">
        <v>1635.0</v>
      </c>
      <c r="B169" s="367">
        <v>45789.0</v>
      </c>
      <c r="C169" s="260" t="s">
        <v>1760</v>
      </c>
      <c r="D169" s="260" t="s">
        <v>66</v>
      </c>
      <c r="E169" s="260" t="s">
        <v>768</v>
      </c>
      <c r="F169" s="260" t="s">
        <v>1380</v>
      </c>
      <c r="G169" s="260">
        <v>1.909016E7</v>
      </c>
      <c r="H169" s="260" t="s">
        <v>200</v>
      </c>
      <c r="I169" s="263" t="s">
        <v>1761</v>
      </c>
      <c r="J169" s="369" t="s">
        <v>1762</v>
      </c>
      <c r="K169" s="273"/>
      <c r="L169" s="234" t="s">
        <v>1763</v>
      </c>
      <c r="M169" s="234" t="s">
        <v>1764</v>
      </c>
      <c r="N169" s="273"/>
      <c r="O169" s="274"/>
      <c r="P169" s="275"/>
      <c r="Q169" s="274"/>
      <c r="R169" s="275"/>
      <c r="S169" s="274"/>
      <c r="T169" s="275"/>
      <c r="U169" s="370" t="s">
        <v>1563</v>
      </c>
      <c r="V169" s="371">
        <v>45832.0</v>
      </c>
      <c r="W169" s="372"/>
      <c r="X169" s="275"/>
      <c r="Y169" s="274"/>
      <c r="Z169" s="275"/>
      <c r="AA169" s="277"/>
      <c r="AB169" s="277"/>
    </row>
    <row r="170">
      <c r="A170" s="312">
        <v>1634.0</v>
      </c>
      <c r="B170" s="313">
        <v>45789.0</v>
      </c>
      <c r="C170" s="281" t="s">
        <v>1765</v>
      </c>
      <c r="D170" s="281" t="s">
        <v>359</v>
      </c>
      <c r="E170" s="281" t="s">
        <v>1766</v>
      </c>
      <c r="F170" s="281" t="s">
        <v>1767</v>
      </c>
      <c r="G170" s="314">
        <v>1.6452486E7</v>
      </c>
      <c r="H170" s="281" t="s">
        <v>42</v>
      </c>
      <c r="I170" s="315" t="s">
        <v>1768</v>
      </c>
      <c r="J170" s="316" t="s">
        <v>1769</v>
      </c>
      <c r="K170" s="317" t="s">
        <v>1770</v>
      </c>
      <c r="L170" s="318" t="s">
        <v>1771</v>
      </c>
      <c r="M170" s="318"/>
      <c r="N170" s="318"/>
      <c r="O170" s="320" t="s">
        <v>62</v>
      </c>
      <c r="P170" s="321">
        <v>45905.0</v>
      </c>
      <c r="Q170" s="318"/>
      <c r="R170" s="322"/>
      <c r="S170" s="318"/>
      <c r="T170" s="322"/>
      <c r="U170" s="320" t="s">
        <v>62</v>
      </c>
      <c r="V170" s="321">
        <v>45908.0</v>
      </c>
      <c r="W170" s="318"/>
      <c r="X170" s="322"/>
      <c r="Y170" s="318"/>
      <c r="Z170" s="322"/>
      <c r="AA170" s="318"/>
      <c r="AB170" s="318"/>
    </row>
    <row r="171">
      <c r="A171" s="312">
        <v>1633.0</v>
      </c>
      <c r="B171" s="313">
        <v>45789.0</v>
      </c>
      <c r="C171" s="281" t="s">
        <v>1765</v>
      </c>
      <c r="D171" s="281" t="s">
        <v>359</v>
      </c>
      <c r="E171" s="281" t="s">
        <v>1766</v>
      </c>
      <c r="F171" s="281" t="s">
        <v>1767</v>
      </c>
      <c r="G171" s="314">
        <v>1.6452474E7</v>
      </c>
      <c r="H171" s="281" t="s">
        <v>42</v>
      </c>
      <c r="I171" s="315" t="s">
        <v>1772</v>
      </c>
      <c r="J171" s="316" t="s">
        <v>1773</v>
      </c>
      <c r="K171" s="317" t="s">
        <v>1770</v>
      </c>
      <c r="L171" s="318" t="s">
        <v>1774</v>
      </c>
      <c r="M171" s="318" t="s">
        <v>1775</v>
      </c>
      <c r="N171" s="318"/>
      <c r="O171" s="320" t="s">
        <v>62</v>
      </c>
      <c r="P171" s="321">
        <v>45905.0</v>
      </c>
      <c r="Q171" s="318"/>
      <c r="R171" s="322"/>
      <c r="S171" s="318"/>
      <c r="T171" s="322"/>
      <c r="U171" s="320" t="s">
        <v>62</v>
      </c>
      <c r="V171" s="321">
        <v>45905.0</v>
      </c>
      <c r="W171" s="349"/>
      <c r="X171" s="322"/>
      <c r="Y171" s="318"/>
      <c r="Z171" s="322"/>
      <c r="AA171" s="318"/>
      <c r="AB171" s="318"/>
    </row>
    <row r="172">
      <c r="A172" s="312">
        <v>1632.0</v>
      </c>
      <c r="B172" s="313">
        <v>45786.0</v>
      </c>
      <c r="C172" s="281" t="s">
        <v>345</v>
      </c>
      <c r="D172" s="281" t="s">
        <v>66</v>
      </c>
      <c r="E172" s="281" t="s">
        <v>346</v>
      </c>
      <c r="F172" s="281" t="s">
        <v>1776</v>
      </c>
      <c r="G172" s="314">
        <v>1.9550029E7</v>
      </c>
      <c r="H172" s="281" t="s">
        <v>348</v>
      </c>
      <c r="I172" s="315" t="s">
        <v>1777</v>
      </c>
      <c r="J172" s="316" t="s">
        <v>1778</v>
      </c>
      <c r="K172" s="317" t="s">
        <v>1779</v>
      </c>
      <c r="L172" s="318"/>
      <c r="M172" s="318" t="s">
        <v>1780</v>
      </c>
      <c r="N172" s="318"/>
      <c r="O172" s="320" t="s">
        <v>62</v>
      </c>
      <c r="P172" s="383">
        <v>45789.0</v>
      </c>
      <c r="Q172" s="318"/>
      <c r="R172" s="322"/>
      <c r="S172" s="318"/>
      <c r="T172" s="322"/>
      <c r="U172" s="320" t="s">
        <v>62</v>
      </c>
      <c r="V172" s="322"/>
      <c r="W172" s="318"/>
      <c r="X172" s="322"/>
      <c r="Y172" s="318"/>
      <c r="Z172" s="322"/>
      <c r="AA172" s="318"/>
      <c r="AB172" s="318"/>
    </row>
    <row r="173">
      <c r="A173" s="269">
        <v>1631.0</v>
      </c>
      <c r="B173" s="367">
        <v>45786.0</v>
      </c>
      <c r="C173" s="260" t="s">
        <v>1407</v>
      </c>
      <c r="D173" s="260" t="s">
        <v>66</v>
      </c>
      <c r="E173" s="260" t="s">
        <v>1781</v>
      </c>
      <c r="F173" s="260" t="s">
        <v>49</v>
      </c>
      <c r="G173" s="260">
        <v>1.5781646E7</v>
      </c>
      <c r="H173" s="260" t="s">
        <v>32</v>
      </c>
      <c r="I173" s="263" t="s">
        <v>1782</v>
      </c>
      <c r="J173" s="369" t="s">
        <v>1783</v>
      </c>
      <c r="K173" s="234" t="s">
        <v>1244</v>
      </c>
      <c r="L173" s="234" t="s">
        <v>1374</v>
      </c>
      <c r="M173" s="234" t="s">
        <v>1234</v>
      </c>
      <c r="N173" s="273"/>
      <c r="O173" s="370" t="s">
        <v>62</v>
      </c>
      <c r="P173" s="371">
        <v>45789.0</v>
      </c>
      <c r="Q173" s="274"/>
      <c r="R173" s="275"/>
      <c r="S173" s="274"/>
      <c r="T173" s="275"/>
      <c r="U173" s="370" t="s">
        <v>62</v>
      </c>
      <c r="V173" s="371">
        <v>45798.0</v>
      </c>
      <c r="W173" s="372"/>
      <c r="X173" s="275"/>
      <c r="Y173" s="274"/>
      <c r="Z173" s="275"/>
      <c r="AA173" s="277"/>
      <c r="AB173" s="277"/>
    </row>
    <row r="174">
      <c r="A174" s="312">
        <v>1630.0</v>
      </c>
      <c r="B174" s="313">
        <v>45786.0</v>
      </c>
      <c r="C174" s="281" t="s">
        <v>345</v>
      </c>
      <c r="D174" s="281" t="s">
        <v>66</v>
      </c>
      <c r="E174" s="281" t="s">
        <v>346</v>
      </c>
      <c r="F174" s="281" t="s">
        <v>1784</v>
      </c>
      <c r="G174" s="314">
        <v>1.9550028E7</v>
      </c>
      <c r="H174" s="281" t="s">
        <v>348</v>
      </c>
      <c r="I174" s="315" t="s">
        <v>1785</v>
      </c>
      <c r="J174" s="316" t="s">
        <v>1786</v>
      </c>
      <c r="K174" s="317" t="s">
        <v>1787</v>
      </c>
      <c r="L174" s="318" t="s">
        <v>1725</v>
      </c>
      <c r="M174" s="318" t="s">
        <v>1788</v>
      </c>
      <c r="N174" s="318"/>
      <c r="O174" s="320" t="s">
        <v>62</v>
      </c>
      <c r="P174" s="321">
        <v>45789.0</v>
      </c>
      <c r="Q174" s="318"/>
      <c r="R174" s="322"/>
      <c r="S174" s="318"/>
      <c r="T174" s="322"/>
      <c r="U174" s="320" t="s">
        <v>62</v>
      </c>
      <c r="V174" s="322"/>
      <c r="W174" s="318"/>
      <c r="X174" s="322"/>
      <c r="Y174" s="318"/>
      <c r="Z174" s="322"/>
      <c r="AA174" s="318"/>
      <c r="AB174" s="318"/>
    </row>
    <row r="175">
      <c r="A175" s="269">
        <v>1629.0</v>
      </c>
      <c r="B175" s="367">
        <v>45785.0</v>
      </c>
      <c r="C175" s="260" t="s">
        <v>1789</v>
      </c>
      <c r="D175" s="368"/>
      <c r="E175" s="260" t="s">
        <v>1312</v>
      </c>
      <c r="F175" s="260" t="s">
        <v>300</v>
      </c>
      <c r="G175" s="260">
        <v>1.3780738E7</v>
      </c>
      <c r="H175" s="260" t="s">
        <v>32</v>
      </c>
      <c r="I175" s="263" t="s">
        <v>1790</v>
      </c>
      <c r="J175" s="369" t="s">
        <v>1791</v>
      </c>
      <c r="K175" s="234" t="s">
        <v>1316</v>
      </c>
      <c r="L175" s="234" t="s">
        <v>1792</v>
      </c>
      <c r="M175" s="273"/>
      <c r="N175" s="273"/>
      <c r="O175" s="274"/>
      <c r="P175" s="275"/>
      <c r="Q175" s="274"/>
      <c r="R175" s="275"/>
      <c r="S175" s="274"/>
      <c r="T175" s="275"/>
      <c r="U175" s="370" t="s">
        <v>62</v>
      </c>
      <c r="V175" s="371">
        <v>45789.0</v>
      </c>
      <c r="W175" s="372"/>
      <c r="X175" s="275"/>
      <c r="Y175" s="274"/>
      <c r="Z175" s="275"/>
      <c r="AA175" s="277"/>
      <c r="AB175" s="277"/>
    </row>
    <row r="176">
      <c r="A176" s="269">
        <v>1628.0</v>
      </c>
      <c r="B176" s="367">
        <v>45785.0</v>
      </c>
      <c r="C176" s="260" t="s">
        <v>1793</v>
      </c>
      <c r="D176" s="368"/>
      <c r="E176" s="260" t="s">
        <v>1312</v>
      </c>
      <c r="F176" s="260" t="s">
        <v>300</v>
      </c>
      <c r="G176" s="260">
        <v>1.3780728E7</v>
      </c>
      <c r="H176" s="260" t="s">
        <v>32</v>
      </c>
      <c r="I176" s="263" t="s">
        <v>1794</v>
      </c>
      <c r="J176" s="369" t="s">
        <v>1795</v>
      </c>
      <c r="K176" s="234" t="s">
        <v>1316</v>
      </c>
      <c r="L176" s="234" t="s">
        <v>1796</v>
      </c>
      <c r="M176" s="273"/>
      <c r="N176" s="273"/>
      <c r="O176" s="274"/>
      <c r="P176" s="275"/>
      <c r="Q176" s="370" t="s">
        <v>62</v>
      </c>
      <c r="R176" s="371">
        <v>45789.0</v>
      </c>
      <c r="S176" s="274"/>
      <c r="T176" s="275"/>
      <c r="U176" s="370" t="s">
        <v>62</v>
      </c>
      <c r="V176" s="371">
        <v>45789.0</v>
      </c>
      <c r="W176" s="372"/>
      <c r="X176" s="275"/>
      <c r="Y176" s="274"/>
      <c r="Z176" s="275"/>
      <c r="AA176" s="277"/>
      <c r="AB176" s="277"/>
    </row>
    <row r="177">
      <c r="A177" s="269">
        <v>1626.0</v>
      </c>
      <c r="B177" s="367">
        <v>45784.0</v>
      </c>
      <c r="C177" s="260" t="s">
        <v>1793</v>
      </c>
      <c r="D177" s="368"/>
      <c r="E177" s="260" t="s">
        <v>1312</v>
      </c>
      <c r="F177" s="260" t="s">
        <v>1467</v>
      </c>
      <c r="G177" s="260">
        <v>1.3780734E7</v>
      </c>
      <c r="H177" s="260" t="s">
        <v>32</v>
      </c>
      <c r="I177" s="263" t="s">
        <v>1797</v>
      </c>
      <c r="J177" s="369" t="s">
        <v>1798</v>
      </c>
      <c r="K177" s="234" t="s">
        <v>1316</v>
      </c>
      <c r="L177" s="234" t="s">
        <v>958</v>
      </c>
      <c r="M177" s="273"/>
      <c r="N177" s="273"/>
      <c r="O177" s="274"/>
      <c r="P177" s="275"/>
      <c r="Q177" s="370" t="s">
        <v>62</v>
      </c>
      <c r="R177" s="371">
        <v>45789.0</v>
      </c>
      <c r="S177" s="274"/>
      <c r="T177" s="275"/>
      <c r="U177" s="370" t="s">
        <v>62</v>
      </c>
      <c r="V177" s="371">
        <v>45789.0</v>
      </c>
      <c r="W177" s="372"/>
      <c r="X177" s="275"/>
      <c r="Y177" s="274"/>
      <c r="Z177" s="275"/>
      <c r="AA177" s="277"/>
      <c r="AB177" s="277"/>
    </row>
    <row r="178">
      <c r="A178" s="269">
        <v>1625.0</v>
      </c>
      <c r="B178" s="367">
        <v>45784.0</v>
      </c>
      <c r="C178" s="260" t="s">
        <v>1789</v>
      </c>
      <c r="D178" s="368"/>
      <c r="E178" s="260" t="s">
        <v>1312</v>
      </c>
      <c r="F178" s="260" t="s">
        <v>300</v>
      </c>
      <c r="G178" s="260">
        <v>1.3780745E7</v>
      </c>
      <c r="H178" s="260" t="s">
        <v>32</v>
      </c>
      <c r="I178" s="263" t="s">
        <v>1799</v>
      </c>
      <c r="J178" s="369" t="s">
        <v>1800</v>
      </c>
      <c r="K178" s="234" t="s">
        <v>1316</v>
      </c>
      <c r="L178" s="234" t="s">
        <v>1801</v>
      </c>
      <c r="M178" s="273"/>
      <c r="N178" s="273"/>
      <c r="O178" s="274"/>
      <c r="P178" s="275"/>
      <c r="Q178" s="274"/>
      <c r="R178" s="275"/>
      <c r="S178" s="274"/>
      <c r="T178" s="275"/>
      <c r="U178" s="370" t="s">
        <v>62</v>
      </c>
      <c r="V178" s="371">
        <v>45789.0</v>
      </c>
      <c r="W178" s="372"/>
      <c r="X178" s="275"/>
      <c r="Y178" s="274"/>
      <c r="Z178" s="275"/>
      <c r="AA178" s="277"/>
      <c r="AB178" s="277"/>
    </row>
    <row r="179">
      <c r="A179" s="312">
        <v>1623.0</v>
      </c>
      <c r="B179" s="313">
        <v>45779.0</v>
      </c>
      <c r="C179" s="281" t="s">
        <v>345</v>
      </c>
      <c r="D179" s="281" t="s">
        <v>66</v>
      </c>
      <c r="E179" s="281" t="s">
        <v>346</v>
      </c>
      <c r="F179" s="281" t="s">
        <v>347</v>
      </c>
      <c r="G179" s="281" t="s">
        <v>50</v>
      </c>
      <c r="H179" s="281" t="s">
        <v>348</v>
      </c>
      <c r="I179" s="315" t="s">
        <v>354</v>
      </c>
      <c r="J179" s="316" t="s">
        <v>1802</v>
      </c>
      <c r="K179" s="317" t="s">
        <v>351</v>
      </c>
      <c r="L179" s="409">
        <v>9.0</v>
      </c>
      <c r="M179" s="318" t="s">
        <v>353</v>
      </c>
      <c r="N179" s="318"/>
      <c r="O179" s="317"/>
      <c r="P179" s="322"/>
      <c r="Q179" s="318"/>
      <c r="R179" s="322"/>
      <c r="S179" s="318"/>
      <c r="T179" s="322"/>
      <c r="U179" s="320" t="s">
        <v>62</v>
      </c>
      <c r="V179" s="322"/>
      <c r="W179" s="318"/>
      <c r="X179" s="322"/>
      <c r="Y179" s="318"/>
      <c r="Z179" s="322"/>
      <c r="AA179" s="318"/>
      <c r="AB179" s="318"/>
    </row>
    <row r="180">
      <c r="A180" s="312">
        <v>1620.0</v>
      </c>
      <c r="B180" s="313">
        <v>45779.0</v>
      </c>
      <c r="C180" s="281" t="s">
        <v>1616</v>
      </c>
      <c r="D180" s="410" t="s">
        <v>66</v>
      </c>
      <c r="E180" s="281" t="s">
        <v>1059</v>
      </c>
      <c r="F180" s="281" t="s">
        <v>1060</v>
      </c>
      <c r="G180" s="314">
        <v>1.907057E7</v>
      </c>
      <c r="H180" s="281" t="s">
        <v>135</v>
      </c>
      <c r="I180" s="315" t="s">
        <v>1456</v>
      </c>
      <c r="J180" s="316" t="s">
        <v>1803</v>
      </c>
      <c r="K180" s="317" t="s">
        <v>1063</v>
      </c>
      <c r="L180" s="318"/>
      <c r="M180" s="318"/>
      <c r="N180" s="318"/>
      <c r="O180" s="320" t="s">
        <v>62</v>
      </c>
      <c r="P180" s="383">
        <v>45908.0</v>
      </c>
      <c r="Q180" s="318"/>
      <c r="R180" s="322"/>
      <c r="S180" s="318"/>
      <c r="T180" s="322"/>
      <c r="U180" s="320" t="s">
        <v>62</v>
      </c>
      <c r="V180" s="321">
        <v>45919.0</v>
      </c>
      <c r="W180" s="349"/>
      <c r="X180" s="322"/>
      <c r="Y180" s="318"/>
      <c r="Z180" s="322"/>
      <c r="AA180" s="318"/>
      <c r="AB180" s="318"/>
    </row>
    <row r="181">
      <c r="A181" s="312">
        <v>1619.0</v>
      </c>
      <c r="B181" s="313">
        <v>45779.0</v>
      </c>
      <c r="C181" s="281" t="s">
        <v>1616</v>
      </c>
      <c r="D181" s="281" t="s">
        <v>66</v>
      </c>
      <c r="E181" s="281" t="s">
        <v>1059</v>
      </c>
      <c r="F181" s="281" t="s">
        <v>1060</v>
      </c>
      <c r="G181" s="314">
        <v>1.9070569E7</v>
      </c>
      <c r="H181" s="281" t="s">
        <v>135</v>
      </c>
      <c r="I181" s="315" t="s">
        <v>1456</v>
      </c>
      <c r="J181" s="316" t="s">
        <v>1804</v>
      </c>
      <c r="K181" s="317" t="s">
        <v>1063</v>
      </c>
      <c r="L181" s="318" t="s">
        <v>1098</v>
      </c>
      <c r="M181" s="318" t="s">
        <v>1544</v>
      </c>
      <c r="N181" s="318"/>
      <c r="O181" s="320" t="s">
        <v>62</v>
      </c>
      <c r="P181" s="321" t="s">
        <v>1805</v>
      </c>
      <c r="Q181" s="318"/>
      <c r="R181" s="322"/>
      <c r="S181" s="318"/>
      <c r="T181" s="322"/>
      <c r="U181" s="320" t="s">
        <v>62</v>
      </c>
      <c r="V181" s="321">
        <v>45919.0</v>
      </c>
      <c r="W181" s="349"/>
      <c r="X181" s="322"/>
      <c r="Y181" s="318"/>
      <c r="Z181" s="322"/>
      <c r="AA181" s="318"/>
      <c r="AB181" s="318"/>
    </row>
    <row r="182">
      <c r="A182" s="312">
        <v>1617.0</v>
      </c>
      <c r="B182" s="313">
        <v>45778.0</v>
      </c>
      <c r="C182" s="281" t="s">
        <v>707</v>
      </c>
      <c r="D182" s="281" t="s">
        <v>66</v>
      </c>
      <c r="E182" s="281" t="s">
        <v>708</v>
      </c>
      <c r="F182" s="281" t="s">
        <v>49</v>
      </c>
      <c r="G182" s="314">
        <v>1.9670008E7</v>
      </c>
      <c r="H182" s="281" t="s">
        <v>42</v>
      </c>
      <c r="I182" s="315" t="s">
        <v>583</v>
      </c>
      <c r="J182" s="316" t="s">
        <v>1806</v>
      </c>
      <c r="K182" s="317" t="s">
        <v>129</v>
      </c>
      <c r="L182" s="319" t="s">
        <v>585</v>
      </c>
      <c r="M182" s="319" t="s">
        <v>1678</v>
      </c>
      <c r="N182" s="318"/>
      <c r="O182" s="320" t="s">
        <v>62</v>
      </c>
      <c r="P182" s="321">
        <v>45779.0</v>
      </c>
      <c r="Q182" s="318"/>
      <c r="R182" s="322"/>
      <c r="S182" s="318"/>
      <c r="T182" s="322"/>
      <c r="U182" s="320" t="s">
        <v>62</v>
      </c>
      <c r="V182" s="383">
        <v>45792.0</v>
      </c>
      <c r="W182" s="318"/>
      <c r="X182" s="322"/>
      <c r="Y182" s="318"/>
      <c r="Z182" s="322"/>
      <c r="AA182" s="318"/>
      <c r="AB182" s="318"/>
    </row>
    <row r="183">
      <c r="A183" s="312">
        <v>1616.0</v>
      </c>
      <c r="B183" s="313">
        <v>45778.0</v>
      </c>
      <c r="C183" s="281" t="s">
        <v>707</v>
      </c>
      <c r="D183" s="281" t="s">
        <v>66</v>
      </c>
      <c r="E183" s="281" t="s">
        <v>708</v>
      </c>
      <c r="F183" s="281" t="s">
        <v>49</v>
      </c>
      <c r="G183" s="314">
        <v>1.967001E7</v>
      </c>
      <c r="H183" s="281" t="s">
        <v>42</v>
      </c>
      <c r="I183" s="315" t="s">
        <v>1334</v>
      </c>
      <c r="J183" s="316" t="s">
        <v>1807</v>
      </c>
      <c r="K183" s="317" t="s">
        <v>129</v>
      </c>
      <c r="L183" s="319" t="s">
        <v>585</v>
      </c>
      <c r="M183" s="319" t="s">
        <v>1678</v>
      </c>
      <c r="N183" s="318"/>
      <c r="O183" s="320" t="s">
        <v>62</v>
      </c>
      <c r="P183" s="321">
        <v>45779.0</v>
      </c>
      <c r="Q183" s="318"/>
      <c r="R183" s="322"/>
      <c r="S183" s="318"/>
      <c r="T183" s="322"/>
      <c r="U183" s="320" t="s">
        <v>62</v>
      </c>
      <c r="V183" s="321">
        <v>45790.0</v>
      </c>
      <c r="W183" s="318"/>
      <c r="X183" s="322"/>
      <c r="Y183" s="318"/>
      <c r="Z183" s="322"/>
      <c r="AA183" s="318"/>
      <c r="AB183" s="318"/>
    </row>
    <row r="184">
      <c r="A184" s="278">
        <v>1615.0</v>
      </c>
      <c r="B184" s="279">
        <v>45778.0</v>
      </c>
      <c r="C184" s="280" t="s">
        <v>1808</v>
      </c>
      <c r="D184" s="280" t="s">
        <v>258</v>
      </c>
      <c r="E184" s="280" t="s">
        <v>1312</v>
      </c>
      <c r="F184" s="280" t="s">
        <v>1313</v>
      </c>
      <c r="G184" s="280" t="s">
        <v>50</v>
      </c>
      <c r="H184" s="280" t="s">
        <v>859</v>
      </c>
      <c r="I184" s="283" t="s">
        <v>1809</v>
      </c>
      <c r="J184" s="284" t="s">
        <v>1810</v>
      </c>
      <c r="K184" s="285" t="s">
        <v>1316</v>
      </c>
      <c r="L184" s="286" t="s">
        <v>1811</v>
      </c>
      <c r="M184" s="354" t="s">
        <v>1812</v>
      </c>
      <c r="N184" s="287"/>
      <c r="O184" s="304"/>
      <c r="P184" s="290"/>
      <c r="Q184" s="287"/>
      <c r="R184" s="290"/>
      <c r="S184" s="287"/>
      <c r="T184" s="290"/>
      <c r="U184" s="288" t="s">
        <v>62</v>
      </c>
      <c r="V184" s="289">
        <v>45973.0</v>
      </c>
      <c r="W184" s="287"/>
      <c r="X184" s="290"/>
      <c r="Y184" s="287"/>
      <c r="Z184" s="290"/>
      <c r="AA184" s="287"/>
      <c r="AB184" s="287"/>
    </row>
    <row r="185">
      <c r="A185" s="269">
        <v>1614.0</v>
      </c>
      <c r="B185" s="367">
        <v>45223.0</v>
      </c>
      <c r="C185" s="260" t="s">
        <v>1813</v>
      </c>
      <c r="D185" s="260" t="s">
        <v>1814</v>
      </c>
      <c r="E185" s="260" t="s">
        <v>1247</v>
      </c>
      <c r="F185" s="260" t="s">
        <v>49</v>
      </c>
      <c r="G185" s="260">
        <v>1.5781643E7</v>
      </c>
      <c r="H185" s="260" t="s">
        <v>32</v>
      </c>
      <c r="I185" s="263" t="s">
        <v>1815</v>
      </c>
      <c r="J185" s="369" t="s">
        <v>1816</v>
      </c>
      <c r="K185" s="234" t="s">
        <v>1244</v>
      </c>
      <c r="L185" s="234" t="s">
        <v>1817</v>
      </c>
      <c r="M185" s="234" t="s">
        <v>1818</v>
      </c>
      <c r="N185" s="273"/>
      <c r="O185" s="370" t="s">
        <v>1819</v>
      </c>
      <c r="P185" s="371">
        <v>45245.0</v>
      </c>
      <c r="Q185" s="274"/>
      <c r="R185" s="275"/>
      <c r="S185" s="370" t="s">
        <v>1595</v>
      </c>
      <c r="T185" s="371">
        <v>45793.0</v>
      </c>
      <c r="U185" s="370" t="s">
        <v>62</v>
      </c>
      <c r="V185" s="371">
        <v>45800.0</v>
      </c>
      <c r="W185" s="372"/>
      <c r="X185" s="275"/>
      <c r="Y185" s="274"/>
      <c r="Z185" s="275"/>
      <c r="AA185" s="391">
        <v>2.0250516E7</v>
      </c>
      <c r="AB185" s="277"/>
    </row>
    <row r="186">
      <c r="A186" s="269">
        <v>1611.0</v>
      </c>
      <c r="B186" s="367">
        <v>45772.0</v>
      </c>
      <c r="C186" s="260" t="s">
        <v>1294</v>
      </c>
      <c r="D186" s="260" t="s">
        <v>66</v>
      </c>
      <c r="E186" s="260" t="s">
        <v>1247</v>
      </c>
      <c r="F186" s="260" t="s">
        <v>49</v>
      </c>
      <c r="G186" s="260">
        <v>1.5781671E7</v>
      </c>
      <c r="H186" s="260" t="s">
        <v>32</v>
      </c>
      <c r="I186" s="263" t="s">
        <v>1820</v>
      </c>
      <c r="J186" s="369" t="s">
        <v>1821</v>
      </c>
      <c r="K186" s="234" t="s">
        <v>1244</v>
      </c>
      <c r="L186" s="234" t="s">
        <v>667</v>
      </c>
      <c r="M186" s="234" t="s">
        <v>1234</v>
      </c>
      <c r="N186" s="273"/>
      <c r="O186" s="370" t="s">
        <v>62</v>
      </c>
      <c r="P186" s="371">
        <v>45777.0</v>
      </c>
      <c r="Q186" s="274"/>
      <c r="R186" s="275"/>
      <c r="S186" s="274"/>
      <c r="T186" s="275"/>
      <c r="U186" s="370" t="s">
        <v>62</v>
      </c>
      <c r="V186" s="371">
        <v>45894.0</v>
      </c>
      <c r="W186" s="372"/>
      <c r="X186" s="275"/>
      <c r="Y186" s="274"/>
      <c r="Z186" s="275"/>
      <c r="AA186" s="277"/>
      <c r="AB186" s="277"/>
    </row>
    <row r="187">
      <c r="A187" s="269">
        <v>1610.0</v>
      </c>
      <c r="B187" s="367">
        <v>45772.0</v>
      </c>
      <c r="C187" s="260" t="s">
        <v>1407</v>
      </c>
      <c r="D187" s="260" t="s">
        <v>66</v>
      </c>
      <c r="E187" s="260" t="s">
        <v>885</v>
      </c>
      <c r="F187" s="260" t="s">
        <v>49</v>
      </c>
      <c r="G187" s="260">
        <v>1.5781678E7</v>
      </c>
      <c r="H187" s="260" t="s">
        <v>32</v>
      </c>
      <c r="I187" s="263" t="s">
        <v>1822</v>
      </c>
      <c r="J187" s="369" t="s">
        <v>1823</v>
      </c>
      <c r="K187" s="234" t="s">
        <v>1244</v>
      </c>
      <c r="L187" s="234" t="s">
        <v>1824</v>
      </c>
      <c r="M187" s="234" t="s">
        <v>610</v>
      </c>
      <c r="N187" s="273"/>
      <c r="O187" s="370" t="s">
        <v>62</v>
      </c>
      <c r="P187" s="371">
        <v>45777.0</v>
      </c>
      <c r="Q187" s="274"/>
      <c r="R187" s="275"/>
      <c r="S187" s="274"/>
      <c r="T187" s="275"/>
      <c r="U187" s="370" t="s">
        <v>62</v>
      </c>
      <c r="V187" s="371">
        <v>45897.0</v>
      </c>
      <c r="W187" s="372"/>
      <c r="X187" s="275"/>
      <c r="Y187" s="274"/>
      <c r="Z187" s="275"/>
      <c r="AA187" s="277"/>
      <c r="AB187" s="277"/>
    </row>
    <row r="188">
      <c r="A188" s="269">
        <v>1609.0</v>
      </c>
      <c r="B188" s="367">
        <v>45772.0</v>
      </c>
      <c r="C188" s="260" t="s">
        <v>1294</v>
      </c>
      <c r="D188" s="260" t="s">
        <v>66</v>
      </c>
      <c r="E188" s="260" t="s">
        <v>1247</v>
      </c>
      <c r="F188" s="260" t="s">
        <v>49</v>
      </c>
      <c r="G188" s="260">
        <v>1.5781677E7</v>
      </c>
      <c r="H188" s="260" t="s">
        <v>32</v>
      </c>
      <c r="I188" s="263" t="s">
        <v>1825</v>
      </c>
      <c r="J188" s="369" t="s">
        <v>1826</v>
      </c>
      <c r="K188" s="234" t="s">
        <v>1244</v>
      </c>
      <c r="L188" s="234" t="s">
        <v>1827</v>
      </c>
      <c r="M188" s="234" t="s">
        <v>610</v>
      </c>
      <c r="N188" s="273"/>
      <c r="O188" s="370" t="s">
        <v>62</v>
      </c>
      <c r="P188" s="371">
        <v>45777.0</v>
      </c>
      <c r="Q188" s="274"/>
      <c r="R188" s="275"/>
      <c r="S188" s="274"/>
      <c r="T188" s="275"/>
      <c r="U188" s="370" t="s">
        <v>62</v>
      </c>
      <c r="V188" s="371">
        <v>45895.0</v>
      </c>
      <c r="W188" s="372"/>
      <c r="X188" s="275"/>
      <c r="Y188" s="274"/>
      <c r="Z188" s="275"/>
      <c r="AA188" s="277"/>
      <c r="AB188" s="277"/>
    </row>
    <row r="189">
      <c r="A189" s="269">
        <v>1608.0</v>
      </c>
      <c r="B189" s="367">
        <v>45772.0</v>
      </c>
      <c r="C189" s="260" t="s">
        <v>1294</v>
      </c>
      <c r="D189" s="260" t="s">
        <v>66</v>
      </c>
      <c r="E189" s="260" t="s">
        <v>1247</v>
      </c>
      <c r="F189" s="260" t="s">
        <v>49</v>
      </c>
      <c r="G189" s="260">
        <v>1.5781676E7</v>
      </c>
      <c r="H189" s="260" t="s">
        <v>32</v>
      </c>
      <c r="I189" s="263" t="s">
        <v>1828</v>
      </c>
      <c r="J189" s="369" t="s">
        <v>1829</v>
      </c>
      <c r="K189" s="234" t="s">
        <v>1244</v>
      </c>
      <c r="L189" s="234" t="s">
        <v>1830</v>
      </c>
      <c r="M189" s="234" t="s">
        <v>610</v>
      </c>
      <c r="N189" s="273"/>
      <c r="O189" s="370" t="s">
        <v>62</v>
      </c>
      <c r="P189" s="371">
        <v>45777.0</v>
      </c>
      <c r="Q189" s="274"/>
      <c r="R189" s="275"/>
      <c r="S189" s="274"/>
      <c r="T189" s="275"/>
      <c r="U189" s="370" t="s">
        <v>62</v>
      </c>
      <c r="V189" s="371">
        <v>45895.0</v>
      </c>
      <c r="W189" s="372"/>
      <c r="X189" s="275"/>
      <c r="Y189" s="274"/>
      <c r="Z189" s="275"/>
      <c r="AA189" s="277"/>
      <c r="AB189" s="277"/>
    </row>
    <row r="190">
      <c r="A190" s="269">
        <v>1607.0</v>
      </c>
      <c r="B190" s="367">
        <v>45772.0</v>
      </c>
      <c r="C190" s="260" t="s">
        <v>1831</v>
      </c>
      <c r="D190" s="260" t="s">
        <v>66</v>
      </c>
      <c r="E190" s="260" t="s">
        <v>1247</v>
      </c>
      <c r="F190" s="260" t="s">
        <v>49</v>
      </c>
      <c r="G190" s="260">
        <v>1.5781647E7</v>
      </c>
      <c r="H190" s="260" t="s">
        <v>32</v>
      </c>
      <c r="I190" s="263" t="s">
        <v>1832</v>
      </c>
      <c r="J190" s="369" t="s">
        <v>1833</v>
      </c>
      <c r="K190" s="234" t="s">
        <v>1244</v>
      </c>
      <c r="L190" s="234" t="s">
        <v>1834</v>
      </c>
      <c r="M190" s="234" t="s">
        <v>1234</v>
      </c>
      <c r="N190" s="273"/>
      <c r="O190" s="370" t="s">
        <v>62</v>
      </c>
      <c r="P190" s="371">
        <v>45777.0</v>
      </c>
      <c r="Q190" s="274"/>
      <c r="R190" s="275"/>
      <c r="S190" s="274"/>
      <c r="T190" s="275"/>
      <c r="U190" s="370" t="s">
        <v>62</v>
      </c>
      <c r="V190" s="371">
        <v>45824.0</v>
      </c>
      <c r="W190" s="372"/>
      <c r="X190" s="275"/>
      <c r="Y190" s="274"/>
      <c r="Z190" s="275"/>
      <c r="AA190" s="277"/>
      <c r="AB190" s="277"/>
    </row>
    <row r="191">
      <c r="A191" s="269">
        <v>1606.0</v>
      </c>
      <c r="B191" s="367">
        <v>45772.0</v>
      </c>
      <c r="C191" s="260" t="s">
        <v>1831</v>
      </c>
      <c r="D191" s="368"/>
      <c r="E191" s="260" t="s">
        <v>1247</v>
      </c>
      <c r="F191" s="260" t="s">
        <v>49</v>
      </c>
      <c r="G191" s="260">
        <v>1.5781644E7</v>
      </c>
      <c r="H191" s="260" t="s">
        <v>32</v>
      </c>
      <c r="I191" s="263" t="s">
        <v>1835</v>
      </c>
      <c r="J191" s="369" t="s">
        <v>1836</v>
      </c>
      <c r="K191" s="234" t="s">
        <v>1244</v>
      </c>
      <c r="L191" s="234" t="s">
        <v>1356</v>
      </c>
      <c r="M191" s="234" t="s">
        <v>1251</v>
      </c>
      <c r="N191" s="273"/>
      <c r="O191" s="370" t="s">
        <v>1837</v>
      </c>
      <c r="P191" s="371">
        <v>45777.0</v>
      </c>
      <c r="Q191" s="274"/>
      <c r="R191" s="275"/>
      <c r="S191" s="274"/>
      <c r="T191" s="275"/>
      <c r="U191" s="370" t="s">
        <v>62</v>
      </c>
      <c r="V191" s="371">
        <v>45786.0</v>
      </c>
      <c r="W191" s="372"/>
      <c r="X191" s="275"/>
      <c r="Y191" s="274"/>
      <c r="Z191" s="275"/>
      <c r="AA191" s="277"/>
      <c r="AB191" s="277"/>
    </row>
    <row r="192">
      <c r="A192" s="269">
        <v>1605.0</v>
      </c>
      <c r="B192" s="367">
        <v>45772.0</v>
      </c>
      <c r="C192" s="260" t="s">
        <v>1831</v>
      </c>
      <c r="D192" s="368"/>
      <c r="E192" s="260" t="s">
        <v>1247</v>
      </c>
      <c r="F192" s="260" t="s">
        <v>49</v>
      </c>
      <c r="G192" s="260">
        <v>1.5781645E7</v>
      </c>
      <c r="H192" s="260" t="s">
        <v>32</v>
      </c>
      <c r="I192" s="263" t="s">
        <v>1838</v>
      </c>
      <c r="J192" s="369" t="s">
        <v>1839</v>
      </c>
      <c r="K192" s="234" t="s">
        <v>1244</v>
      </c>
      <c r="L192" s="234" t="s">
        <v>1840</v>
      </c>
      <c r="M192" s="234" t="s">
        <v>610</v>
      </c>
      <c r="N192" s="273"/>
      <c r="O192" s="370" t="s">
        <v>62</v>
      </c>
      <c r="P192" s="371">
        <v>45777.0</v>
      </c>
      <c r="Q192" s="274"/>
      <c r="R192" s="275"/>
      <c r="S192" s="274"/>
      <c r="T192" s="275"/>
      <c r="U192" s="370" t="s">
        <v>62</v>
      </c>
      <c r="V192" s="371">
        <v>45786.0</v>
      </c>
      <c r="W192" s="372"/>
      <c r="X192" s="275"/>
      <c r="Y192" s="274"/>
      <c r="Z192" s="275"/>
      <c r="AA192" s="277"/>
      <c r="AB192" s="277"/>
    </row>
    <row r="193">
      <c r="A193" s="269">
        <v>1604.0</v>
      </c>
      <c r="B193" s="367">
        <v>45772.0</v>
      </c>
      <c r="C193" s="260" t="s">
        <v>1294</v>
      </c>
      <c r="D193" s="260" t="s">
        <v>66</v>
      </c>
      <c r="E193" s="260" t="s">
        <v>1247</v>
      </c>
      <c r="F193" s="260" t="s">
        <v>49</v>
      </c>
      <c r="G193" s="260">
        <v>1.5781672E7</v>
      </c>
      <c r="H193" s="260" t="s">
        <v>32</v>
      </c>
      <c r="I193" s="263" t="s">
        <v>1841</v>
      </c>
      <c r="J193" s="369" t="s">
        <v>1842</v>
      </c>
      <c r="K193" s="234" t="s">
        <v>1244</v>
      </c>
      <c r="L193" s="234" t="s">
        <v>1843</v>
      </c>
      <c r="M193" s="234" t="s">
        <v>1251</v>
      </c>
      <c r="N193" s="273"/>
      <c r="O193" s="370" t="s">
        <v>365</v>
      </c>
      <c r="P193" s="371">
        <v>45789.0</v>
      </c>
      <c r="Q193" s="274"/>
      <c r="R193" s="275"/>
      <c r="S193" s="274"/>
      <c r="T193" s="275"/>
      <c r="U193" s="370" t="s">
        <v>62</v>
      </c>
      <c r="V193" s="371">
        <v>45894.0</v>
      </c>
      <c r="W193" s="372"/>
      <c r="X193" s="275"/>
      <c r="Y193" s="274"/>
      <c r="Z193" s="275"/>
      <c r="AA193" s="277"/>
      <c r="AB193" s="277"/>
    </row>
    <row r="194">
      <c r="A194" s="269">
        <v>1603.0</v>
      </c>
      <c r="B194" s="397">
        <v>45772.0</v>
      </c>
      <c r="C194" s="398" t="s">
        <v>1616</v>
      </c>
      <c r="D194" s="398" t="s">
        <v>66</v>
      </c>
      <c r="E194" s="398" t="s">
        <v>1059</v>
      </c>
      <c r="F194" s="398" t="s">
        <v>1060</v>
      </c>
      <c r="G194" s="411">
        <v>1.9070529E7</v>
      </c>
      <c r="H194" s="398" t="s">
        <v>135</v>
      </c>
      <c r="I194" s="399" t="s">
        <v>1844</v>
      </c>
      <c r="J194" s="369" t="s">
        <v>1845</v>
      </c>
      <c r="K194" s="234" t="s">
        <v>1063</v>
      </c>
      <c r="L194" s="234" t="s">
        <v>1846</v>
      </c>
      <c r="M194" s="234" t="s">
        <v>1847</v>
      </c>
      <c r="N194" s="273"/>
      <c r="O194" s="370" t="s">
        <v>62</v>
      </c>
      <c r="P194" s="371">
        <v>45793.0</v>
      </c>
      <c r="Q194" s="274"/>
      <c r="R194" s="275"/>
      <c r="S194" s="274"/>
      <c r="T194" s="275"/>
      <c r="U194" s="370" t="s">
        <v>62</v>
      </c>
      <c r="V194" s="371">
        <v>45819.0</v>
      </c>
      <c r="W194" s="372"/>
      <c r="X194" s="275"/>
      <c r="Y194" s="274"/>
      <c r="Z194" s="275"/>
      <c r="AA194" s="277"/>
      <c r="AB194" s="277"/>
    </row>
    <row r="195">
      <c r="A195" s="269">
        <v>1602.0</v>
      </c>
      <c r="B195" s="367">
        <v>45771.0</v>
      </c>
      <c r="C195" s="260" t="s">
        <v>435</v>
      </c>
      <c r="D195" s="260" t="s">
        <v>66</v>
      </c>
      <c r="E195" s="260" t="s">
        <v>337</v>
      </c>
      <c r="F195" s="260" t="s">
        <v>338</v>
      </c>
      <c r="G195" s="260" t="s">
        <v>50</v>
      </c>
      <c r="H195" s="260" t="s">
        <v>339</v>
      </c>
      <c r="I195" s="263" t="s">
        <v>340</v>
      </c>
      <c r="J195" s="369" t="s">
        <v>1848</v>
      </c>
      <c r="K195" s="234" t="s">
        <v>342</v>
      </c>
      <c r="L195" s="234" t="s">
        <v>343</v>
      </c>
      <c r="M195" s="234" t="s">
        <v>344</v>
      </c>
      <c r="N195" s="273"/>
      <c r="O195" s="274"/>
      <c r="P195" s="275"/>
      <c r="Q195" s="274"/>
      <c r="R195" s="275"/>
      <c r="S195" s="274"/>
      <c r="T195" s="275"/>
      <c r="U195" s="407" t="s">
        <v>150</v>
      </c>
      <c r="V195" s="275"/>
      <c r="W195" s="388"/>
      <c r="X195" s="275"/>
      <c r="Y195" s="274"/>
      <c r="Z195" s="275"/>
      <c r="AA195" s="277"/>
      <c r="AB195" s="277"/>
    </row>
    <row r="196">
      <c r="A196" s="269">
        <v>1601.0</v>
      </c>
      <c r="B196" s="367">
        <v>45770.0</v>
      </c>
      <c r="C196" s="260" t="s">
        <v>582</v>
      </c>
      <c r="D196" s="260" t="s">
        <v>66</v>
      </c>
      <c r="E196" s="260" t="s">
        <v>67</v>
      </c>
      <c r="F196" s="260" t="s">
        <v>49</v>
      </c>
      <c r="G196" s="260" t="s">
        <v>50</v>
      </c>
      <c r="H196" s="260" t="s">
        <v>886</v>
      </c>
      <c r="I196" s="263" t="s">
        <v>1849</v>
      </c>
      <c r="J196" s="369" t="s">
        <v>1850</v>
      </c>
      <c r="K196" s="234" t="s">
        <v>129</v>
      </c>
      <c r="L196" s="234" t="s">
        <v>1851</v>
      </c>
      <c r="M196" s="234" t="s">
        <v>1852</v>
      </c>
      <c r="N196" s="273"/>
      <c r="O196" s="370" t="s">
        <v>62</v>
      </c>
      <c r="P196" s="371">
        <v>45835.0</v>
      </c>
      <c r="Q196" s="274"/>
      <c r="R196" s="275"/>
      <c r="S196" s="274"/>
      <c r="T196" s="275"/>
      <c r="U196" s="407" t="s">
        <v>150</v>
      </c>
      <c r="V196" s="275"/>
      <c r="W196" s="388"/>
      <c r="X196" s="275"/>
      <c r="Y196" s="274"/>
      <c r="Z196" s="275"/>
      <c r="AA196" s="277"/>
      <c r="AB196" s="277"/>
    </row>
    <row r="197">
      <c r="A197" s="292">
        <v>1599.0</v>
      </c>
      <c r="B197" s="279">
        <v>45770.0</v>
      </c>
      <c r="C197" s="280" t="s">
        <v>1853</v>
      </c>
      <c r="D197" s="280" t="s">
        <v>66</v>
      </c>
      <c r="E197" s="280" t="s">
        <v>1854</v>
      </c>
      <c r="F197" s="280" t="s">
        <v>785</v>
      </c>
      <c r="G197" s="280" t="s">
        <v>50</v>
      </c>
      <c r="H197" s="280" t="s">
        <v>859</v>
      </c>
      <c r="I197" s="283" t="s">
        <v>1855</v>
      </c>
      <c r="J197" s="284" t="s">
        <v>1856</v>
      </c>
      <c r="K197" s="293" t="s">
        <v>789</v>
      </c>
      <c r="L197" s="294" t="s">
        <v>343</v>
      </c>
      <c r="M197" s="294" t="s">
        <v>1857</v>
      </c>
      <c r="N197" s="295"/>
      <c r="O197" s="303"/>
      <c r="P197" s="298"/>
      <c r="Q197" s="295"/>
      <c r="R197" s="298"/>
      <c r="S197" s="295"/>
      <c r="T197" s="298"/>
      <c r="U197" s="296" t="s">
        <v>62</v>
      </c>
      <c r="V197" s="297">
        <v>45951.0</v>
      </c>
      <c r="W197" s="295"/>
      <c r="X197" s="298"/>
      <c r="Y197" s="295"/>
      <c r="Z197" s="298"/>
      <c r="AA197" s="295"/>
      <c r="AB197" s="295"/>
    </row>
    <row r="198">
      <c r="A198" s="269">
        <v>1598.0</v>
      </c>
      <c r="B198" s="367">
        <v>45770.0</v>
      </c>
      <c r="C198" s="260" t="s">
        <v>758</v>
      </c>
      <c r="D198" s="260" t="s">
        <v>66</v>
      </c>
      <c r="E198" s="260" t="s">
        <v>759</v>
      </c>
      <c r="F198" s="260" t="s">
        <v>1858</v>
      </c>
      <c r="G198" s="260" t="s">
        <v>50</v>
      </c>
      <c r="H198" s="260" t="s">
        <v>859</v>
      </c>
      <c r="I198" s="263" t="s">
        <v>1859</v>
      </c>
      <c r="J198" s="369" t="s">
        <v>1860</v>
      </c>
      <c r="K198" s="412" t="s">
        <v>904</v>
      </c>
      <c r="L198" s="412" t="s">
        <v>905</v>
      </c>
      <c r="M198" s="412" t="s">
        <v>1861</v>
      </c>
      <c r="N198" s="273"/>
      <c r="O198" s="274"/>
      <c r="P198" s="275"/>
      <c r="Q198" s="274"/>
      <c r="R198" s="275"/>
      <c r="S198" s="274"/>
      <c r="T198" s="275"/>
      <c r="U198" s="370" t="s">
        <v>150</v>
      </c>
      <c r="V198" s="275"/>
      <c r="W198" s="388"/>
      <c r="X198" s="275"/>
      <c r="Y198" s="274"/>
      <c r="Z198" s="275"/>
      <c r="AA198" s="277"/>
      <c r="AB198" s="277"/>
    </row>
    <row r="199">
      <c r="A199" s="269">
        <v>1594.0</v>
      </c>
      <c r="B199" s="367">
        <v>45765.0</v>
      </c>
      <c r="C199" s="260" t="s">
        <v>582</v>
      </c>
      <c r="D199" s="260" t="s">
        <v>66</v>
      </c>
      <c r="E199" s="260" t="s">
        <v>67</v>
      </c>
      <c r="F199" s="260" t="s">
        <v>49</v>
      </c>
      <c r="G199" s="260">
        <v>1.9050256E7</v>
      </c>
      <c r="H199" s="260" t="s">
        <v>42</v>
      </c>
      <c r="I199" s="263" t="s">
        <v>1862</v>
      </c>
      <c r="J199" s="369" t="s">
        <v>1863</v>
      </c>
      <c r="K199" s="234" t="s">
        <v>129</v>
      </c>
      <c r="L199" s="401" t="s">
        <v>585</v>
      </c>
      <c r="M199" s="401" t="s">
        <v>1678</v>
      </c>
      <c r="N199" s="273"/>
      <c r="O199" s="370" t="s">
        <v>62</v>
      </c>
      <c r="P199" s="371">
        <v>45777.0</v>
      </c>
      <c r="Q199" s="274"/>
      <c r="R199" s="275"/>
      <c r="S199" s="274"/>
      <c r="T199" s="275"/>
      <c r="U199" s="370" t="s">
        <v>62</v>
      </c>
      <c r="V199" s="371">
        <v>45778.0</v>
      </c>
      <c r="W199" s="372"/>
      <c r="X199" s="275"/>
      <c r="Y199" s="274"/>
      <c r="Z199" s="275"/>
      <c r="AA199" s="277"/>
      <c r="AB199" s="277"/>
    </row>
    <row r="200">
      <c r="A200" s="269">
        <v>1593.0</v>
      </c>
      <c r="B200" s="367">
        <v>45765.0</v>
      </c>
      <c r="C200" s="260" t="s">
        <v>1864</v>
      </c>
      <c r="D200" s="260" t="s">
        <v>66</v>
      </c>
      <c r="E200" s="260" t="s">
        <v>1766</v>
      </c>
      <c r="F200" s="260" t="s">
        <v>1865</v>
      </c>
      <c r="G200" s="260">
        <v>1.6452358E7</v>
      </c>
      <c r="H200" s="260" t="s">
        <v>200</v>
      </c>
      <c r="I200" s="263" t="s">
        <v>1866</v>
      </c>
      <c r="J200" s="369" t="s">
        <v>1867</v>
      </c>
      <c r="K200" s="234" t="s">
        <v>1770</v>
      </c>
      <c r="L200" s="234" t="s">
        <v>1868</v>
      </c>
      <c r="M200" s="234" t="s">
        <v>1869</v>
      </c>
      <c r="N200" s="273"/>
      <c r="O200" s="274"/>
      <c r="P200" s="275"/>
      <c r="Q200" s="370" t="s">
        <v>62</v>
      </c>
      <c r="R200" s="371">
        <v>45807.0</v>
      </c>
      <c r="S200" s="274"/>
      <c r="T200" s="275"/>
      <c r="U200" s="370" t="s">
        <v>62</v>
      </c>
      <c r="V200" s="371">
        <v>45807.0</v>
      </c>
      <c r="W200" s="372"/>
      <c r="X200" s="275"/>
      <c r="Y200" s="274"/>
      <c r="Z200" s="275"/>
      <c r="AA200" s="277"/>
      <c r="AB200" s="277"/>
    </row>
    <row r="201">
      <c r="A201" s="269">
        <v>1592.0</v>
      </c>
      <c r="B201" s="367">
        <v>45765.0</v>
      </c>
      <c r="C201" s="260" t="s">
        <v>548</v>
      </c>
      <c r="D201" s="260" t="s">
        <v>66</v>
      </c>
      <c r="E201" s="260" t="s">
        <v>549</v>
      </c>
      <c r="F201" s="260" t="s">
        <v>550</v>
      </c>
      <c r="G201" s="260">
        <v>1.8280063E7</v>
      </c>
      <c r="H201" s="260" t="s">
        <v>32</v>
      </c>
      <c r="I201" s="263" t="s">
        <v>1870</v>
      </c>
      <c r="J201" s="369" t="s">
        <v>1871</v>
      </c>
      <c r="K201" s="273"/>
      <c r="L201" s="273"/>
      <c r="M201" s="273"/>
      <c r="N201" s="273"/>
      <c r="O201" s="274"/>
      <c r="P201" s="275"/>
      <c r="Q201" s="274"/>
      <c r="R201" s="275"/>
      <c r="S201" s="274"/>
      <c r="T201" s="275"/>
      <c r="U201" s="370" t="s">
        <v>62</v>
      </c>
      <c r="V201" s="371">
        <v>45838.0</v>
      </c>
      <c r="W201" s="372"/>
      <c r="X201" s="275"/>
      <c r="Y201" s="274"/>
      <c r="Z201" s="275"/>
      <c r="AA201" s="391" t="s">
        <v>1872</v>
      </c>
      <c r="AB201" s="277"/>
    </row>
    <row r="202">
      <c r="A202" s="269">
        <v>1591.0</v>
      </c>
      <c r="B202" s="367">
        <v>45764.0</v>
      </c>
      <c r="C202" s="260" t="s">
        <v>1873</v>
      </c>
      <c r="D202" s="368"/>
      <c r="E202" s="260" t="s">
        <v>1874</v>
      </c>
      <c r="F202" s="260" t="s">
        <v>1060</v>
      </c>
      <c r="G202" s="413" t="s">
        <v>1875</v>
      </c>
      <c r="H202" s="260" t="s">
        <v>135</v>
      </c>
      <c r="I202" s="263" t="s">
        <v>1876</v>
      </c>
      <c r="J202" s="369" t="s">
        <v>1877</v>
      </c>
      <c r="K202" s="234" t="s">
        <v>1063</v>
      </c>
      <c r="L202" s="234" t="s">
        <v>1098</v>
      </c>
      <c r="M202" s="234" t="s">
        <v>1878</v>
      </c>
      <c r="N202" s="273"/>
      <c r="O202" s="370" t="s">
        <v>62</v>
      </c>
      <c r="P202" s="371">
        <v>45764.0</v>
      </c>
      <c r="Q202" s="274"/>
      <c r="R202" s="275"/>
      <c r="S202" s="274"/>
      <c r="T202" s="275"/>
      <c r="U202" s="370" t="s">
        <v>62</v>
      </c>
      <c r="V202" s="371">
        <v>45770.0</v>
      </c>
      <c r="W202" s="388"/>
      <c r="X202" s="275"/>
      <c r="Y202" s="274"/>
      <c r="Z202" s="275"/>
      <c r="AA202" s="414" t="s">
        <v>1879</v>
      </c>
      <c r="AB202" s="277"/>
    </row>
    <row r="203">
      <c r="A203" s="269">
        <v>1590.0</v>
      </c>
      <c r="B203" s="367">
        <v>45763.0</v>
      </c>
      <c r="C203" s="260" t="s">
        <v>1880</v>
      </c>
      <c r="D203" s="260" t="s">
        <v>66</v>
      </c>
      <c r="E203" s="260" t="s">
        <v>48</v>
      </c>
      <c r="F203" s="260" t="s">
        <v>49</v>
      </c>
      <c r="G203" s="368"/>
      <c r="H203" s="260" t="s">
        <v>51</v>
      </c>
      <c r="I203" s="263" t="s">
        <v>1881</v>
      </c>
      <c r="J203" s="369" t="s">
        <v>1882</v>
      </c>
      <c r="K203" s="234" t="s">
        <v>143</v>
      </c>
      <c r="L203" s="273"/>
      <c r="M203" s="273"/>
      <c r="N203" s="273"/>
      <c r="O203" s="274"/>
      <c r="P203" s="275"/>
      <c r="Q203" s="274"/>
      <c r="R203" s="275"/>
      <c r="S203" s="274"/>
      <c r="T203" s="275"/>
      <c r="U203" s="370" t="s">
        <v>62</v>
      </c>
      <c r="V203" s="371">
        <v>45810.0</v>
      </c>
      <c r="W203" s="372"/>
      <c r="X203" s="275"/>
      <c r="Y203" s="274"/>
      <c r="Z203" s="275"/>
      <c r="AA203" s="277"/>
      <c r="AB203" s="277"/>
    </row>
    <row r="204">
      <c r="A204" s="269">
        <v>1588.0</v>
      </c>
      <c r="B204" s="367">
        <v>45762.0</v>
      </c>
      <c r="C204" s="260" t="s">
        <v>707</v>
      </c>
      <c r="D204" s="368"/>
      <c r="E204" s="260" t="s">
        <v>708</v>
      </c>
      <c r="F204" s="260" t="s">
        <v>49</v>
      </c>
      <c r="G204" s="260">
        <v>1.9670006E7</v>
      </c>
      <c r="H204" s="260" t="s">
        <v>42</v>
      </c>
      <c r="I204" s="263" t="s">
        <v>1862</v>
      </c>
      <c r="J204" s="369" t="s">
        <v>1883</v>
      </c>
      <c r="K204" s="234" t="s">
        <v>129</v>
      </c>
      <c r="L204" s="234" t="s">
        <v>585</v>
      </c>
      <c r="M204" s="234" t="s">
        <v>1678</v>
      </c>
      <c r="N204" s="273"/>
      <c r="O204" s="370" t="s">
        <v>62</v>
      </c>
      <c r="P204" s="371">
        <v>45763.0</v>
      </c>
      <c r="Q204" s="274"/>
      <c r="R204" s="275"/>
      <c r="S204" s="274"/>
      <c r="T204" s="275"/>
      <c r="U204" s="370" t="s">
        <v>62</v>
      </c>
      <c r="V204" s="371">
        <v>45764.0</v>
      </c>
      <c r="W204" s="388"/>
      <c r="X204" s="275"/>
      <c r="Y204" s="274"/>
      <c r="Z204" s="275"/>
      <c r="AA204" s="277"/>
      <c r="AB204" s="277"/>
    </row>
    <row r="205">
      <c r="A205" s="269">
        <v>1587.0</v>
      </c>
      <c r="B205" s="367">
        <v>45762.0</v>
      </c>
      <c r="C205" s="260" t="s">
        <v>707</v>
      </c>
      <c r="D205" s="260"/>
      <c r="E205" s="260" t="s">
        <v>708</v>
      </c>
      <c r="F205" s="260" t="s">
        <v>49</v>
      </c>
      <c r="G205" s="260">
        <v>1.9670005E7</v>
      </c>
      <c r="H205" s="260" t="s">
        <v>42</v>
      </c>
      <c r="I205" s="263" t="s">
        <v>1862</v>
      </c>
      <c r="J205" s="369" t="s">
        <v>1884</v>
      </c>
      <c r="K205" s="234" t="s">
        <v>129</v>
      </c>
      <c r="L205" s="234" t="s">
        <v>585</v>
      </c>
      <c r="M205" s="234" t="s">
        <v>1678</v>
      </c>
      <c r="N205" s="273"/>
      <c r="O205" s="370" t="s">
        <v>62</v>
      </c>
      <c r="P205" s="371">
        <v>45763.0</v>
      </c>
      <c r="Q205" s="274"/>
      <c r="R205" s="275"/>
      <c r="S205" s="274"/>
      <c r="T205" s="275"/>
      <c r="U205" s="370" t="s">
        <v>62</v>
      </c>
      <c r="V205" s="371">
        <v>45764.0</v>
      </c>
      <c r="W205" s="388"/>
      <c r="X205" s="275"/>
      <c r="Y205" s="274"/>
      <c r="Z205" s="275"/>
      <c r="AA205" s="277"/>
      <c r="AB205" s="277"/>
    </row>
    <row r="206">
      <c r="A206" s="269">
        <v>1586.0</v>
      </c>
      <c r="B206" s="367">
        <v>45761.0</v>
      </c>
      <c r="C206" s="260" t="s">
        <v>1885</v>
      </c>
      <c r="D206" s="260" t="s">
        <v>50</v>
      </c>
      <c r="E206" s="260" t="s">
        <v>1247</v>
      </c>
      <c r="F206" s="260" t="s">
        <v>49</v>
      </c>
      <c r="G206" s="260">
        <v>1.5781642E7</v>
      </c>
      <c r="H206" s="260" t="s">
        <v>32</v>
      </c>
      <c r="I206" s="263" t="s">
        <v>1886</v>
      </c>
      <c r="J206" s="369" t="s">
        <v>1887</v>
      </c>
      <c r="K206" s="234" t="s">
        <v>1244</v>
      </c>
      <c r="L206" s="234" t="s">
        <v>1888</v>
      </c>
      <c r="M206" s="234" t="s">
        <v>1251</v>
      </c>
      <c r="N206" s="273"/>
      <c r="O206" s="274"/>
      <c r="P206" s="275"/>
      <c r="Q206" s="274"/>
      <c r="R206" s="275"/>
      <c r="S206" s="274"/>
      <c r="T206" s="275"/>
      <c r="U206" s="370" t="s">
        <v>62</v>
      </c>
      <c r="V206" s="371">
        <v>45786.0</v>
      </c>
      <c r="W206" s="372"/>
      <c r="X206" s="275"/>
      <c r="Y206" s="274"/>
      <c r="Z206" s="275"/>
      <c r="AA206" s="277"/>
      <c r="AB206" s="277"/>
    </row>
    <row r="207">
      <c r="A207" s="269">
        <v>1585.0</v>
      </c>
      <c r="B207" s="367">
        <v>45761.0</v>
      </c>
      <c r="C207" s="260" t="s">
        <v>1831</v>
      </c>
      <c r="D207" s="260" t="s">
        <v>66</v>
      </c>
      <c r="E207" s="260" t="s">
        <v>1247</v>
      </c>
      <c r="F207" s="260" t="s">
        <v>49</v>
      </c>
      <c r="G207" s="260">
        <v>1.5781648E7</v>
      </c>
      <c r="H207" s="260" t="s">
        <v>32</v>
      </c>
      <c r="I207" s="263" t="s">
        <v>1889</v>
      </c>
      <c r="J207" s="369" t="s">
        <v>1890</v>
      </c>
      <c r="K207" s="234" t="s">
        <v>1244</v>
      </c>
      <c r="L207" s="234" t="s">
        <v>1891</v>
      </c>
      <c r="M207" s="234" t="s">
        <v>1251</v>
      </c>
      <c r="N207" s="273"/>
      <c r="O207" s="274"/>
      <c r="P207" s="275"/>
      <c r="Q207" s="370" t="s">
        <v>62</v>
      </c>
      <c r="R207" s="371">
        <v>45765.0</v>
      </c>
      <c r="S207" s="274"/>
      <c r="T207" s="275"/>
      <c r="U207" s="370" t="s">
        <v>62</v>
      </c>
      <c r="V207" s="371">
        <v>45824.0</v>
      </c>
      <c r="W207" s="372"/>
      <c r="X207" s="275"/>
      <c r="Y207" s="274"/>
      <c r="Z207" s="275"/>
      <c r="AA207" s="277"/>
      <c r="AB207" s="277"/>
    </row>
    <row r="208">
      <c r="A208" s="269">
        <v>1584.0</v>
      </c>
      <c r="B208" s="367">
        <v>45761.0</v>
      </c>
      <c r="C208" s="260" t="s">
        <v>1831</v>
      </c>
      <c r="D208" s="260" t="s">
        <v>66</v>
      </c>
      <c r="E208" s="260" t="s">
        <v>1247</v>
      </c>
      <c r="F208" s="260" t="s">
        <v>49</v>
      </c>
      <c r="G208" s="260">
        <v>1.578165E7</v>
      </c>
      <c r="H208" s="260" t="s">
        <v>32</v>
      </c>
      <c r="I208" s="263" t="s">
        <v>1892</v>
      </c>
      <c r="J208" s="369" t="s">
        <v>1890</v>
      </c>
      <c r="K208" s="415" t="s">
        <v>1244</v>
      </c>
      <c r="L208" s="234" t="s">
        <v>1893</v>
      </c>
      <c r="M208" s="234" t="s">
        <v>1234</v>
      </c>
      <c r="N208" s="273"/>
      <c r="O208" s="274"/>
      <c r="P208" s="275"/>
      <c r="Q208" s="370" t="s">
        <v>62</v>
      </c>
      <c r="R208" s="371">
        <v>45765.0</v>
      </c>
      <c r="S208" s="274"/>
      <c r="T208" s="275"/>
      <c r="U208" s="370" t="s">
        <v>62</v>
      </c>
      <c r="V208" s="371">
        <v>45824.0</v>
      </c>
      <c r="W208" s="372"/>
      <c r="X208" s="275"/>
      <c r="Y208" s="274"/>
      <c r="Z208" s="275"/>
      <c r="AA208" s="277"/>
      <c r="AB208" s="277"/>
    </row>
    <row r="209">
      <c r="A209" s="312">
        <v>1583.0</v>
      </c>
      <c r="B209" s="313">
        <v>45761.0</v>
      </c>
      <c r="C209" s="281" t="s">
        <v>1294</v>
      </c>
      <c r="D209" s="281" t="s">
        <v>66</v>
      </c>
      <c r="E209" s="281" t="s">
        <v>1247</v>
      </c>
      <c r="F209" s="281" t="s">
        <v>49</v>
      </c>
      <c r="G209" s="314">
        <v>1.578168E7</v>
      </c>
      <c r="H209" s="281" t="s">
        <v>32</v>
      </c>
      <c r="I209" s="315" t="s">
        <v>1894</v>
      </c>
      <c r="J209" s="316" t="s">
        <v>1895</v>
      </c>
      <c r="K209" s="317" t="s">
        <v>1244</v>
      </c>
      <c r="L209" s="318" t="s">
        <v>965</v>
      </c>
      <c r="M209" s="318" t="s">
        <v>610</v>
      </c>
      <c r="N209" s="318"/>
      <c r="O209" s="317"/>
      <c r="P209" s="322"/>
      <c r="Q209" s="326" t="s">
        <v>62</v>
      </c>
      <c r="R209" s="321">
        <v>45765.0</v>
      </c>
      <c r="S209" s="318"/>
      <c r="T209" s="322"/>
      <c r="U209" s="320" t="s">
        <v>62</v>
      </c>
      <c r="V209" s="321">
        <v>45918.0</v>
      </c>
      <c r="W209" s="318"/>
      <c r="X209" s="322"/>
      <c r="Y209" s="318"/>
      <c r="Z209" s="322"/>
      <c r="AA209" s="318"/>
      <c r="AB209" s="318"/>
    </row>
    <row r="210">
      <c r="A210" s="312">
        <v>1582.0</v>
      </c>
      <c r="B210" s="313">
        <v>45761.0</v>
      </c>
      <c r="C210" s="281" t="s">
        <v>1294</v>
      </c>
      <c r="D210" s="281" t="s">
        <v>66</v>
      </c>
      <c r="E210" s="281" t="s">
        <v>1247</v>
      </c>
      <c r="F210" s="281" t="s">
        <v>49</v>
      </c>
      <c r="G210" s="314">
        <v>1.5781679E7</v>
      </c>
      <c r="H210" s="281" t="s">
        <v>32</v>
      </c>
      <c r="I210" s="315" t="s">
        <v>1896</v>
      </c>
      <c r="J210" s="316" t="s">
        <v>1895</v>
      </c>
      <c r="K210" s="317" t="s">
        <v>1244</v>
      </c>
      <c r="L210" s="318" t="s">
        <v>646</v>
      </c>
      <c r="M210" s="318" t="s">
        <v>1234</v>
      </c>
      <c r="N210" s="318"/>
      <c r="O210" s="317"/>
      <c r="P210" s="322"/>
      <c r="Q210" s="326" t="s">
        <v>62</v>
      </c>
      <c r="R210" s="321">
        <v>45765.0</v>
      </c>
      <c r="S210" s="318"/>
      <c r="T210" s="322"/>
      <c r="U210" s="320" t="s">
        <v>62</v>
      </c>
      <c r="V210" s="321">
        <v>45901.0</v>
      </c>
      <c r="W210" s="318"/>
      <c r="X210" s="322"/>
      <c r="Y210" s="318"/>
      <c r="Z210" s="322"/>
      <c r="AA210" s="318"/>
      <c r="AB210" s="318"/>
    </row>
    <row r="211">
      <c r="A211" s="312">
        <v>1581.0</v>
      </c>
      <c r="B211" s="313">
        <v>45761.0</v>
      </c>
      <c r="C211" s="281" t="s">
        <v>1294</v>
      </c>
      <c r="D211" s="281" t="s">
        <v>66</v>
      </c>
      <c r="E211" s="281" t="s">
        <v>1247</v>
      </c>
      <c r="F211" s="281" t="s">
        <v>49</v>
      </c>
      <c r="G211" s="314">
        <v>1.5781674E7</v>
      </c>
      <c r="H211" s="281" t="s">
        <v>32</v>
      </c>
      <c r="I211" s="315" t="s">
        <v>1897</v>
      </c>
      <c r="J211" s="316" t="s">
        <v>1895</v>
      </c>
      <c r="K211" s="317" t="s">
        <v>1244</v>
      </c>
      <c r="L211" s="318" t="s">
        <v>1898</v>
      </c>
      <c r="M211" s="318" t="s">
        <v>1251</v>
      </c>
      <c r="N211" s="318"/>
      <c r="O211" s="317"/>
      <c r="P211" s="322"/>
      <c r="Q211" s="326" t="s">
        <v>62</v>
      </c>
      <c r="R211" s="321">
        <v>45765.0</v>
      </c>
      <c r="S211" s="318"/>
      <c r="T211" s="322"/>
      <c r="U211" s="320" t="s">
        <v>62</v>
      </c>
      <c r="V211" s="321">
        <v>45895.0</v>
      </c>
      <c r="W211" s="318"/>
      <c r="X211" s="322"/>
      <c r="Y211" s="318"/>
      <c r="Z211" s="322"/>
      <c r="AA211" s="318"/>
      <c r="AB211" s="318"/>
    </row>
    <row r="212">
      <c r="A212" s="269">
        <v>1578.0</v>
      </c>
      <c r="B212" s="367">
        <v>45754.0</v>
      </c>
      <c r="C212" s="260" t="s">
        <v>1899</v>
      </c>
      <c r="D212" s="260" t="s">
        <v>29</v>
      </c>
      <c r="E212" s="260" t="s">
        <v>1247</v>
      </c>
      <c r="F212" s="260" t="s">
        <v>305</v>
      </c>
      <c r="G212" s="260">
        <v>1.578164E7</v>
      </c>
      <c r="H212" s="260" t="s">
        <v>32</v>
      </c>
      <c r="I212" s="263" t="s">
        <v>1900</v>
      </c>
      <c r="J212" s="369" t="s">
        <v>1901</v>
      </c>
      <c r="K212" s="234" t="s">
        <v>1244</v>
      </c>
      <c r="L212" s="234" t="s">
        <v>1902</v>
      </c>
      <c r="M212" s="234" t="s">
        <v>610</v>
      </c>
      <c r="N212" s="273"/>
      <c r="O212" s="274"/>
      <c r="P212" s="275"/>
      <c r="Q212" s="370" t="s">
        <v>62</v>
      </c>
      <c r="R212" s="371">
        <v>45761.0</v>
      </c>
      <c r="S212" s="274"/>
      <c r="T212" s="275"/>
      <c r="U212" s="370" t="s">
        <v>62</v>
      </c>
      <c r="V212" s="371">
        <v>45798.0</v>
      </c>
      <c r="W212" s="372"/>
      <c r="X212" s="275"/>
      <c r="Y212" s="274"/>
      <c r="Z212" s="275"/>
      <c r="AA212" s="277"/>
      <c r="AB212" s="277"/>
    </row>
    <row r="213">
      <c r="A213" s="312">
        <v>1577.0</v>
      </c>
      <c r="B213" s="313">
        <v>45754.0</v>
      </c>
      <c r="C213" s="281" t="s">
        <v>1903</v>
      </c>
      <c r="D213" s="281" t="s">
        <v>1904</v>
      </c>
      <c r="E213" s="281" t="s">
        <v>1905</v>
      </c>
      <c r="F213" s="281" t="s">
        <v>305</v>
      </c>
      <c r="G213" s="314">
        <v>1.5781639E7</v>
      </c>
      <c r="H213" s="281" t="s">
        <v>32</v>
      </c>
      <c r="I213" s="315" t="s">
        <v>1906</v>
      </c>
      <c r="J213" s="316" t="s">
        <v>1907</v>
      </c>
      <c r="K213" s="317" t="s">
        <v>1244</v>
      </c>
      <c r="L213" s="318" t="s">
        <v>1908</v>
      </c>
      <c r="M213" s="318" t="s">
        <v>1251</v>
      </c>
      <c r="N213" s="318"/>
      <c r="O213" s="320" t="s">
        <v>1595</v>
      </c>
      <c r="P213" s="321">
        <v>45762.0</v>
      </c>
      <c r="Q213" s="326" t="s">
        <v>1819</v>
      </c>
      <c r="R213" s="321">
        <v>45761.0</v>
      </c>
      <c r="S213" s="318"/>
      <c r="T213" s="322"/>
      <c r="U213" s="320" t="s">
        <v>62</v>
      </c>
      <c r="V213" s="321">
        <v>45762.0</v>
      </c>
      <c r="W213" s="349"/>
      <c r="X213" s="322"/>
      <c r="Y213" s="318"/>
      <c r="Z213" s="322"/>
      <c r="AA213" s="318"/>
      <c r="AB213" s="318"/>
    </row>
    <row r="214">
      <c r="A214" s="269">
        <v>1576.0</v>
      </c>
      <c r="B214" s="367">
        <v>45751.0</v>
      </c>
      <c r="C214" s="260" t="s">
        <v>707</v>
      </c>
      <c r="D214" s="368"/>
      <c r="E214" s="260" t="s">
        <v>708</v>
      </c>
      <c r="F214" s="260" t="s">
        <v>305</v>
      </c>
      <c r="G214" s="260">
        <v>1.9670007E7</v>
      </c>
      <c r="H214" s="260" t="s">
        <v>42</v>
      </c>
      <c r="I214" s="263" t="s">
        <v>1909</v>
      </c>
      <c r="J214" s="369" t="s">
        <v>1910</v>
      </c>
      <c r="K214" s="234" t="s">
        <v>129</v>
      </c>
      <c r="L214" s="234" t="s">
        <v>585</v>
      </c>
      <c r="M214" s="234" t="s">
        <v>586</v>
      </c>
      <c r="N214" s="273"/>
      <c r="O214" s="370" t="s">
        <v>62</v>
      </c>
      <c r="P214" s="275"/>
      <c r="Q214" s="274"/>
      <c r="R214" s="275"/>
      <c r="S214" s="274"/>
      <c r="T214" s="275"/>
      <c r="U214" s="370" t="s">
        <v>62</v>
      </c>
      <c r="V214" s="371">
        <v>45755.0</v>
      </c>
      <c r="W214" s="388"/>
      <c r="X214" s="275"/>
      <c r="Y214" s="274"/>
      <c r="Z214" s="275"/>
      <c r="AA214" s="277"/>
      <c r="AB214" s="277"/>
    </row>
    <row r="215">
      <c r="A215" s="416">
        <v>1575.0</v>
      </c>
      <c r="B215" s="417">
        <v>45751.0</v>
      </c>
      <c r="C215" s="418" t="s">
        <v>1911</v>
      </c>
      <c r="D215" s="418" t="s">
        <v>29</v>
      </c>
      <c r="E215" s="418" t="s">
        <v>367</v>
      </c>
      <c r="F215" s="418" t="s">
        <v>1912</v>
      </c>
      <c r="G215" s="419">
        <v>1.4882598E7</v>
      </c>
      <c r="H215" s="418" t="s">
        <v>120</v>
      </c>
      <c r="I215" s="420" t="s">
        <v>1913</v>
      </c>
      <c r="J215" s="352" t="s">
        <v>1914</v>
      </c>
      <c r="K215" s="366"/>
      <c r="L215" s="319"/>
      <c r="M215" s="319"/>
      <c r="N215" s="319"/>
      <c r="O215" s="421" t="s">
        <v>62</v>
      </c>
      <c r="P215" s="422" t="s">
        <v>1915</v>
      </c>
      <c r="Q215" s="319"/>
      <c r="R215" s="422"/>
      <c r="S215" s="319"/>
      <c r="T215" s="422"/>
      <c r="U215" s="421" t="s">
        <v>62</v>
      </c>
      <c r="V215" s="422" t="s">
        <v>1916</v>
      </c>
      <c r="W215" s="423"/>
      <c r="X215" s="422"/>
      <c r="Y215" s="319"/>
      <c r="Z215" s="422"/>
      <c r="AA215" s="319"/>
      <c r="AB215" s="319"/>
    </row>
    <row r="216">
      <c r="A216" s="269">
        <v>1574.0</v>
      </c>
      <c r="B216" s="367">
        <v>45750.0</v>
      </c>
      <c r="C216" s="260" t="s">
        <v>707</v>
      </c>
      <c r="D216" s="368"/>
      <c r="E216" s="260" t="s">
        <v>708</v>
      </c>
      <c r="F216" s="260" t="s">
        <v>305</v>
      </c>
      <c r="G216" s="260">
        <v>1.9670011E7</v>
      </c>
      <c r="H216" s="260" t="s">
        <v>42</v>
      </c>
      <c r="I216" s="263" t="s">
        <v>1909</v>
      </c>
      <c r="J216" s="369" t="s">
        <v>1917</v>
      </c>
      <c r="K216" s="234" t="s">
        <v>129</v>
      </c>
      <c r="L216" s="234" t="s">
        <v>585</v>
      </c>
      <c r="M216" s="234" t="s">
        <v>586</v>
      </c>
      <c r="N216" s="273"/>
      <c r="O216" s="370" t="s">
        <v>62</v>
      </c>
      <c r="P216" s="275"/>
      <c r="Q216" s="274"/>
      <c r="R216" s="275"/>
      <c r="S216" s="274"/>
      <c r="T216" s="275"/>
      <c r="U216" s="370" t="s">
        <v>62</v>
      </c>
      <c r="V216" s="371">
        <v>45755.0</v>
      </c>
      <c r="W216" s="388"/>
      <c r="X216" s="275"/>
      <c r="Y216" s="274"/>
      <c r="Z216" s="275"/>
      <c r="AA216" s="277"/>
      <c r="AB216" s="277"/>
    </row>
    <row r="217">
      <c r="A217" s="269">
        <v>1573.0</v>
      </c>
      <c r="B217" s="367">
        <v>45749.0</v>
      </c>
      <c r="C217" s="260" t="s">
        <v>707</v>
      </c>
      <c r="D217" s="260" t="s">
        <v>66</v>
      </c>
      <c r="E217" s="260" t="s">
        <v>708</v>
      </c>
      <c r="F217" s="260" t="s">
        <v>423</v>
      </c>
      <c r="G217" s="260">
        <v>1.9670012E7</v>
      </c>
      <c r="H217" s="260" t="s">
        <v>42</v>
      </c>
      <c r="I217" s="263" t="s">
        <v>1918</v>
      </c>
      <c r="J217" s="369" t="s">
        <v>1919</v>
      </c>
      <c r="K217" s="234" t="s">
        <v>1920</v>
      </c>
      <c r="L217" s="273"/>
      <c r="M217" s="273"/>
      <c r="N217" s="273"/>
      <c r="O217" s="274"/>
      <c r="P217" s="275"/>
      <c r="Q217" s="274"/>
      <c r="R217" s="275"/>
      <c r="S217" s="274"/>
      <c r="T217" s="275"/>
      <c r="U217" s="370" t="s">
        <v>62</v>
      </c>
      <c r="V217" s="371">
        <v>45793.0</v>
      </c>
      <c r="W217" s="372"/>
      <c r="X217" s="275"/>
      <c r="Y217" s="274"/>
      <c r="Z217" s="275"/>
      <c r="AA217" s="277"/>
      <c r="AB217" s="277"/>
    </row>
    <row r="218">
      <c r="A218" s="269">
        <v>1572.0</v>
      </c>
      <c r="B218" s="367">
        <v>45747.0</v>
      </c>
      <c r="C218" s="260" t="s">
        <v>1921</v>
      </c>
      <c r="D218" s="260" t="s">
        <v>66</v>
      </c>
      <c r="E218" s="260" t="s">
        <v>411</v>
      </c>
      <c r="F218" s="260" t="s">
        <v>412</v>
      </c>
      <c r="G218" s="260" t="s">
        <v>50</v>
      </c>
      <c r="H218" s="260" t="s">
        <v>103</v>
      </c>
      <c r="I218" s="263" t="s">
        <v>1922</v>
      </c>
      <c r="J218" s="369" t="s">
        <v>1923</v>
      </c>
      <c r="K218" s="234" t="s">
        <v>1637</v>
      </c>
      <c r="L218" s="234" t="s">
        <v>1924</v>
      </c>
      <c r="M218" s="234" t="s">
        <v>1925</v>
      </c>
      <c r="N218" s="273"/>
      <c r="O218" s="370" t="s">
        <v>365</v>
      </c>
      <c r="P218" s="371">
        <v>45831.0</v>
      </c>
      <c r="Q218" s="274"/>
      <c r="R218" s="275"/>
      <c r="S218" s="274"/>
      <c r="T218" s="275"/>
      <c r="U218" s="370" t="s">
        <v>62</v>
      </c>
      <c r="V218" s="275"/>
      <c r="W218" s="388"/>
      <c r="X218" s="275"/>
      <c r="Y218" s="274"/>
      <c r="Z218" s="275"/>
      <c r="AA218" s="424">
        <v>2.0250708E7</v>
      </c>
      <c r="AB218" s="277"/>
    </row>
    <row r="219">
      <c r="A219" s="269">
        <v>1571.0</v>
      </c>
      <c r="B219" s="367">
        <v>45744.0</v>
      </c>
      <c r="C219" s="260" t="s">
        <v>1926</v>
      </c>
      <c r="D219" s="368"/>
      <c r="E219" s="260" t="s">
        <v>1927</v>
      </c>
      <c r="F219" s="260" t="s">
        <v>1928</v>
      </c>
      <c r="G219" s="260">
        <v>1.9390013E7</v>
      </c>
      <c r="H219" s="260" t="s">
        <v>32</v>
      </c>
      <c r="I219" s="263" t="s">
        <v>1929</v>
      </c>
      <c r="J219" s="369" t="s">
        <v>1930</v>
      </c>
      <c r="K219" s="234" t="s">
        <v>1931</v>
      </c>
      <c r="L219" s="273"/>
      <c r="M219" s="273"/>
      <c r="N219" s="273"/>
      <c r="O219" s="274"/>
      <c r="P219" s="275"/>
      <c r="Q219" s="274"/>
      <c r="R219" s="275"/>
      <c r="S219" s="274"/>
      <c r="T219" s="275"/>
      <c r="U219" s="370" t="s">
        <v>62</v>
      </c>
      <c r="V219" s="371">
        <v>45750.0</v>
      </c>
      <c r="W219" s="388"/>
      <c r="X219" s="275"/>
      <c r="Y219" s="274"/>
      <c r="Z219" s="275"/>
      <c r="AA219" s="277"/>
      <c r="AB219" s="277"/>
    </row>
    <row r="220">
      <c r="A220" s="312">
        <v>1571.0</v>
      </c>
      <c r="B220" s="313">
        <v>45744.0</v>
      </c>
      <c r="C220" s="281" t="s">
        <v>1926</v>
      </c>
      <c r="D220" s="281"/>
      <c r="E220" s="281" t="s">
        <v>1927</v>
      </c>
      <c r="F220" s="281" t="s">
        <v>1928</v>
      </c>
      <c r="G220" s="314">
        <v>1.9390013E7</v>
      </c>
      <c r="H220" s="281" t="s">
        <v>32</v>
      </c>
      <c r="I220" s="315" t="s">
        <v>1929</v>
      </c>
      <c r="J220" s="352" t="s">
        <v>1930</v>
      </c>
      <c r="K220" s="317" t="s">
        <v>1931</v>
      </c>
      <c r="L220" s="318"/>
      <c r="M220" s="318"/>
      <c r="N220" s="318"/>
      <c r="O220" s="317"/>
      <c r="P220" s="322"/>
      <c r="Q220" s="318"/>
      <c r="R220" s="322"/>
      <c r="S220" s="318"/>
      <c r="T220" s="322"/>
      <c r="U220" s="320" t="s">
        <v>62</v>
      </c>
      <c r="V220" s="321">
        <v>45750.0</v>
      </c>
      <c r="W220" s="349"/>
      <c r="X220" s="322"/>
      <c r="Y220" s="318"/>
      <c r="Z220" s="322"/>
      <c r="AA220" s="318"/>
      <c r="AB220" s="318"/>
    </row>
    <row r="221">
      <c r="A221" s="312">
        <v>1569.0</v>
      </c>
      <c r="B221" s="313">
        <v>45737.0</v>
      </c>
      <c r="C221" s="281" t="s">
        <v>1932</v>
      </c>
      <c r="D221" s="281" t="s">
        <v>29</v>
      </c>
      <c r="E221" s="281" t="s">
        <v>89</v>
      </c>
      <c r="F221" s="281" t="s">
        <v>41</v>
      </c>
      <c r="G221" s="314">
        <v>1.5831257E7</v>
      </c>
      <c r="H221" s="281" t="s">
        <v>51</v>
      </c>
      <c r="I221" s="315" t="s">
        <v>1933</v>
      </c>
      <c r="J221" s="316" t="s">
        <v>1934</v>
      </c>
      <c r="K221" s="325" t="s">
        <v>92</v>
      </c>
      <c r="L221" s="318"/>
      <c r="M221" s="318"/>
      <c r="N221" s="318"/>
      <c r="O221" s="317"/>
      <c r="P221" s="322"/>
      <c r="Q221" s="318"/>
      <c r="R221" s="322"/>
      <c r="S221" s="318"/>
      <c r="T221" s="322"/>
      <c r="U221" s="320" t="s">
        <v>62</v>
      </c>
      <c r="V221" s="321">
        <v>45805.0</v>
      </c>
      <c r="W221" s="318"/>
      <c r="X221" s="322"/>
      <c r="Y221" s="318"/>
      <c r="Z221" s="322"/>
      <c r="AA221" s="318"/>
      <c r="AB221" s="318"/>
    </row>
    <row r="222">
      <c r="A222" s="312">
        <v>1568.0</v>
      </c>
      <c r="B222" s="313">
        <v>45737.0</v>
      </c>
      <c r="C222" s="281" t="s">
        <v>1932</v>
      </c>
      <c r="D222" s="281" t="s">
        <v>29</v>
      </c>
      <c r="E222" s="281" t="s">
        <v>89</v>
      </c>
      <c r="F222" s="281" t="s">
        <v>41</v>
      </c>
      <c r="G222" s="314">
        <v>1.5831256E7</v>
      </c>
      <c r="H222" s="281" t="s">
        <v>51</v>
      </c>
      <c r="I222" s="315" t="s">
        <v>1933</v>
      </c>
      <c r="J222" s="316" t="s">
        <v>1935</v>
      </c>
      <c r="K222" s="325" t="s">
        <v>92</v>
      </c>
      <c r="L222" s="318"/>
      <c r="M222" s="318"/>
      <c r="N222" s="318"/>
      <c r="O222" s="317"/>
      <c r="P222" s="322"/>
      <c r="Q222" s="318"/>
      <c r="R222" s="322"/>
      <c r="S222" s="318"/>
      <c r="T222" s="322"/>
      <c r="U222" s="320" t="s">
        <v>62</v>
      </c>
      <c r="V222" s="321">
        <v>45805.0</v>
      </c>
      <c r="W222" s="318"/>
      <c r="X222" s="322"/>
      <c r="Y222" s="318"/>
      <c r="Z222" s="322"/>
      <c r="AA222" s="318"/>
      <c r="AB222" s="318"/>
    </row>
    <row r="223">
      <c r="A223" s="312">
        <v>1567.0</v>
      </c>
      <c r="B223" s="313">
        <v>45737.0</v>
      </c>
      <c r="C223" s="281" t="s">
        <v>1936</v>
      </c>
      <c r="D223" s="425" t="s">
        <v>29</v>
      </c>
      <c r="E223" s="281" t="s">
        <v>89</v>
      </c>
      <c r="F223" s="281" t="s">
        <v>41</v>
      </c>
      <c r="G223" s="314">
        <v>1.583123E7</v>
      </c>
      <c r="H223" s="281" t="s">
        <v>51</v>
      </c>
      <c r="I223" s="315" t="s">
        <v>1933</v>
      </c>
      <c r="J223" s="316" t="s">
        <v>1937</v>
      </c>
      <c r="K223" s="325" t="s">
        <v>92</v>
      </c>
      <c r="L223" s="318" t="s">
        <v>1572</v>
      </c>
      <c r="M223" s="318" t="s">
        <v>1938</v>
      </c>
      <c r="N223" s="318"/>
      <c r="O223" s="317"/>
      <c r="P223" s="322"/>
      <c r="Q223" s="318"/>
      <c r="R223" s="322"/>
      <c r="S223" s="326" t="s">
        <v>62</v>
      </c>
      <c r="T223" s="321">
        <v>45905.0</v>
      </c>
      <c r="U223" s="320" t="s">
        <v>62</v>
      </c>
      <c r="V223" s="321">
        <v>45924.0</v>
      </c>
      <c r="W223" s="318"/>
      <c r="X223" s="322"/>
      <c r="Y223" s="318"/>
      <c r="Z223" s="322"/>
      <c r="AA223" s="318"/>
      <c r="AB223" s="318"/>
    </row>
    <row r="224">
      <c r="A224" s="269">
        <v>1566.0</v>
      </c>
      <c r="B224" s="367">
        <v>45737.0</v>
      </c>
      <c r="C224" s="260" t="s">
        <v>1450</v>
      </c>
      <c r="D224" s="260" t="s">
        <v>29</v>
      </c>
      <c r="E224" s="260" t="s">
        <v>89</v>
      </c>
      <c r="F224" s="260" t="s">
        <v>41</v>
      </c>
      <c r="G224" s="260">
        <v>1.5831181E7</v>
      </c>
      <c r="H224" s="260" t="s">
        <v>51</v>
      </c>
      <c r="I224" s="263" t="s">
        <v>1933</v>
      </c>
      <c r="J224" s="369" t="s">
        <v>1939</v>
      </c>
      <c r="K224" s="384" t="s">
        <v>92</v>
      </c>
      <c r="L224" s="273"/>
      <c r="M224" s="273"/>
      <c r="N224" s="273"/>
      <c r="O224" s="274"/>
      <c r="P224" s="275"/>
      <c r="Q224" s="274"/>
      <c r="R224" s="275"/>
      <c r="S224" s="274"/>
      <c r="T224" s="275"/>
      <c r="U224" s="370" t="s">
        <v>62</v>
      </c>
      <c r="V224" s="371">
        <v>45854.0</v>
      </c>
      <c r="W224" s="388"/>
      <c r="X224" s="275"/>
      <c r="Y224" s="274"/>
      <c r="Z224" s="275"/>
      <c r="AA224" s="277"/>
      <c r="AB224" s="277"/>
    </row>
    <row r="225">
      <c r="A225" s="269">
        <v>1565.0</v>
      </c>
      <c r="B225" s="367">
        <v>45737.0</v>
      </c>
      <c r="C225" s="260" t="s">
        <v>1450</v>
      </c>
      <c r="D225" s="260" t="s">
        <v>29</v>
      </c>
      <c r="E225" s="260" t="s">
        <v>89</v>
      </c>
      <c r="F225" s="260" t="s">
        <v>41</v>
      </c>
      <c r="G225" s="260">
        <v>1.5831158E7</v>
      </c>
      <c r="H225" s="260" t="s">
        <v>51</v>
      </c>
      <c r="I225" s="263" t="s">
        <v>1933</v>
      </c>
      <c r="J225" s="369" t="s">
        <v>1940</v>
      </c>
      <c r="K225" s="384" t="s">
        <v>92</v>
      </c>
      <c r="L225" s="273"/>
      <c r="M225" s="273"/>
      <c r="N225" s="273"/>
      <c r="O225" s="274"/>
      <c r="P225" s="275"/>
      <c r="Q225" s="274"/>
      <c r="R225" s="275"/>
      <c r="S225" s="274"/>
      <c r="T225" s="275"/>
      <c r="U225" s="370" t="s">
        <v>62</v>
      </c>
      <c r="V225" s="371">
        <v>45841.0</v>
      </c>
      <c r="W225" s="372"/>
      <c r="X225" s="275"/>
      <c r="Y225" s="274"/>
      <c r="Z225" s="275"/>
      <c r="AA225" s="277"/>
      <c r="AB225" s="277"/>
    </row>
    <row r="226">
      <c r="A226" s="269">
        <v>1564.0</v>
      </c>
      <c r="B226" s="367">
        <v>45737.0</v>
      </c>
      <c r="C226" s="260" t="s">
        <v>1450</v>
      </c>
      <c r="D226" s="260" t="s">
        <v>29</v>
      </c>
      <c r="E226" s="260" t="s">
        <v>89</v>
      </c>
      <c r="F226" s="260" t="s">
        <v>41</v>
      </c>
      <c r="G226" s="260">
        <v>1.5831157E7</v>
      </c>
      <c r="H226" s="260" t="s">
        <v>51</v>
      </c>
      <c r="I226" s="263" t="s">
        <v>1933</v>
      </c>
      <c r="J226" s="369" t="s">
        <v>1940</v>
      </c>
      <c r="K226" s="384" t="s">
        <v>92</v>
      </c>
      <c r="L226" s="273"/>
      <c r="M226" s="273"/>
      <c r="N226" s="273"/>
      <c r="O226" s="274"/>
      <c r="P226" s="275"/>
      <c r="Q226" s="274"/>
      <c r="R226" s="275"/>
      <c r="S226" s="274"/>
      <c r="T226" s="275"/>
      <c r="U226" s="370" t="s">
        <v>62</v>
      </c>
      <c r="V226" s="371">
        <v>45841.0</v>
      </c>
      <c r="W226" s="372"/>
      <c r="X226" s="275"/>
      <c r="Y226" s="274"/>
      <c r="Z226" s="275"/>
      <c r="AA226" s="277"/>
      <c r="AB226" s="277"/>
    </row>
    <row r="227">
      <c r="A227" s="269">
        <v>1563.0</v>
      </c>
      <c r="B227" s="367">
        <v>45737.0</v>
      </c>
      <c r="C227" s="260" t="s">
        <v>1450</v>
      </c>
      <c r="D227" s="260" t="s">
        <v>29</v>
      </c>
      <c r="E227" s="260" t="s">
        <v>89</v>
      </c>
      <c r="F227" s="260" t="s">
        <v>41</v>
      </c>
      <c r="G227" s="260">
        <v>1.5831156E7</v>
      </c>
      <c r="H227" s="260" t="s">
        <v>51</v>
      </c>
      <c r="I227" s="263" t="s">
        <v>1933</v>
      </c>
      <c r="J227" s="369" t="s">
        <v>1940</v>
      </c>
      <c r="K227" s="384" t="s">
        <v>92</v>
      </c>
      <c r="L227" s="273"/>
      <c r="M227" s="273"/>
      <c r="N227" s="273"/>
      <c r="O227" s="274"/>
      <c r="P227" s="275"/>
      <c r="Q227" s="274"/>
      <c r="R227" s="275"/>
      <c r="S227" s="274"/>
      <c r="T227" s="275"/>
      <c r="U227" s="370" t="s">
        <v>62</v>
      </c>
      <c r="V227" s="371">
        <v>45841.0</v>
      </c>
      <c r="W227" s="372"/>
      <c r="X227" s="275"/>
      <c r="Y227" s="274"/>
      <c r="Z227" s="275"/>
      <c r="AA227" s="277"/>
      <c r="AB227" s="277"/>
    </row>
    <row r="228">
      <c r="A228" s="269">
        <v>1562.0</v>
      </c>
      <c r="B228" s="367">
        <v>45743.0</v>
      </c>
      <c r="C228" s="260" t="s">
        <v>1921</v>
      </c>
      <c r="D228" s="260" t="s">
        <v>66</v>
      </c>
      <c r="E228" s="260" t="s">
        <v>411</v>
      </c>
      <c r="F228" s="260" t="s">
        <v>412</v>
      </c>
      <c r="G228" s="260" t="s">
        <v>50</v>
      </c>
      <c r="H228" s="260" t="s">
        <v>103</v>
      </c>
      <c r="I228" s="263" t="s">
        <v>1941</v>
      </c>
      <c r="J228" s="369" t="s">
        <v>1942</v>
      </c>
      <c r="K228" s="234" t="s">
        <v>1943</v>
      </c>
      <c r="L228" s="234" t="s">
        <v>1944</v>
      </c>
      <c r="M228" s="234" t="s">
        <v>1945</v>
      </c>
      <c r="N228" s="273"/>
      <c r="O228" s="370" t="s">
        <v>62</v>
      </c>
      <c r="P228" s="426">
        <v>45811.0</v>
      </c>
      <c r="Q228" s="370" t="s">
        <v>62</v>
      </c>
      <c r="R228" s="371">
        <v>45772.0</v>
      </c>
      <c r="S228" s="274"/>
      <c r="T228" s="275"/>
      <c r="U228" s="370" t="s">
        <v>62</v>
      </c>
      <c r="V228" s="371">
        <v>45811.0</v>
      </c>
      <c r="W228" s="372"/>
      <c r="X228" s="275"/>
      <c r="Y228" s="274"/>
      <c r="Z228" s="275"/>
      <c r="AA228" s="414">
        <v>2.0250509E7</v>
      </c>
      <c r="AB228" s="277"/>
    </row>
    <row r="229">
      <c r="A229" s="269">
        <v>1561.0</v>
      </c>
      <c r="B229" s="367">
        <v>45741.0</v>
      </c>
      <c r="C229" s="260" t="s">
        <v>373</v>
      </c>
      <c r="D229" s="260" t="s">
        <v>66</v>
      </c>
      <c r="E229" s="260" t="s">
        <v>374</v>
      </c>
      <c r="F229" s="260" t="s">
        <v>458</v>
      </c>
      <c r="G229" s="260" t="s">
        <v>50</v>
      </c>
      <c r="H229" s="260" t="s">
        <v>348</v>
      </c>
      <c r="I229" s="263" t="s">
        <v>1946</v>
      </c>
      <c r="J229" s="369" t="s">
        <v>1947</v>
      </c>
      <c r="K229" s="234" t="s">
        <v>461</v>
      </c>
      <c r="L229" s="234" t="s">
        <v>1417</v>
      </c>
      <c r="M229" s="234" t="s">
        <v>1948</v>
      </c>
      <c r="N229" s="273"/>
      <c r="O229" s="370" t="s">
        <v>62</v>
      </c>
      <c r="P229" s="371">
        <v>45741.0</v>
      </c>
      <c r="Q229" s="274"/>
      <c r="R229" s="275"/>
      <c r="S229" s="274"/>
      <c r="T229" s="275"/>
      <c r="U229" s="370" t="s">
        <v>150</v>
      </c>
      <c r="V229" s="275"/>
      <c r="W229" s="388"/>
      <c r="X229" s="275"/>
      <c r="Y229" s="274"/>
      <c r="Z229" s="275"/>
      <c r="AA229" s="277"/>
      <c r="AB229" s="277"/>
    </row>
    <row r="230">
      <c r="A230" s="269">
        <v>1560.0</v>
      </c>
      <c r="B230" s="397">
        <v>45741.0</v>
      </c>
      <c r="C230" s="398" t="s">
        <v>1949</v>
      </c>
      <c r="D230" s="398" t="s">
        <v>66</v>
      </c>
      <c r="E230" s="260" t="s">
        <v>759</v>
      </c>
      <c r="F230" s="260" t="s">
        <v>1950</v>
      </c>
      <c r="G230" s="260" t="s">
        <v>1951</v>
      </c>
      <c r="H230" s="260" t="s">
        <v>200</v>
      </c>
      <c r="I230" s="263" t="s">
        <v>1952</v>
      </c>
      <c r="J230" s="369" t="s">
        <v>1953</v>
      </c>
      <c r="K230" s="234" t="s">
        <v>1954</v>
      </c>
      <c r="L230" s="273"/>
      <c r="M230" s="273"/>
      <c r="N230" s="273"/>
      <c r="O230" s="274"/>
      <c r="P230" s="275"/>
      <c r="Q230" s="274"/>
      <c r="R230" s="275"/>
      <c r="S230" s="274"/>
      <c r="T230" s="275"/>
      <c r="U230" s="407" t="s">
        <v>150</v>
      </c>
      <c r="V230" s="275"/>
      <c r="W230" s="388"/>
      <c r="X230" s="275"/>
      <c r="Y230" s="274"/>
      <c r="Z230" s="275"/>
      <c r="AA230" s="277"/>
      <c r="AB230" s="277"/>
    </row>
    <row r="231">
      <c r="A231" s="269">
        <v>1559.0</v>
      </c>
      <c r="B231" s="367">
        <v>45740.0</v>
      </c>
      <c r="C231" s="260" t="s">
        <v>1955</v>
      </c>
      <c r="D231" s="260" t="s">
        <v>66</v>
      </c>
      <c r="E231" s="260" t="s">
        <v>1956</v>
      </c>
      <c r="F231" s="260" t="s">
        <v>41</v>
      </c>
      <c r="G231" s="260">
        <v>1.5482307E7</v>
      </c>
      <c r="H231" s="260" t="s">
        <v>103</v>
      </c>
      <c r="I231" s="263" t="s">
        <v>1957</v>
      </c>
      <c r="J231" s="369" t="s">
        <v>1958</v>
      </c>
      <c r="K231" s="234" t="s">
        <v>1959</v>
      </c>
      <c r="L231" s="273"/>
      <c r="M231" s="273"/>
      <c r="N231" s="273"/>
      <c r="O231" s="370" t="s">
        <v>62</v>
      </c>
      <c r="P231" s="371">
        <v>45761.0</v>
      </c>
      <c r="Q231" s="274"/>
      <c r="R231" s="275"/>
      <c r="S231" s="274"/>
      <c r="T231" s="275"/>
      <c r="U231" s="370" t="s">
        <v>62</v>
      </c>
      <c r="V231" s="275"/>
      <c r="W231" s="388"/>
      <c r="X231" s="275"/>
      <c r="Y231" s="274"/>
      <c r="Z231" s="275"/>
      <c r="AA231" s="277"/>
      <c r="AB231" s="277"/>
    </row>
    <row r="232">
      <c r="A232" s="278">
        <v>1558.0</v>
      </c>
      <c r="B232" s="307">
        <v>45737.0</v>
      </c>
      <c r="C232" s="285" t="s">
        <v>1960</v>
      </c>
      <c r="D232" s="324" t="s">
        <v>29</v>
      </c>
      <c r="E232" s="285" t="s">
        <v>89</v>
      </c>
      <c r="F232" s="285" t="s">
        <v>41</v>
      </c>
      <c r="G232" s="278">
        <v>1.5831125E7</v>
      </c>
      <c r="H232" s="285" t="s">
        <v>51</v>
      </c>
      <c r="I232" s="291" t="s">
        <v>1961</v>
      </c>
      <c r="J232" s="284" t="s">
        <v>1962</v>
      </c>
      <c r="K232" s="285" t="s">
        <v>92</v>
      </c>
      <c r="L232" s="286" t="s">
        <v>1963</v>
      </c>
      <c r="M232" s="286" t="s">
        <v>1964</v>
      </c>
      <c r="N232" s="287"/>
      <c r="O232" s="288" t="s">
        <v>62</v>
      </c>
      <c r="P232" s="289">
        <v>45966.0</v>
      </c>
      <c r="Q232" s="287"/>
      <c r="R232" s="290"/>
      <c r="S232" s="287"/>
      <c r="T232" s="290"/>
      <c r="U232" s="288" t="s">
        <v>62</v>
      </c>
      <c r="V232" s="289">
        <v>45972.0</v>
      </c>
      <c r="W232" s="287"/>
      <c r="X232" s="290"/>
      <c r="Y232" s="287"/>
      <c r="Z232" s="290"/>
      <c r="AA232" s="287"/>
      <c r="AB232" s="287"/>
    </row>
    <row r="233">
      <c r="A233" s="269">
        <v>1557.0</v>
      </c>
      <c r="B233" s="367">
        <v>45735.0</v>
      </c>
      <c r="C233" s="260" t="s">
        <v>1965</v>
      </c>
      <c r="D233" s="260" t="s">
        <v>66</v>
      </c>
      <c r="E233" s="260" t="s">
        <v>1966</v>
      </c>
      <c r="F233" s="368"/>
      <c r="G233" s="260" t="s">
        <v>1967</v>
      </c>
      <c r="H233" s="260" t="s">
        <v>200</v>
      </c>
      <c r="I233" s="263" t="s">
        <v>1968</v>
      </c>
      <c r="J233" s="369" t="s">
        <v>1969</v>
      </c>
      <c r="K233" s="234" t="s">
        <v>1970</v>
      </c>
      <c r="L233" s="234" t="s">
        <v>1971</v>
      </c>
      <c r="M233" s="234" t="s">
        <v>1972</v>
      </c>
      <c r="N233" s="273"/>
      <c r="O233" s="370" t="s">
        <v>1563</v>
      </c>
      <c r="P233" s="371">
        <v>45737.0</v>
      </c>
      <c r="Q233" s="274"/>
      <c r="R233" s="275"/>
      <c r="S233" s="274"/>
      <c r="T233" s="275"/>
      <c r="U233" s="370" t="s">
        <v>1563</v>
      </c>
      <c r="V233" s="371">
        <v>45738.0</v>
      </c>
      <c r="W233" s="388"/>
      <c r="X233" s="275"/>
      <c r="Y233" s="274"/>
      <c r="Z233" s="275"/>
      <c r="AA233" s="277"/>
      <c r="AB233" s="277"/>
    </row>
    <row r="234">
      <c r="A234" s="269">
        <v>1556.0</v>
      </c>
      <c r="B234" s="367">
        <v>45735.0</v>
      </c>
      <c r="C234" s="260" t="s">
        <v>1973</v>
      </c>
      <c r="D234" s="260" t="s">
        <v>66</v>
      </c>
      <c r="E234" s="260" t="s">
        <v>1974</v>
      </c>
      <c r="F234" s="260" t="s">
        <v>1305</v>
      </c>
      <c r="G234" s="260">
        <v>1.9110065E7</v>
      </c>
      <c r="H234" s="260" t="s">
        <v>200</v>
      </c>
      <c r="I234" s="263" t="s">
        <v>1975</v>
      </c>
      <c r="J234" s="369" t="s">
        <v>1976</v>
      </c>
      <c r="K234" s="234" t="s">
        <v>1309</v>
      </c>
      <c r="L234" s="234" t="s">
        <v>1977</v>
      </c>
      <c r="M234" s="273"/>
      <c r="N234" s="273"/>
      <c r="O234" s="370" t="s">
        <v>62</v>
      </c>
      <c r="P234" s="275"/>
      <c r="Q234" s="274"/>
      <c r="R234" s="275"/>
      <c r="S234" s="274"/>
      <c r="T234" s="275"/>
      <c r="U234" s="370" t="s">
        <v>150</v>
      </c>
      <c r="V234" s="275"/>
      <c r="W234" s="372"/>
      <c r="X234" s="275"/>
      <c r="Y234" s="274"/>
      <c r="Z234" s="275"/>
      <c r="AA234" s="391">
        <v>2.0250613E7</v>
      </c>
      <c r="AB234" s="277"/>
    </row>
    <row r="235">
      <c r="A235" s="269">
        <v>1555.0</v>
      </c>
      <c r="B235" s="367">
        <v>45735.0</v>
      </c>
      <c r="C235" s="260" t="s">
        <v>1978</v>
      </c>
      <c r="D235" s="368"/>
      <c r="E235" s="260" t="s">
        <v>1979</v>
      </c>
      <c r="F235" s="260" t="s">
        <v>49</v>
      </c>
      <c r="G235" s="260">
        <v>1.5781634E7</v>
      </c>
      <c r="H235" s="260" t="s">
        <v>32</v>
      </c>
      <c r="I235" s="263" t="s">
        <v>1980</v>
      </c>
      <c r="J235" s="369" t="s">
        <v>1981</v>
      </c>
      <c r="K235" s="234" t="s">
        <v>1244</v>
      </c>
      <c r="L235" s="234" t="s">
        <v>1830</v>
      </c>
      <c r="M235" s="234" t="s">
        <v>1982</v>
      </c>
      <c r="N235" s="273"/>
      <c r="O235" s="274"/>
      <c r="P235" s="275"/>
      <c r="Q235" s="274"/>
      <c r="R235" s="275"/>
      <c r="S235" s="274"/>
      <c r="T235" s="275"/>
      <c r="U235" s="370" t="s">
        <v>62</v>
      </c>
      <c r="V235" s="371">
        <v>45740.0</v>
      </c>
      <c r="W235" s="388"/>
      <c r="X235" s="275"/>
      <c r="Y235" s="274"/>
      <c r="Z235" s="275"/>
      <c r="AA235" s="277"/>
      <c r="AB235" s="277"/>
    </row>
    <row r="236">
      <c r="A236" s="416">
        <v>1552.0</v>
      </c>
      <c r="B236" s="417">
        <v>45597.0</v>
      </c>
      <c r="C236" s="418" t="s">
        <v>1949</v>
      </c>
      <c r="D236" s="418" t="s">
        <v>50</v>
      </c>
      <c r="E236" s="418" t="s">
        <v>759</v>
      </c>
      <c r="F236" s="418" t="s">
        <v>49</v>
      </c>
      <c r="G236" s="418" t="s">
        <v>1983</v>
      </c>
      <c r="H236" s="418" t="s">
        <v>200</v>
      </c>
      <c r="I236" s="420" t="s">
        <v>1984</v>
      </c>
      <c r="J236" s="352" t="s">
        <v>1985</v>
      </c>
      <c r="K236" s="366" t="s">
        <v>1986</v>
      </c>
      <c r="L236" s="319"/>
      <c r="M236" s="319"/>
      <c r="N236" s="319"/>
      <c r="O236" s="421" t="s">
        <v>62</v>
      </c>
      <c r="P236" s="427">
        <v>45734.0</v>
      </c>
      <c r="Q236" s="319"/>
      <c r="R236" s="422"/>
      <c r="S236" s="319"/>
      <c r="T236" s="422"/>
      <c r="U236" s="421" t="s">
        <v>62</v>
      </c>
      <c r="V236" s="427">
        <v>45749.0</v>
      </c>
      <c r="W236" s="423"/>
      <c r="X236" s="422"/>
      <c r="Y236" s="319"/>
      <c r="Z236" s="422"/>
      <c r="AA236" s="319"/>
      <c r="AB236" s="319"/>
    </row>
    <row r="237">
      <c r="A237" s="416">
        <v>1551.0</v>
      </c>
      <c r="B237" s="417">
        <v>45597.0</v>
      </c>
      <c r="C237" s="418" t="s">
        <v>1949</v>
      </c>
      <c r="D237" s="418" t="s">
        <v>50</v>
      </c>
      <c r="E237" s="418" t="s">
        <v>759</v>
      </c>
      <c r="F237" s="418" t="s">
        <v>49</v>
      </c>
      <c r="G237" s="418" t="s">
        <v>1987</v>
      </c>
      <c r="H237" s="418" t="s">
        <v>200</v>
      </c>
      <c r="I237" s="420" t="s">
        <v>1988</v>
      </c>
      <c r="J237" s="352" t="s">
        <v>1989</v>
      </c>
      <c r="K237" s="366" t="s">
        <v>1986</v>
      </c>
      <c r="L237" s="319"/>
      <c r="M237" s="319"/>
      <c r="N237" s="319"/>
      <c r="O237" s="421" t="s">
        <v>62</v>
      </c>
      <c r="P237" s="427">
        <v>45734.0</v>
      </c>
      <c r="Q237" s="319"/>
      <c r="R237" s="422"/>
      <c r="S237" s="319"/>
      <c r="T237" s="422"/>
      <c r="U237" s="421" t="s">
        <v>62</v>
      </c>
      <c r="V237" s="427">
        <v>45749.0</v>
      </c>
      <c r="W237" s="423"/>
      <c r="X237" s="422"/>
      <c r="Y237" s="319"/>
      <c r="Z237" s="422"/>
      <c r="AA237" s="319"/>
      <c r="AB237" s="319"/>
    </row>
    <row r="238">
      <c r="A238" s="269">
        <v>1550.0</v>
      </c>
      <c r="B238" s="367">
        <v>45733.0</v>
      </c>
      <c r="C238" s="260" t="s">
        <v>1990</v>
      </c>
      <c r="D238" s="260" t="s">
        <v>29</v>
      </c>
      <c r="E238" s="260" t="s">
        <v>506</v>
      </c>
      <c r="F238" s="260" t="s">
        <v>49</v>
      </c>
      <c r="G238" s="260">
        <v>1.7242343E7</v>
      </c>
      <c r="H238" s="260" t="s">
        <v>200</v>
      </c>
      <c r="I238" s="263" t="s">
        <v>1991</v>
      </c>
      <c r="J238" s="369" t="s">
        <v>1992</v>
      </c>
      <c r="K238" s="234" t="s">
        <v>811</v>
      </c>
      <c r="L238" s="234" t="s">
        <v>1993</v>
      </c>
      <c r="M238" s="234" t="s">
        <v>1994</v>
      </c>
      <c r="N238" s="273"/>
      <c r="O238" s="274"/>
      <c r="P238" s="275"/>
      <c r="Q238" s="274"/>
      <c r="R238" s="275"/>
      <c r="S238" s="274"/>
      <c r="T238" s="275"/>
      <c r="U238" s="370" t="s">
        <v>1563</v>
      </c>
      <c r="V238" s="371">
        <v>45811.0</v>
      </c>
      <c r="W238" s="372"/>
      <c r="X238" s="275"/>
      <c r="Y238" s="274"/>
      <c r="Z238" s="275"/>
      <c r="AA238" s="414" t="s">
        <v>1995</v>
      </c>
      <c r="AB238" s="277"/>
    </row>
    <row r="239">
      <c r="A239" s="269">
        <v>1549.0</v>
      </c>
      <c r="B239" s="367">
        <v>45729.0</v>
      </c>
      <c r="C239" s="260" t="s">
        <v>1996</v>
      </c>
      <c r="D239" s="368"/>
      <c r="E239" s="260" t="s">
        <v>1386</v>
      </c>
      <c r="F239" s="368"/>
      <c r="G239" s="260">
        <v>1.5800352E7</v>
      </c>
      <c r="H239" s="260" t="s">
        <v>200</v>
      </c>
      <c r="I239" s="263" t="s">
        <v>1997</v>
      </c>
      <c r="J239" s="369" t="s">
        <v>1998</v>
      </c>
      <c r="K239" s="234" t="s">
        <v>1999</v>
      </c>
      <c r="L239" s="234" t="s">
        <v>300</v>
      </c>
      <c r="M239" s="273"/>
      <c r="N239" s="273"/>
      <c r="O239" s="370" t="s">
        <v>1563</v>
      </c>
      <c r="P239" s="371">
        <v>45729.0</v>
      </c>
      <c r="Q239" s="274"/>
      <c r="R239" s="275"/>
      <c r="S239" s="274"/>
      <c r="T239" s="275"/>
      <c r="U239" s="370" t="s">
        <v>1563</v>
      </c>
      <c r="V239" s="371">
        <v>45743.0</v>
      </c>
      <c r="W239" s="388"/>
      <c r="X239" s="275"/>
      <c r="Y239" s="274"/>
      <c r="Z239" s="275"/>
      <c r="AA239" s="277"/>
      <c r="AB239" s="277"/>
    </row>
    <row r="240">
      <c r="A240" s="269">
        <v>1548.0</v>
      </c>
      <c r="B240" s="367">
        <v>45729.0</v>
      </c>
      <c r="C240" s="260" t="s">
        <v>1996</v>
      </c>
      <c r="D240" s="368"/>
      <c r="E240" s="260" t="s">
        <v>1386</v>
      </c>
      <c r="F240" s="260" t="s">
        <v>261</v>
      </c>
      <c r="G240" s="260">
        <v>1.5800353E7</v>
      </c>
      <c r="H240" s="260" t="s">
        <v>200</v>
      </c>
      <c r="I240" s="263" t="s">
        <v>2000</v>
      </c>
      <c r="J240" s="369" t="s">
        <v>2001</v>
      </c>
      <c r="K240" s="234" t="s">
        <v>2002</v>
      </c>
      <c r="L240" s="234" t="s">
        <v>1473</v>
      </c>
      <c r="M240" s="234" t="s">
        <v>2003</v>
      </c>
      <c r="N240" s="273"/>
      <c r="O240" s="370" t="s">
        <v>1563</v>
      </c>
      <c r="P240" s="371">
        <v>45740.0</v>
      </c>
      <c r="Q240" s="274"/>
      <c r="R240" s="275"/>
      <c r="S240" s="274"/>
      <c r="T240" s="275"/>
      <c r="U240" s="370" t="s">
        <v>1563</v>
      </c>
      <c r="V240" s="371">
        <v>45743.0</v>
      </c>
      <c r="W240" s="388"/>
      <c r="X240" s="275"/>
      <c r="Y240" s="274"/>
      <c r="Z240" s="275"/>
      <c r="AA240" s="277"/>
      <c r="AB240" s="277"/>
    </row>
    <row r="241">
      <c r="A241" s="269">
        <v>1544.0</v>
      </c>
      <c r="B241" s="270">
        <v>45726.0</v>
      </c>
      <c r="C241" s="234" t="s">
        <v>211</v>
      </c>
      <c r="D241" s="234" t="s">
        <v>66</v>
      </c>
      <c r="E241" s="234" t="s">
        <v>212</v>
      </c>
      <c r="F241" s="234" t="s">
        <v>2004</v>
      </c>
      <c r="G241" s="234" t="s">
        <v>2005</v>
      </c>
      <c r="H241" s="234" t="s">
        <v>32</v>
      </c>
      <c r="I241" s="238" t="s">
        <v>2006</v>
      </c>
      <c r="J241" s="394" t="s">
        <v>2007</v>
      </c>
      <c r="K241" s="234" t="s">
        <v>2008</v>
      </c>
      <c r="L241" s="273"/>
      <c r="M241" s="234" t="s">
        <v>2009</v>
      </c>
      <c r="N241" s="273"/>
      <c r="O241" s="274"/>
      <c r="P241" s="275"/>
      <c r="Q241" s="274"/>
      <c r="R241" s="275"/>
      <c r="S241" s="274"/>
      <c r="T241" s="275"/>
      <c r="U241" s="370" t="s">
        <v>150</v>
      </c>
      <c r="V241" s="275"/>
      <c r="W241" s="372"/>
      <c r="X241" s="275"/>
      <c r="Y241" s="274"/>
      <c r="Z241" s="275"/>
      <c r="AA241" s="277"/>
      <c r="AB241" s="277"/>
    </row>
    <row r="242">
      <c r="A242" s="312">
        <v>1542.0</v>
      </c>
      <c r="B242" s="313">
        <v>45723.0</v>
      </c>
      <c r="C242" s="281" t="s">
        <v>2010</v>
      </c>
      <c r="D242" s="281" t="s">
        <v>29</v>
      </c>
      <c r="E242" s="281" t="s">
        <v>1312</v>
      </c>
      <c r="F242" s="281" t="s">
        <v>1313</v>
      </c>
      <c r="G242" s="314">
        <v>1.3780655E7</v>
      </c>
      <c r="H242" s="281" t="s">
        <v>200</v>
      </c>
      <c r="I242" s="315" t="s">
        <v>2011</v>
      </c>
      <c r="J242" s="316" t="s">
        <v>2012</v>
      </c>
      <c r="K242" s="317" t="s">
        <v>1316</v>
      </c>
      <c r="L242" s="318" t="s">
        <v>2013</v>
      </c>
      <c r="M242" s="318" t="s">
        <v>2014</v>
      </c>
      <c r="N242" s="318"/>
      <c r="O242" s="320" t="s">
        <v>2015</v>
      </c>
      <c r="P242" s="322"/>
      <c r="Q242" s="318"/>
      <c r="R242" s="322"/>
      <c r="S242" s="318"/>
      <c r="T242" s="322"/>
      <c r="U242" s="320" t="s">
        <v>1563</v>
      </c>
      <c r="V242" s="321">
        <v>45790.0</v>
      </c>
      <c r="W242" s="349"/>
      <c r="X242" s="322"/>
      <c r="Y242" s="318"/>
      <c r="Z242" s="322"/>
      <c r="AA242" s="318"/>
      <c r="AB242" s="318"/>
    </row>
    <row r="243">
      <c r="A243" s="312">
        <v>1541.0</v>
      </c>
      <c r="B243" s="313">
        <v>45723.0</v>
      </c>
      <c r="C243" s="281" t="s">
        <v>2010</v>
      </c>
      <c r="D243" s="281" t="s">
        <v>29</v>
      </c>
      <c r="E243" s="281" t="s">
        <v>1312</v>
      </c>
      <c r="F243" s="281" t="s">
        <v>1313</v>
      </c>
      <c r="G243" s="314">
        <v>1.3780654E7</v>
      </c>
      <c r="H243" s="281" t="s">
        <v>200</v>
      </c>
      <c r="I243" s="315" t="s">
        <v>2016</v>
      </c>
      <c r="J243" s="316" t="s">
        <v>2017</v>
      </c>
      <c r="K243" s="317" t="s">
        <v>1316</v>
      </c>
      <c r="L243" s="318" t="s">
        <v>2018</v>
      </c>
      <c r="M243" s="365" t="s">
        <v>2019</v>
      </c>
      <c r="N243" s="318"/>
      <c r="O243" s="317"/>
      <c r="P243" s="322"/>
      <c r="Q243" s="326" t="s">
        <v>62</v>
      </c>
      <c r="R243" s="321">
        <v>45762.0</v>
      </c>
      <c r="S243" s="318"/>
      <c r="T243" s="322"/>
      <c r="U243" s="320" t="s">
        <v>1563</v>
      </c>
      <c r="V243" s="321">
        <v>45790.0</v>
      </c>
      <c r="W243" s="349"/>
      <c r="X243" s="322"/>
      <c r="Y243" s="318"/>
      <c r="Z243" s="322"/>
      <c r="AA243" s="318"/>
      <c r="AB243" s="318"/>
    </row>
    <row r="244">
      <c r="A244" s="269">
        <v>1540.0</v>
      </c>
      <c r="B244" s="367">
        <v>45723.0</v>
      </c>
      <c r="C244" s="260" t="s">
        <v>2020</v>
      </c>
      <c r="D244" s="260" t="s">
        <v>66</v>
      </c>
      <c r="E244" s="260" t="s">
        <v>2021</v>
      </c>
      <c r="F244" s="260" t="s">
        <v>49</v>
      </c>
      <c r="G244" s="260">
        <v>1.6363689E7</v>
      </c>
      <c r="H244" s="260" t="s">
        <v>42</v>
      </c>
      <c r="I244" s="263" t="s">
        <v>2022</v>
      </c>
      <c r="J244" s="369" t="s">
        <v>2023</v>
      </c>
      <c r="K244" s="273"/>
      <c r="L244" s="273"/>
      <c r="M244" s="273"/>
      <c r="N244" s="273"/>
      <c r="O244" s="370" t="s">
        <v>62</v>
      </c>
      <c r="P244" s="371">
        <v>45866.0</v>
      </c>
      <c r="Q244" s="274"/>
      <c r="R244" s="275"/>
      <c r="S244" s="274"/>
      <c r="T244" s="275"/>
      <c r="U244" s="370" t="s">
        <v>62</v>
      </c>
      <c r="V244" s="275"/>
      <c r="W244" s="388"/>
      <c r="X244" s="275"/>
      <c r="Y244" s="274"/>
      <c r="Z244" s="275"/>
      <c r="AA244" s="277"/>
      <c r="AB244" s="277"/>
    </row>
    <row r="245">
      <c r="A245" s="269">
        <v>1539.0</v>
      </c>
      <c r="B245" s="270">
        <v>45722.0</v>
      </c>
      <c r="C245" s="234" t="s">
        <v>2024</v>
      </c>
      <c r="D245" s="234" t="s">
        <v>66</v>
      </c>
      <c r="E245" s="234" t="s">
        <v>885</v>
      </c>
      <c r="F245" s="234" t="s">
        <v>2025</v>
      </c>
      <c r="G245" s="234">
        <v>1.5122388E7</v>
      </c>
      <c r="H245" s="234" t="s">
        <v>32</v>
      </c>
      <c r="I245" s="243"/>
      <c r="J245" s="272" t="s">
        <v>2026</v>
      </c>
      <c r="K245" s="234" t="s">
        <v>2027</v>
      </c>
      <c r="L245" s="273"/>
      <c r="M245" s="234" t="s">
        <v>2028</v>
      </c>
      <c r="N245" s="273"/>
      <c r="O245" s="274"/>
      <c r="P245" s="275"/>
      <c r="Q245" s="274"/>
      <c r="R245" s="275"/>
      <c r="S245" s="274"/>
      <c r="T245" s="275"/>
      <c r="U245" s="274"/>
      <c r="V245" s="275"/>
      <c r="W245" s="276" t="s">
        <v>2029</v>
      </c>
      <c r="X245" s="275"/>
      <c r="Y245" s="274"/>
      <c r="Z245" s="275"/>
      <c r="AA245" s="277"/>
      <c r="AB245" s="277"/>
    </row>
    <row r="246">
      <c r="A246" s="269">
        <v>1538.0</v>
      </c>
      <c r="B246" s="270">
        <v>45722.0</v>
      </c>
      <c r="C246" s="234" t="s">
        <v>2024</v>
      </c>
      <c r="D246" s="234" t="s">
        <v>66</v>
      </c>
      <c r="E246" s="234" t="s">
        <v>885</v>
      </c>
      <c r="F246" s="234" t="s">
        <v>2025</v>
      </c>
      <c r="G246" s="234">
        <v>1.5122387E7</v>
      </c>
      <c r="H246" s="234" t="s">
        <v>32</v>
      </c>
      <c r="I246" s="238" t="s">
        <v>2030</v>
      </c>
      <c r="J246" s="272" t="s">
        <v>2026</v>
      </c>
      <c r="K246" s="234" t="s">
        <v>2027</v>
      </c>
      <c r="L246" s="273"/>
      <c r="M246" s="234" t="s">
        <v>2028</v>
      </c>
      <c r="N246" s="273"/>
      <c r="O246" s="274"/>
      <c r="P246" s="275"/>
      <c r="Q246" s="274"/>
      <c r="R246" s="275"/>
      <c r="S246" s="274"/>
      <c r="T246" s="275"/>
      <c r="U246" s="274"/>
      <c r="V246" s="275"/>
      <c r="W246" s="276" t="s">
        <v>2029</v>
      </c>
      <c r="X246" s="275"/>
      <c r="Y246" s="274"/>
      <c r="Z246" s="275"/>
      <c r="AA246" s="277"/>
      <c r="AB246" s="277"/>
    </row>
    <row r="247">
      <c r="A247" s="312">
        <v>1537.0</v>
      </c>
      <c r="B247" s="313">
        <v>45722.0</v>
      </c>
      <c r="C247" s="281" t="s">
        <v>2031</v>
      </c>
      <c r="D247" s="281" t="s">
        <v>29</v>
      </c>
      <c r="E247" s="281" t="s">
        <v>227</v>
      </c>
      <c r="F247" s="281" t="s">
        <v>228</v>
      </c>
      <c r="G247" s="314">
        <v>1.9620499E7</v>
      </c>
      <c r="H247" s="281" t="s">
        <v>135</v>
      </c>
      <c r="I247" s="315" t="s">
        <v>2032</v>
      </c>
      <c r="J247" s="316" t="s">
        <v>2033</v>
      </c>
      <c r="K247" s="317" t="s">
        <v>231</v>
      </c>
      <c r="L247" s="318" t="s">
        <v>36</v>
      </c>
      <c r="M247" s="318" t="s">
        <v>1619</v>
      </c>
      <c r="N247" s="318"/>
      <c r="O247" s="320" t="s">
        <v>62</v>
      </c>
      <c r="P247" s="321">
        <v>45898.0</v>
      </c>
      <c r="Q247" s="318"/>
      <c r="R247" s="322"/>
      <c r="S247" s="318"/>
      <c r="T247" s="322"/>
      <c r="U247" s="320" t="s">
        <v>62</v>
      </c>
      <c r="V247" s="321">
        <v>45916.0</v>
      </c>
      <c r="W247" s="349"/>
      <c r="X247" s="322"/>
      <c r="Y247" s="318"/>
      <c r="Z247" s="322"/>
      <c r="AA247" s="318"/>
      <c r="AB247" s="318"/>
    </row>
    <row r="248">
      <c r="A248" s="269">
        <v>1536.0</v>
      </c>
      <c r="B248" s="367">
        <v>45722.0</v>
      </c>
      <c r="C248" s="260" t="s">
        <v>2034</v>
      </c>
      <c r="D248" s="260" t="s">
        <v>29</v>
      </c>
      <c r="E248" s="260" t="s">
        <v>2035</v>
      </c>
      <c r="F248" s="260" t="s">
        <v>41</v>
      </c>
      <c r="G248" s="260">
        <v>1.6601067E7</v>
      </c>
      <c r="H248" s="260" t="s">
        <v>51</v>
      </c>
      <c r="I248" s="263" t="s">
        <v>2036</v>
      </c>
      <c r="J248" s="369" t="s">
        <v>2037</v>
      </c>
      <c r="K248" s="234" t="s">
        <v>2038</v>
      </c>
      <c r="L248" s="234" t="s">
        <v>812</v>
      </c>
      <c r="M248" s="234" t="s">
        <v>610</v>
      </c>
      <c r="N248" s="273"/>
      <c r="O248" s="370" t="s">
        <v>62</v>
      </c>
      <c r="P248" s="371">
        <v>45748.0</v>
      </c>
      <c r="Q248" s="370" t="s">
        <v>62</v>
      </c>
      <c r="R248" s="371">
        <v>45748.0</v>
      </c>
      <c r="S248" s="274"/>
      <c r="T248" s="275"/>
      <c r="U248" s="370" t="s">
        <v>62</v>
      </c>
      <c r="V248" s="275"/>
      <c r="W248" s="388"/>
      <c r="X248" s="275"/>
      <c r="Y248" s="274"/>
      <c r="Z248" s="275"/>
      <c r="AA248" s="277"/>
      <c r="AB248" s="277"/>
    </row>
    <row r="249">
      <c r="A249" s="269">
        <v>1535.0</v>
      </c>
      <c r="B249" s="270">
        <v>45623.0</v>
      </c>
      <c r="C249" s="234" t="s">
        <v>100</v>
      </c>
      <c r="D249" s="234" t="s">
        <v>66</v>
      </c>
      <c r="E249" s="234" t="s">
        <v>101</v>
      </c>
      <c r="F249" s="234" t="s">
        <v>2039</v>
      </c>
      <c r="G249" s="234">
        <v>1.7860025E7</v>
      </c>
      <c r="H249" s="234" t="s">
        <v>103</v>
      </c>
      <c r="I249" s="271" t="s">
        <v>2040</v>
      </c>
      <c r="J249" s="272" t="s">
        <v>2041</v>
      </c>
      <c r="K249" s="273"/>
      <c r="L249" s="234"/>
      <c r="M249" s="234"/>
      <c r="N249" s="273"/>
      <c r="O249" s="274"/>
      <c r="P249" s="275"/>
      <c r="Q249" s="274"/>
      <c r="R249" s="275"/>
      <c r="S249" s="274"/>
      <c r="T249" s="275"/>
      <c r="U249" s="274"/>
      <c r="V249" s="275"/>
      <c r="W249" s="276" t="s">
        <v>1222</v>
      </c>
      <c r="X249" s="275"/>
      <c r="Y249" s="274"/>
      <c r="Z249" s="275"/>
      <c r="AA249" s="277"/>
      <c r="AB249" s="277"/>
    </row>
    <row r="250">
      <c r="A250" s="269">
        <v>1534.0</v>
      </c>
      <c r="B250" s="367">
        <v>45722.0</v>
      </c>
      <c r="C250" s="260" t="s">
        <v>2042</v>
      </c>
      <c r="D250" s="260" t="s">
        <v>29</v>
      </c>
      <c r="E250" s="260" t="s">
        <v>1979</v>
      </c>
      <c r="F250" s="260" t="s">
        <v>49</v>
      </c>
      <c r="G250" s="260">
        <v>1.5781632E7</v>
      </c>
      <c r="H250" s="260" t="s">
        <v>32</v>
      </c>
      <c r="I250" s="263" t="s">
        <v>2043</v>
      </c>
      <c r="J250" s="369" t="s">
        <v>2044</v>
      </c>
      <c r="K250" s="234" t="s">
        <v>1244</v>
      </c>
      <c r="L250" s="234" t="s">
        <v>1684</v>
      </c>
      <c r="M250" s="234" t="s">
        <v>610</v>
      </c>
      <c r="N250" s="273"/>
      <c r="O250" s="274"/>
      <c r="P250" s="275"/>
      <c r="Q250" s="370" t="s">
        <v>62</v>
      </c>
      <c r="R250" s="371">
        <v>45723.0</v>
      </c>
      <c r="S250" s="274"/>
      <c r="T250" s="275"/>
      <c r="U250" s="370" t="s">
        <v>62</v>
      </c>
      <c r="V250" s="371">
        <v>45778.0</v>
      </c>
      <c r="W250" s="388"/>
      <c r="X250" s="275"/>
      <c r="Y250" s="274"/>
      <c r="Z250" s="275"/>
      <c r="AA250" s="277"/>
      <c r="AB250" s="277"/>
    </row>
    <row r="251">
      <c r="A251" s="269">
        <v>1533.0</v>
      </c>
      <c r="B251" s="367">
        <v>45722.0</v>
      </c>
      <c r="C251" s="260" t="s">
        <v>2045</v>
      </c>
      <c r="D251" s="260" t="s">
        <v>29</v>
      </c>
      <c r="E251" s="260" t="s">
        <v>1979</v>
      </c>
      <c r="F251" s="260" t="s">
        <v>49</v>
      </c>
      <c r="G251" s="260">
        <v>1.5781631E7</v>
      </c>
      <c r="H251" s="260" t="s">
        <v>32</v>
      </c>
      <c r="I251" s="263" t="s">
        <v>2046</v>
      </c>
      <c r="J251" s="369" t="s">
        <v>2047</v>
      </c>
      <c r="K251" s="234" t="s">
        <v>1244</v>
      </c>
      <c r="L251" s="234" t="s">
        <v>2048</v>
      </c>
      <c r="M251" s="234" t="s">
        <v>1251</v>
      </c>
      <c r="N251" s="273"/>
      <c r="O251" s="274"/>
      <c r="P251" s="275"/>
      <c r="Q251" s="370" t="s">
        <v>62</v>
      </c>
      <c r="R251" s="371">
        <v>45723.0</v>
      </c>
      <c r="S251" s="274"/>
      <c r="T251" s="275"/>
      <c r="U251" s="370" t="s">
        <v>62</v>
      </c>
      <c r="V251" s="371">
        <v>45778.0</v>
      </c>
      <c r="W251" s="388"/>
      <c r="X251" s="275"/>
      <c r="Y251" s="274"/>
      <c r="Z251" s="275"/>
      <c r="AA251" s="277"/>
      <c r="AB251" s="277"/>
    </row>
    <row r="252">
      <c r="A252" s="269">
        <v>1532.0</v>
      </c>
      <c r="B252" s="367">
        <v>45722.0</v>
      </c>
      <c r="C252" s="260" t="s">
        <v>2049</v>
      </c>
      <c r="D252" s="260" t="s">
        <v>29</v>
      </c>
      <c r="E252" s="260" t="s">
        <v>1979</v>
      </c>
      <c r="F252" s="260" t="s">
        <v>49</v>
      </c>
      <c r="G252" s="260">
        <v>1.578163E7</v>
      </c>
      <c r="H252" s="260" t="s">
        <v>32</v>
      </c>
      <c r="I252" s="263" t="s">
        <v>2050</v>
      </c>
      <c r="J252" s="369" t="s">
        <v>2051</v>
      </c>
      <c r="K252" s="234" t="s">
        <v>1244</v>
      </c>
      <c r="L252" s="234" t="s">
        <v>2052</v>
      </c>
      <c r="M252" s="234" t="s">
        <v>1234</v>
      </c>
      <c r="N252" s="273"/>
      <c r="O252" s="274"/>
      <c r="P252" s="275"/>
      <c r="Q252" s="370" t="s">
        <v>62</v>
      </c>
      <c r="R252" s="371">
        <v>45723.0</v>
      </c>
      <c r="S252" s="274"/>
      <c r="T252" s="275"/>
      <c r="U252" s="370" t="s">
        <v>62</v>
      </c>
      <c r="V252" s="371">
        <v>45770.0</v>
      </c>
      <c r="W252" s="388"/>
      <c r="X252" s="275"/>
      <c r="Y252" s="274"/>
      <c r="Z252" s="275"/>
      <c r="AA252" s="277"/>
      <c r="AB252" s="277"/>
    </row>
    <row r="253">
      <c r="A253" s="269">
        <v>1531.0</v>
      </c>
      <c r="B253" s="367">
        <v>45721.0</v>
      </c>
      <c r="C253" s="260" t="s">
        <v>1620</v>
      </c>
      <c r="D253" s="260" t="s">
        <v>66</v>
      </c>
      <c r="E253" s="260" t="s">
        <v>506</v>
      </c>
      <c r="F253" s="260" t="s">
        <v>49</v>
      </c>
      <c r="G253" s="260" t="s">
        <v>2053</v>
      </c>
      <c r="H253" s="260" t="s">
        <v>200</v>
      </c>
      <c r="I253" s="263" t="s">
        <v>2054</v>
      </c>
      <c r="J253" s="428" t="s">
        <v>2055</v>
      </c>
      <c r="K253" s="234" t="s">
        <v>510</v>
      </c>
      <c r="L253" s="234" t="s">
        <v>2056</v>
      </c>
      <c r="M253" s="234" t="s">
        <v>2057</v>
      </c>
      <c r="N253" s="273"/>
      <c r="O253" s="370"/>
      <c r="P253" s="371"/>
      <c r="Q253" s="370" t="s">
        <v>62</v>
      </c>
      <c r="R253" s="371">
        <v>45737.0</v>
      </c>
      <c r="S253" s="274"/>
      <c r="T253" s="275"/>
      <c r="U253" s="407" t="s">
        <v>150</v>
      </c>
      <c r="V253" s="275"/>
      <c r="W253" s="388"/>
      <c r="X253" s="275"/>
      <c r="Y253" s="274"/>
      <c r="Z253" s="275"/>
      <c r="AA253" s="277"/>
      <c r="AB253" s="277"/>
    </row>
    <row r="254">
      <c r="A254" s="269">
        <v>1530.0</v>
      </c>
      <c r="B254" s="367">
        <v>45721.0</v>
      </c>
      <c r="C254" s="260" t="s">
        <v>1620</v>
      </c>
      <c r="D254" s="260" t="s">
        <v>50</v>
      </c>
      <c r="E254" s="260" t="s">
        <v>506</v>
      </c>
      <c r="F254" s="260" t="s">
        <v>49</v>
      </c>
      <c r="G254" s="260">
        <v>1.7242824E7</v>
      </c>
      <c r="H254" s="260" t="s">
        <v>200</v>
      </c>
      <c r="I254" s="263" t="s">
        <v>2058</v>
      </c>
      <c r="J254" s="369" t="s">
        <v>2059</v>
      </c>
      <c r="K254" s="234" t="s">
        <v>510</v>
      </c>
      <c r="L254" s="234" t="s">
        <v>2060</v>
      </c>
      <c r="M254" s="234" t="s">
        <v>2061</v>
      </c>
      <c r="N254" s="273"/>
      <c r="O254" s="370" t="s">
        <v>62</v>
      </c>
      <c r="P254" s="275"/>
      <c r="Q254" s="274"/>
      <c r="R254" s="275"/>
      <c r="S254" s="274"/>
      <c r="T254" s="275"/>
      <c r="U254" s="370" t="s">
        <v>62</v>
      </c>
      <c r="V254" s="371">
        <v>45763.0</v>
      </c>
      <c r="W254" s="388"/>
      <c r="X254" s="275"/>
      <c r="Y254" s="274"/>
      <c r="Z254" s="275"/>
      <c r="AA254" s="424"/>
      <c r="AB254" s="277"/>
    </row>
    <row r="255">
      <c r="A255" s="269">
        <v>1529.0</v>
      </c>
      <c r="B255" s="367">
        <v>45720.0</v>
      </c>
      <c r="C255" s="260" t="s">
        <v>1616</v>
      </c>
      <c r="D255" s="260" t="s">
        <v>66</v>
      </c>
      <c r="E255" s="260" t="s">
        <v>1059</v>
      </c>
      <c r="F255" s="261" t="s">
        <v>1060</v>
      </c>
      <c r="G255" s="261">
        <v>1.907051E7</v>
      </c>
      <c r="H255" s="261" t="s">
        <v>135</v>
      </c>
      <c r="I255" s="429" t="s">
        <v>1061</v>
      </c>
      <c r="J255" s="428" t="s">
        <v>2062</v>
      </c>
      <c r="K255" s="234" t="s">
        <v>1063</v>
      </c>
      <c r="L255" s="234" t="s">
        <v>1064</v>
      </c>
      <c r="M255" s="234" t="s">
        <v>1065</v>
      </c>
      <c r="N255" s="273"/>
      <c r="O255" s="370" t="s">
        <v>62</v>
      </c>
      <c r="P255" s="371">
        <v>45721.0</v>
      </c>
      <c r="Q255" s="274"/>
      <c r="R255" s="275"/>
      <c r="S255" s="274"/>
      <c r="T255" s="275"/>
      <c r="U255" s="370" t="s">
        <v>62</v>
      </c>
      <c r="V255" s="371">
        <v>45757.0</v>
      </c>
      <c r="W255" s="388"/>
      <c r="X255" s="275"/>
      <c r="Y255" s="274"/>
      <c r="Z255" s="275"/>
      <c r="AA255" s="277"/>
      <c r="AB255" s="277"/>
    </row>
    <row r="256">
      <c r="A256" s="269">
        <v>1528.0</v>
      </c>
      <c r="B256" s="367">
        <v>45720.0</v>
      </c>
      <c r="C256" s="260" t="s">
        <v>1620</v>
      </c>
      <c r="D256" s="260" t="s">
        <v>66</v>
      </c>
      <c r="E256" s="260" t="s">
        <v>506</v>
      </c>
      <c r="F256" s="260" t="s">
        <v>49</v>
      </c>
      <c r="G256" s="260" t="s">
        <v>2063</v>
      </c>
      <c r="H256" s="260" t="s">
        <v>200</v>
      </c>
      <c r="I256" s="263" t="s">
        <v>2064</v>
      </c>
      <c r="J256" s="369" t="s">
        <v>2065</v>
      </c>
      <c r="K256" s="234" t="s">
        <v>510</v>
      </c>
      <c r="L256" s="234" t="s">
        <v>2066</v>
      </c>
      <c r="M256" s="273"/>
      <c r="N256" s="273"/>
      <c r="O256" s="370" t="s">
        <v>62</v>
      </c>
      <c r="P256" s="275"/>
      <c r="Q256" s="274"/>
      <c r="R256" s="275"/>
      <c r="S256" s="274"/>
      <c r="T256" s="275"/>
      <c r="U256" s="370" t="s">
        <v>1563</v>
      </c>
      <c r="V256" s="371">
        <v>45839.0</v>
      </c>
      <c r="W256" s="372"/>
      <c r="X256" s="275"/>
      <c r="Y256" s="274"/>
      <c r="Z256" s="275"/>
      <c r="AA256" s="414" t="s">
        <v>2067</v>
      </c>
      <c r="AB256" s="277"/>
    </row>
    <row r="257">
      <c r="A257" s="269">
        <v>1527.0</v>
      </c>
      <c r="B257" s="367">
        <v>45720.0</v>
      </c>
      <c r="C257" s="260" t="s">
        <v>1713</v>
      </c>
      <c r="D257" s="260" t="s">
        <v>66</v>
      </c>
      <c r="E257" s="260" t="s">
        <v>227</v>
      </c>
      <c r="F257" s="430" t="s">
        <v>228</v>
      </c>
      <c r="G257" s="260">
        <v>1.962055E7</v>
      </c>
      <c r="H257" s="431" t="s">
        <v>135</v>
      </c>
      <c r="I257" s="263" t="s">
        <v>2068</v>
      </c>
      <c r="J257" s="369" t="s">
        <v>2069</v>
      </c>
      <c r="K257" s="234" t="s">
        <v>231</v>
      </c>
      <c r="L257" s="234" t="s">
        <v>1717</v>
      </c>
      <c r="M257" s="234" t="s">
        <v>2070</v>
      </c>
      <c r="N257" s="273"/>
      <c r="O257" s="370" t="s">
        <v>62</v>
      </c>
      <c r="P257" s="371">
        <v>45727.0</v>
      </c>
      <c r="Q257" s="274"/>
      <c r="R257" s="275"/>
      <c r="S257" s="274"/>
      <c r="T257" s="275"/>
      <c r="U257" s="370" t="s">
        <v>2071</v>
      </c>
      <c r="V257" s="371">
        <v>45800.0</v>
      </c>
      <c r="W257" s="388"/>
      <c r="X257" s="275"/>
      <c r="Y257" s="274"/>
      <c r="Z257" s="275"/>
      <c r="AA257" s="277"/>
      <c r="AB257" s="277"/>
    </row>
    <row r="258">
      <c r="A258" s="269">
        <v>1526.0</v>
      </c>
      <c r="B258" s="367">
        <v>45719.0</v>
      </c>
      <c r="C258" s="260" t="s">
        <v>1713</v>
      </c>
      <c r="D258" s="260" t="s">
        <v>66</v>
      </c>
      <c r="E258" s="260" t="s">
        <v>227</v>
      </c>
      <c r="F258" s="430" t="s">
        <v>228</v>
      </c>
      <c r="G258" s="260">
        <v>1.962052E7</v>
      </c>
      <c r="H258" s="431" t="s">
        <v>135</v>
      </c>
      <c r="I258" s="429" t="s">
        <v>1061</v>
      </c>
      <c r="J258" s="428" t="s">
        <v>2072</v>
      </c>
      <c r="K258" s="234" t="s">
        <v>231</v>
      </c>
      <c r="L258" s="234" t="s">
        <v>2073</v>
      </c>
      <c r="M258" s="234" t="s">
        <v>1065</v>
      </c>
      <c r="N258" s="273"/>
      <c r="O258" s="370" t="s">
        <v>62</v>
      </c>
      <c r="P258" s="371">
        <v>45719.0</v>
      </c>
      <c r="Q258" s="274"/>
      <c r="R258" s="275"/>
      <c r="S258" s="274"/>
      <c r="T258" s="275"/>
      <c r="U258" s="370" t="s">
        <v>62</v>
      </c>
      <c r="V258" s="371">
        <v>45750.0</v>
      </c>
      <c r="W258" s="388"/>
      <c r="X258" s="275"/>
      <c r="Y258" s="274"/>
      <c r="Z258" s="275"/>
      <c r="AA258" s="277"/>
      <c r="AB258" s="277"/>
    </row>
    <row r="259">
      <c r="A259" s="269">
        <v>1525.0</v>
      </c>
      <c r="B259" s="367">
        <v>45719.0</v>
      </c>
      <c r="C259" s="260" t="s">
        <v>1431</v>
      </c>
      <c r="D259" s="260" t="s">
        <v>66</v>
      </c>
      <c r="E259" s="260" t="s">
        <v>918</v>
      </c>
      <c r="F259" s="260" t="s">
        <v>1467</v>
      </c>
      <c r="G259" s="260" t="s">
        <v>2074</v>
      </c>
      <c r="H259" s="260" t="s">
        <v>32</v>
      </c>
      <c r="I259" s="263" t="s">
        <v>2075</v>
      </c>
      <c r="J259" s="369" t="s">
        <v>2076</v>
      </c>
      <c r="K259" s="234" t="s">
        <v>1435</v>
      </c>
      <c r="L259" s="234" t="s">
        <v>2077</v>
      </c>
      <c r="M259" s="234" t="s">
        <v>2078</v>
      </c>
      <c r="N259" s="273"/>
      <c r="O259" s="370" t="s">
        <v>2079</v>
      </c>
      <c r="P259" s="371">
        <v>45719.0</v>
      </c>
      <c r="Q259" s="370">
        <v>31.0</v>
      </c>
      <c r="R259" s="371">
        <v>45733.0</v>
      </c>
      <c r="S259" s="274"/>
      <c r="T259" s="275"/>
      <c r="U259" s="370" t="s">
        <v>150</v>
      </c>
      <c r="V259" s="275"/>
      <c r="W259" s="388"/>
      <c r="X259" s="275"/>
      <c r="Y259" s="274"/>
      <c r="Z259" s="275"/>
      <c r="AA259" s="277"/>
      <c r="AB259" s="391" t="s">
        <v>2080</v>
      </c>
    </row>
    <row r="260">
      <c r="A260" s="269">
        <v>1524.0</v>
      </c>
      <c r="B260" s="367">
        <v>45695.0</v>
      </c>
      <c r="C260" s="260" t="s">
        <v>582</v>
      </c>
      <c r="D260" s="260" t="s">
        <v>66</v>
      </c>
      <c r="E260" s="260" t="s">
        <v>67</v>
      </c>
      <c r="F260" s="260" t="s">
        <v>41</v>
      </c>
      <c r="G260" s="260" t="s">
        <v>50</v>
      </c>
      <c r="H260" s="260" t="s">
        <v>42</v>
      </c>
      <c r="I260" s="263" t="s">
        <v>2081</v>
      </c>
      <c r="J260" s="369" t="s">
        <v>2082</v>
      </c>
      <c r="K260" s="234" t="s">
        <v>115</v>
      </c>
      <c r="L260" s="234" t="s">
        <v>2083</v>
      </c>
      <c r="M260" s="273"/>
      <c r="N260" s="273"/>
      <c r="O260" s="370" t="s">
        <v>62</v>
      </c>
      <c r="P260" s="371">
        <v>45719.0</v>
      </c>
      <c r="Q260" s="274"/>
      <c r="R260" s="275"/>
      <c r="S260" s="274"/>
      <c r="T260" s="275"/>
      <c r="U260" s="370" t="s">
        <v>62</v>
      </c>
      <c r="V260" s="371">
        <v>45866.0</v>
      </c>
      <c r="W260" s="388"/>
      <c r="X260" s="275"/>
      <c r="Y260" s="274"/>
      <c r="Z260" s="275"/>
      <c r="AA260" s="277"/>
      <c r="AB260" s="277"/>
    </row>
    <row r="261">
      <c r="A261" s="269">
        <v>1523.0</v>
      </c>
      <c r="B261" s="367">
        <v>45715.0</v>
      </c>
      <c r="C261" s="260" t="s">
        <v>2031</v>
      </c>
      <c r="D261" s="260" t="s">
        <v>29</v>
      </c>
      <c r="E261" s="260" t="s">
        <v>227</v>
      </c>
      <c r="F261" s="430" t="s">
        <v>228</v>
      </c>
      <c r="G261" s="260">
        <v>1.9620507E7</v>
      </c>
      <c r="H261" s="431" t="s">
        <v>135</v>
      </c>
      <c r="I261" s="263" t="s">
        <v>2084</v>
      </c>
      <c r="J261" s="369" t="s">
        <v>2085</v>
      </c>
      <c r="K261" s="432" t="s">
        <v>231</v>
      </c>
      <c r="L261" s="234" t="s">
        <v>2086</v>
      </c>
      <c r="M261" s="234" t="s">
        <v>2087</v>
      </c>
      <c r="N261" s="273"/>
      <c r="O261" s="370" t="s">
        <v>62</v>
      </c>
      <c r="P261" s="371">
        <v>45796.0</v>
      </c>
      <c r="Q261" s="274"/>
      <c r="R261" s="275"/>
      <c r="S261" s="274"/>
      <c r="T261" s="275"/>
      <c r="U261" s="370" t="s">
        <v>62</v>
      </c>
      <c r="V261" s="371">
        <v>45803.0</v>
      </c>
      <c r="W261" s="372"/>
      <c r="X261" s="275"/>
      <c r="Y261" s="274"/>
      <c r="Z261" s="275"/>
      <c r="AA261" s="414" t="s">
        <v>2088</v>
      </c>
      <c r="AB261" s="277"/>
    </row>
    <row r="262">
      <c r="A262" s="269">
        <v>1522.0</v>
      </c>
      <c r="B262" s="367">
        <v>45715.0</v>
      </c>
      <c r="C262" s="260" t="s">
        <v>1431</v>
      </c>
      <c r="D262" s="260" t="s">
        <v>66</v>
      </c>
      <c r="E262" s="260" t="s">
        <v>918</v>
      </c>
      <c r="F262" s="260" t="s">
        <v>1467</v>
      </c>
      <c r="G262" s="260">
        <v>1.6351779E7</v>
      </c>
      <c r="H262" s="260" t="s">
        <v>32</v>
      </c>
      <c r="I262" s="263" t="s">
        <v>2089</v>
      </c>
      <c r="J262" s="369" t="s">
        <v>2090</v>
      </c>
      <c r="K262" s="234" t="s">
        <v>1435</v>
      </c>
      <c r="L262" s="234" t="s">
        <v>343</v>
      </c>
      <c r="M262" s="234" t="s">
        <v>2078</v>
      </c>
      <c r="N262" s="273"/>
      <c r="O262" s="370" t="s">
        <v>62</v>
      </c>
      <c r="P262" s="371">
        <v>45715.0</v>
      </c>
      <c r="Q262" s="274"/>
      <c r="R262" s="275"/>
      <c r="S262" s="274"/>
      <c r="T262" s="275"/>
      <c r="U262" s="370" t="s">
        <v>62</v>
      </c>
      <c r="V262" s="371">
        <v>45826.0</v>
      </c>
      <c r="W262" s="388"/>
      <c r="X262" s="275"/>
      <c r="Y262" s="274"/>
      <c r="Z262" s="275"/>
      <c r="AA262" s="277"/>
      <c r="AB262" s="277"/>
    </row>
    <row r="263">
      <c r="A263" s="269">
        <v>1520.0</v>
      </c>
      <c r="B263" s="367">
        <v>45713.0</v>
      </c>
      <c r="C263" s="260" t="s">
        <v>2091</v>
      </c>
      <c r="D263" s="260" t="s">
        <v>2092</v>
      </c>
      <c r="E263" s="260" t="s">
        <v>2093</v>
      </c>
      <c r="F263" s="260" t="s">
        <v>2094</v>
      </c>
      <c r="G263" s="260" t="s">
        <v>2095</v>
      </c>
      <c r="H263" s="260" t="s">
        <v>32</v>
      </c>
      <c r="I263" s="263" t="s">
        <v>2096</v>
      </c>
      <c r="J263" s="369" t="s">
        <v>2097</v>
      </c>
      <c r="K263" s="234" t="s">
        <v>2098</v>
      </c>
      <c r="L263" s="234" t="s">
        <v>2099</v>
      </c>
      <c r="M263" s="234" t="s">
        <v>2100</v>
      </c>
      <c r="N263" s="273"/>
      <c r="O263" s="274"/>
      <c r="P263" s="275"/>
      <c r="Q263" s="370" t="s">
        <v>62</v>
      </c>
      <c r="R263" s="371">
        <v>45763.0</v>
      </c>
      <c r="S263" s="274"/>
      <c r="T263" s="275"/>
      <c r="U263" s="370" t="s">
        <v>62</v>
      </c>
      <c r="V263" s="371">
        <v>45793.0</v>
      </c>
      <c r="W263" s="372"/>
      <c r="X263" s="275"/>
      <c r="Y263" s="274"/>
      <c r="Z263" s="275"/>
      <c r="AA263" s="277"/>
      <c r="AB263" s="277"/>
    </row>
    <row r="264">
      <c r="A264" s="312">
        <v>1519.0</v>
      </c>
      <c r="B264" s="313">
        <v>45709.0</v>
      </c>
      <c r="C264" s="281" t="s">
        <v>1620</v>
      </c>
      <c r="D264" s="281" t="s">
        <v>50</v>
      </c>
      <c r="E264" s="281" t="s">
        <v>506</v>
      </c>
      <c r="F264" s="281" t="s">
        <v>2101</v>
      </c>
      <c r="G264" s="314">
        <v>1.7242813E7</v>
      </c>
      <c r="H264" s="281" t="s">
        <v>200</v>
      </c>
      <c r="I264" s="315" t="s">
        <v>2102</v>
      </c>
      <c r="J264" s="352" t="s">
        <v>2103</v>
      </c>
      <c r="K264" s="317"/>
      <c r="L264" s="318"/>
      <c r="M264" s="318"/>
      <c r="N264" s="318"/>
      <c r="O264" s="320" t="s">
        <v>62</v>
      </c>
      <c r="P264" s="322"/>
      <c r="Q264" s="318"/>
      <c r="R264" s="322"/>
      <c r="S264" s="318"/>
      <c r="T264" s="322"/>
      <c r="U264" s="320" t="s">
        <v>62</v>
      </c>
      <c r="V264" s="321">
        <v>45719.0</v>
      </c>
      <c r="W264" s="349"/>
      <c r="X264" s="322"/>
      <c r="Y264" s="318"/>
      <c r="Z264" s="322"/>
      <c r="AA264" s="318"/>
      <c r="AB264" s="318"/>
    </row>
    <row r="265">
      <c r="A265" s="269">
        <v>1518.0</v>
      </c>
      <c r="B265" s="397">
        <v>45709.0</v>
      </c>
      <c r="C265" s="398" t="s">
        <v>1620</v>
      </c>
      <c r="D265" s="398" t="s">
        <v>66</v>
      </c>
      <c r="E265" s="398" t="s">
        <v>506</v>
      </c>
      <c r="F265" s="398" t="s">
        <v>49</v>
      </c>
      <c r="G265" s="398" t="s">
        <v>2104</v>
      </c>
      <c r="H265" s="398" t="s">
        <v>200</v>
      </c>
      <c r="I265" s="399" t="s">
        <v>2105</v>
      </c>
      <c r="J265" s="369" t="s">
        <v>2106</v>
      </c>
      <c r="K265" s="234" t="s">
        <v>510</v>
      </c>
      <c r="L265" s="234" t="s">
        <v>554</v>
      </c>
      <c r="M265" s="234" t="s">
        <v>2107</v>
      </c>
      <c r="N265" s="273"/>
      <c r="O265" s="370" t="s">
        <v>62</v>
      </c>
      <c r="P265" s="371">
        <v>45803.0</v>
      </c>
      <c r="Q265" s="274"/>
      <c r="R265" s="275"/>
      <c r="S265" s="274"/>
      <c r="T265" s="275"/>
      <c r="U265" s="407" t="s">
        <v>150</v>
      </c>
      <c r="V265" s="275"/>
      <c r="W265" s="388"/>
      <c r="X265" s="275"/>
      <c r="Y265" s="274"/>
      <c r="Z265" s="275"/>
      <c r="AA265" s="400" t="s">
        <v>2067</v>
      </c>
      <c r="AB265" s="277"/>
    </row>
    <row r="266">
      <c r="A266" s="269">
        <v>1517.0</v>
      </c>
      <c r="B266" s="367">
        <v>45708.0</v>
      </c>
      <c r="C266" s="260" t="s">
        <v>2034</v>
      </c>
      <c r="D266" s="260" t="s">
        <v>29</v>
      </c>
      <c r="E266" s="260" t="s">
        <v>2035</v>
      </c>
      <c r="F266" s="260" t="s">
        <v>41</v>
      </c>
      <c r="G266" s="260">
        <v>1.6601068E7</v>
      </c>
      <c r="H266" s="260" t="s">
        <v>51</v>
      </c>
      <c r="I266" s="263" t="s">
        <v>2108</v>
      </c>
      <c r="J266" s="369" t="s">
        <v>2109</v>
      </c>
      <c r="K266" s="234" t="s">
        <v>2038</v>
      </c>
      <c r="L266" s="234" t="s">
        <v>1557</v>
      </c>
      <c r="M266" s="234" t="s">
        <v>610</v>
      </c>
      <c r="N266" s="273"/>
      <c r="O266" s="370" t="s">
        <v>62</v>
      </c>
      <c r="P266" s="371">
        <v>45747.0</v>
      </c>
      <c r="Q266" s="274"/>
      <c r="R266" s="275"/>
      <c r="S266" s="274"/>
      <c r="T266" s="275"/>
      <c r="U266" s="370" t="s">
        <v>62</v>
      </c>
      <c r="V266" s="275"/>
      <c r="W266" s="388"/>
      <c r="X266" s="275"/>
      <c r="Y266" s="274"/>
      <c r="Z266" s="275"/>
      <c r="AA266" s="277"/>
      <c r="AB266" s="277"/>
    </row>
    <row r="267">
      <c r="A267" s="269">
        <v>1516.0</v>
      </c>
      <c r="B267" s="367">
        <v>45708.0</v>
      </c>
      <c r="C267" s="260" t="s">
        <v>2034</v>
      </c>
      <c r="D267" s="260" t="s">
        <v>29</v>
      </c>
      <c r="E267" s="260" t="s">
        <v>2035</v>
      </c>
      <c r="F267" s="260" t="s">
        <v>41</v>
      </c>
      <c r="G267" s="260">
        <v>1.660106E7</v>
      </c>
      <c r="H267" s="260" t="s">
        <v>51</v>
      </c>
      <c r="I267" s="263" t="s">
        <v>2110</v>
      </c>
      <c r="J267" s="369" t="s">
        <v>2111</v>
      </c>
      <c r="K267" s="234" t="s">
        <v>2038</v>
      </c>
      <c r="L267" s="234" t="s">
        <v>965</v>
      </c>
      <c r="M267" s="234" t="s">
        <v>610</v>
      </c>
      <c r="N267" s="273"/>
      <c r="O267" s="370" t="s">
        <v>62</v>
      </c>
      <c r="P267" s="371">
        <v>45748.0</v>
      </c>
      <c r="Q267" s="274"/>
      <c r="R267" s="275"/>
      <c r="S267" s="274"/>
      <c r="T267" s="275"/>
      <c r="U267" s="370" t="s">
        <v>62</v>
      </c>
      <c r="V267" s="275"/>
      <c r="W267" s="388"/>
      <c r="X267" s="275"/>
      <c r="Y267" s="274"/>
      <c r="Z267" s="275"/>
      <c r="AA267" s="277"/>
      <c r="AB267" s="277"/>
    </row>
    <row r="268">
      <c r="A268" s="269">
        <v>1515.0</v>
      </c>
      <c r="B268" s="367">
        <v>45708.0</v>
      </c>
      <c r="C268" s="260" t="s">
        <v>2034</v>
      </c>
      <c r="D268" s="260" t="s">
        <v>29</v>
      </c>
      <c r="E268" s="260" t="s">
        <v>2035</v>
      </c>
      <c r="F268" s="260" t="s">
        <v>41</v>
      </c>
      <c r="G268" s="260">
        <v>1.6601052E7</v>
      </c>
      <c r="H268" s="260" t="s">
        <v>51</v>
      </c>
      <c r="I268" s="263" t="s">
        <v>2036</v>
      </c>
      <c r="J268" s="369" t="s">
        <v>2112</v>
      </c>
      <c r="K268" s="234" t="s">
        <v>2038</v>
      </c>
      <c r="L268" s="234" t="s">
        <v>812</v>
      </c>
      <c r="M268" s="234" t="s">
        <v>610</v>
      </c>
      <c r="N268" s="273"/>
      <c r="O268" s="370" t="s">
        <v>62</v>
      </c>
      <c r="P268" s="371">
        <v>45747.0</v>
      </c>
      <c r="Q268" s="274"/>
      <c r="R268" s="275"/>
      <c r="S268" s="274"/>
      <c r="T268" s="275"/>
      <c r="U268" s="370" t="s">
        <v>62</v>
      </c>
      <c r="V268" s="275"/>
      <c r="W268" s="388"/>
      <c r="X268" s="275"/>
      <c r="Y268" s="274"/>
      <c r="Z268" s="275"/>
      <c r="AA268" s="277"/>
      <c r="AB268" s="277"/>
    </row>
    <row r="269">
      <c r="A269" s="269">
        <v>1514.0</v>
      </c>
      <c r="B269" s="367">
        <v>45707.0</v>
      </c>
      <c r="C269" s="260" t="s">
        <v>2113</v>
      </c>
      <c r="D269" s="368"/>
      <c r="E269" s="260" t="s">
        <v>1394</v>
      </c>
      <c r="F269" s="260" t="s">
        <v>49</v>
      </c>
      <c r="G269" s="260">
        <v>1.8170189E7</v>
      </c>
      <c r="H269" s="260" t="s">
        <v>32</v>
      </c>
      <c r="I269" s="263" t="s">
        <v>2114</v>
      </c>
      <c r="J269" s="369" t="s">
        <v>2115</v>
      </c>
      <c r="K269" s="234" t="s">
        <v>1397</v>
      </c>
      <c r="L269" s="234" t="s">
        <v>2116</v>
      </c>
      <c r="M269" s="273"/>
      <c r="N269" s="273"/>
      <c r="O269" s="274"/>
      <c r="P269" s="275"/>
      <c r="Q269" s="370" t="s">
        <v>62</v>
      </c>
      <c r="R269" s="371">
        <v>45709.0</v>
      </c>
      <c r="S269" s="274"/>
      <c r="T269" s="275"/>
      <c r="U269" s="370" t="s">
        <v>62</v>
      </c>
      <c r="V269" s="371">
        <v>45719.0</v>
      </c>
      <c r="W269" s="388"/>
      <c r="X269" s="275"/>
      <c r="Y269" s="274"/>
      <c r="Z269" s="275"/>
      <c r="AA269" s="277"/>
      <c r="AB269" s="277"/>
    </row>
    <row r="270">
      <c r="A270" s="269">
        <v>1513.0</v>
      </c>
      <c r="B270" s="367">
        <v>45705.0</v>
      </c>
      <c r="C270" s="260" t="s">
        <v>1431</v>
      </c>
      <c r="D270" s="260" t="s">
        <v>66</v>
      </c>
      <c r="E270" s="260" t="s">
        <v>918</v>
      </c>
      <c r="F270" s="260" t="s">
        <v>281</v>
      </c>
      <c r="G270" s="260">
        <v>1.6351774E7</v>
      </c>
      <c r="H270" s="260" t="s">
        <v>32</v>
      </c>
      <c r="I270" s="263" t="s">
        <v>2117</v>
      </c>
      <c r="J270" s="369" t="s">
        <v>2118</v>
      </c>
      <c r="K270" s="234" t="s">
        <v>284</v>
      </c>
      <c r="L270" s="234" t="s">
        <v>2119</v>
      </c>
      <c r="M270" s="234" t="s">
        <v>2120</v>
      </c>
      <c r="N270" s="273"/>
      <c r="O270" s="274"/>
      <c r="P270" s="275"/>
      <c r="Q270" s="274"/>
      <c r="R270" s="275"/>
      <c r="S270" s="274"/>
      <c r="T270" s="371">
        <v>45791.0</v>
      </c>
      <c r="U270" s="370" t="s">
        <v>62</v>
      </c>
      <c r="V270" s="275"/>
      <c r="W270" s="388"/>
      <c r="X270" s="275"/>
      <c r="Y270" s="274"/>
      <c r="Z270" s="275"/>
      <c r="AA270" s="277"/>
      <c r="AB270" s="277"/>
    </row>
    <row r="271">
      <c r="A271" s="269">
        <v>1512.0</v>
      </c>
      <c r="B271" s="367">
        <v>45705.0</v>
      </c>
      <c r="C271" s="260" t="s">
        <v>268</v>
      </c>
      <c r="D271" s="260" t="s">
        <v>66</v>
      </c>
      <c r="E271" s="260" t="s">
        <v>89</v>
      </c>
      <c r="F271" s="260" t="s">
        <v>269</v>
      </c>
      <c r="G271" s="260">
        <v>1.5831304E7</v>
      </c>
      <c r="H271" s="260" t="s">
        <v>51</v>
      </c>
      <c r="I271" s="263" t="s">
        <v>2121</v>
      </c>
      <c r="J271" s="369" t="s">
        <v>2122</v>
      </c>
      <c r="K271" s="234" t="s">
        <v>92</v>
      </c>
      <c r="L271" s="273"/>
      <c r="M271" s="433"/>
      <c r="N271" s="273"/>
      <c r="O271" s="274"/>
      <c r="P271" s="275"/>
      <c r="Q271" s="274"/>
      <c r="R271" s="275"/>
      <c r="S271" s="274"/>
      <c r="T271" s="275"/>
      <c r="U271" s="370" t="s">
        <v>62</v>
      </c>
      <c r="V271" s="371">
        <v>45805.0</v>
      </c>
      <c r="W271" s="372"/>
      <c r="X271" s="275"/>
      <c r="Y271" s="274"/>
      <c r="Z271" s="275"/>
      <c r="AA271" s="277"/>
      <c r="AB271" s="277"/>
    </row>
    <row r="272">
      <c r="A272" s="269">
        <v>1511.0</v>
      </c>
      <c r="B272" s="367">
        <v>45705.0</v>
      </c>
      <c r="C272" s="260" t="s">
        <v>2123</v>
      </c>
      <c r="D272" s="260" t="s">
        <v>29</v>
      </c>
      <c r="E272" s="260" t="s">
        <v>2124</v>
      </c>
      <c r="F272" s="260" t="s">
        <v>1652</v>
      </c>
      <c r="G272" s="260">
        <v>1.9530823E7</v>
      </c>
      <c r="H272" s="260" t="s">
        <v>200</v>
      </c>
      <c r="I272" s="263" t="s">
        <v>2125</v>
      </c>
      <c r="J272" s="369" t="s">
        <v>2126</v>
      </c>
      <c r="K272" s="234" t="s">
        <v>2098</v>
      </c>
      <c r="L272" s="234" t="s">
        <v>491</v>
      </c>
      <c r="M272" s="273"/>
      <c r="N272" s="273"/>
      <c r="O272" s="274"/>
      <c r="P272" s="275"/>
      <c r="Q272" s="274"/>
      <c r="R272" s="275"/>
      <c r="S272" s="274"/>
      <c r="T272" s="275"/>
      <c r="U272" s="370" t="s">
        <v>62</v>
      </c>
      <c r="V272" s="371">
        <v>45800.0</v>
      </c>
      <c r="W272" s="388"/>
      <c r="X272" s="275"/>
      <c r="Y272" s="274"/>
      <c r="Z272" s="275"/>
      <c r="AA272" s="277"/>
      <c r="AB272" s="277"/>
    </row>
    <row r="273">
      <c r="A273" s="269">
        <v>1510.0</v>
      </c>
      <c r="B273" s="367">
        <v>45705.0</v>
      </c>
      <c r="C273" s="260" t="s">
        <v>2127</v>
      </c>
      <c r="D273" s="260" t="s">
        <v>29</v>
      </c>
      <c r="E273" s="260" t="s">
        <v>2124</v>
      </c>
      <c r="F273" s="260" t="s">
        <v>1652</v>
      </c>
      <c r="G273" s="260">
        <v>1.9530332E7</v>
      </c>
      <c r="H273" s="260" t="s">
        <v>200</v>
      </c>
      <c r="I273" s="263" t="s">
        <v>2128</v>
      </c>
      <c r="J273" s="369" t="s">
        <v>2126</v>
      </c>
      <c r="K273" s="234" t="s">
        <v>2098</v>
      </c>
      <c r="L273" s="234" t="s">
        <v>905</v>
      </c>
      <c r="M273" s="273"/>
      <c r="N273" s="273"/>
      <c r="O273" s="274"/>
      <c r="P273" s="275"/>
      <c r="Q273" s="274"/>
      <c r="R273" s="275"/>
      <c r="S273" s="274"/>
      <c r="T273" s="275"/>
      <c r="U273" s="370" t="s">
        <v>62</v>
      </c>
      <c r="V273" s="371">
        <v>45800.0</v>
      </c>
      <c r="W273" s="388"/>
      <c r="X273" s="275"/>
      <c r="Y273" s="274"/>
      <c r="Z273" s="275"/>
      <c r="AA273" s="277"/>
      <c r="AB273" s="277"/>
    </row>
    <row r="274">
      <c r="A274" s="312">
        <v>1509.0</v>
      </c>
      <c r="B274" s="313">
        <v>45705.0</v>
      </c>
      <c r="C274" s="281" t="s">
        <v>381</v>
      </c>
      <c r="D274" s="281" t="s">
        <v>66</v>
      </c>
      <c r="E274" s="281" t="s">
        <v>382</v>
      </c>
      <c r="F274" s="281" t="s">
        <v>2129</v>
      </c>
      <c r="G274" s="281" t="s">
        <v>50</v>
      </c>
      <c r="H274" s="281" t="s">
        <v>348</v>
      </c>
      <c r="I274" s="315" t="s">
        <v>2130</v>
      </c>
      <c r="J274" s="316" t="s">
        <v>2131</v>
      </c>
      <c r="K274" s="317" t="s">
        <v>2132</v>
      </c>
      <c r="L274" s="318" t="s">
        <v>2133</v>
      </c>
      <c r="M274" s="318" t="s">
        <v>2134</v>
      </c>
      <c r="N274" s="318"/>
      <c r="O274" s="320" t="s">
        <v>62</v>
      </c>
      <c r="P274" s="321">
        <v>45707.0</v>
      </c>
      <c r="Q274" s="318"/>
      <c r="R274" s="322"/>
      <c r="S274" s="318"/>
      <c r="T274" s="322"/>
      <c r="U274" s="320" t="s">
        <v>62</v>
      </c>
      <c r="V274" s="322"/>
      <c r="W274" s="349"/>
      <c r="X274" s="322"/>
      <c r="Y274" s="318"/>
      <c r="Z274" s="322"/>
      <c r="AA274" s="318"/>
      <c r="AB274" s="318"/>
    </row>
    <row r="275">
      <c r="A275" s="269">
        <v>1508.0</v>
      </c>
      <c r="B275" s="367">
        <v>45702.0</v>
      </c>
      <c r="C275" s="260" t="s">
        <v>2031</v>
      </c>
      <c r="D275" s="368"/>
      <c r="E275" s="434" t="s">
        <v>227</v>
      </c>
      <c r="F275" s="434" t="s">
        <v>228</v>
      </c>
      <c r="G275" s="434">
        <v>1.9620495E7</v>
      </c>
      <c r="H275" s="434" t="s">
        <v>135</v>
      </c>
      <c r="I275" s="263" t="s">
        <v>2068</v>
      </c>
      <c r="J275" s="369" t="s">
        <v>2135</v>
      </c>
      <c r="K275" s="234" t="s">
        <v>231</v>
      </c>
      <c r="L275" s="234" t="s">
        <v>1717</v>
      </c>
      <c r="M275" s="435" t="s">
        <v>2070</v>
      </c>
      <c r="N275" s="273"/>
      <c r="O275" s="370" t="s">
        <v>62</v>
      </c>
      <c r="P275" s="371">
        <v>45715.0</v>
      </c>
      <c r="Q275" s="274"/>
      <c r="R275" s="275"/>
      <c r="S275" s="274"/>
      <c r="T275" s="275"/>
      <c r="U275" s="370" t="s">
        <v>62</v>
      </c>
      <c r="V275" s="275"/>
      <c r="W275" s="388"/>
      <c r="X275" s="275"/>
      <c r="Y275" s="274"/>
      <c r="Z275" s="275"/>
      <c r="AA275" s="277"/>
      <c r="AB275" s="277"/>
    </row>
    <row r="276">
      <c r="A276" s="269">
        <v>1507.0</v>
      </c>
      <c r="B276" s="367">
        <v>45702.0</v>
      </c>
      <c r="C276" s="260" t="s">
        <v>2031</v>
      </c>
      <c r="D276" s="368"/>
      <c r="E276" s="434" t="s">
        <v>227</v>
      </c>
      <c r="F276" s="434" t="s">
        <v>228</v>
      </c>
      <c r="G276" s="434">
        <v>1.9620505E7</v>
      </c>
      <c r="H276" s="434" t="s">
        <v>135</v>
      </c>
      <c r="I276" s="429" t="s">
        <v>1061</v>
      </c>
      <c r="J276" s="428" t="s">
        <v>2136</v>
      </c>
      <c r="K276" s="436" t="s">
        <v>231</v>
      </c>
      <c r="L276" s="234" t="s">
        <v>2073</v>
      </c>
      <c r="M276" s="436" t="s">
        <v>1065</v>
      </c>
      <c r="N276" s="273"/>
      <c r="O276" s="370" t="s">
        <v>62</v>
      </c>
      <c r="P276" s="275"/>
      <c r="Q276" s="274"/>
      <c r="R276" s="275"/>
      <c r="S276" s="274"/>
      <c r="T276" s="275"/>
      <c r="U276" s="370" t="s">
        <v>62</v>
      </c>
      <c r="V276" s="275"/>
      <c r="W276" s="388"/>
      <c r="X276" s="275"/>
      <c r="Y276" s="274"/>
      <c r="Z276" s="275"/>
      <c r="AA276" s="277"/>
      <c r="AB276" s="277"/>
    </row>
    <row r="277">
      <c r="A277" s="269">
        <v>1506.0</v>
      </c>
      <c r="B277" s="367">
        <v>45701.0</v>
      </c>
      <c r="C277" s="260" t="s">
        <v>2137</v>
      </c>
      <c r="D277" s="260" t="s">
        <v>66</v>
      </c>
      <c r="E277" s="260" t="s">
        <v>1584</v>
      </c>
      <c r="F277" s="260" t="s">
        <v>160</v>
      </c>
      <c r="G277" s="260" t="s">
        <v>50</v>
      </c>
      <c r="H277" s="260" t="s">
        <v>51</v>
      </c>
      <c r="I277" s="263" t="s">
        <v>2138</v>
      </c>
      <c r="J277" s="369" t="s">
        <v>2139</v>
      </c>
      <c r="K277" s="234" t="s">
        <v>1587</v>
      </c>
      <c r="L277" s="273"/>
      <c r="M277" s="273"/>
      <c r="N277" s="273"/>
      <c r="O277" s="274"/>
      <c r="P277" s="275"/>
      <c r="Q277" s="274"/>
      <c r="R277" s="275"/>
      <c r="S277" s="274"/>
      <c r="T277" s="275"/>
      <c r="U277" s="384" t="s">
        <v>150</v>
      </c>
      <c r="V277" s="275"/>
      <c r="W277" s="388"/>
      <c r="X277" s="275"/>
      <c r="Y277" s="274"/>
      <c r="Z277" s="275"/>
      <c r="AA277" s="277"/>
      <c r="AB277" s="277"/>
    </row>
    <row r="278">
      <c r="A278" s="437">
        <v>1505.0</v>
      </c>
      <c r="B278" s="438">
        <v>45698.0</v>
      </c>
      <c r="C278" s="439" t="s">
        <v>2140</v>
      </c>
      <c r="D278" s="440"/>
      <c r="E278" s="439" t="s">
        <v>714</v>
      </c>
      <c r="F278" s="439" t="s">
        <v>49</v>
      </c>
      <c r="G278" s="439">
        <v>1.9230189E7</v>
      </c>
      <c r="H278" s="439" t="s">
        <v>348</v>
      </c>
      <c r="I278" s="441" t="s">
        <v>2141</v>
      </c>
      <c r="J278" s="442" t="s">
        <v>2142</v>
      </c>
      <c r="K278" s="443"/>
      <c r="L278" s="443"/>
      <c r="M278" s="443"/>
      <c r="N278" s="443"/>
      <c r="O278" s="444"/>
      <c r="P278" s="445"/>
      <c r="Q278" s="444"/>
      <c r="R278" s="445"/>
      <c r="S278" s="444"/>
      <c r="T278" s="445"/>
      <c r="U278" s="446" t="s">
        <v>62</v>
      </c>
      <c r="V278" s="447">
        <v>45737.0</v>
      </c>
      <c r="W278" s="448"/>
      <c r="X278" s="445"/>
      <c r="Y278" s="444"/>
      <c r="Z278" s="445"/>
      <c r="AA278" s="449"/>
      <c r="AB278" s="449"/>
    </row>
    <row r="279">
      <c r="A279" s="450">
        <v>1504.0</v>
      </c>
      <c r="B279" s="451">
        <v>45698.0</v>
      </c>
      <c r="C279" s="452" t="s">
        <v>2143</v>
      </c>
      <c r="D279" s="453"/>
      <c r="E279" s="452" t="s">
        <v>1979</v>
      </c>
      <c r="F279" s="452" t="s">
        <v>49</v>
      </c>
      <c r="G279" s="452">
        <v>1.5781624E7</v>
      </c>
      <c r="H279" s="452" t="s">
        <v>32</v>
      </c>
      <c r="I279" s="454" t="s">
        <v>2144</v>
      </c>
      <c r="J279" s="455" t="s">
        <v>2145</v>
      </c>
      <c r="K279" s="456" t="s">
        <v>1244</v>
      </c>
      <c r="L279" s="456" t="s">
        <v>2146</v>
      </c>
      <c r="M279" s="456" t="s">
        <v>1251</v>
      </c>
      <c r="N279" s="457"/>
      <c r="O279" s="458" t="s">
        <v>62</v>
      </c>
      <c r="P279" s="459">
        <v>45705.0</v>
      </c>
      <c r="Q279" s="460"/>
      <c r="R279" s="461"/>
      <c r="S279" s="460"/>
      <c r="T279" s="461"/>
      <c r="U279" s="458" t="s">
        <v>62</v>
      </c>
      <c r="V279" s="459">
        <v>45719.0</v>
      </c>
      <c r="W279" s="462"/>
      <c r="X279" s="461"/>
      <c r="Y279" s="460"/>
      <c r="Z279" s="461"/>
      <c r="AA279" s="463"/>
      <c r="AB279" s="463"/>
    </row>
    <row r="280">
      <c r="A280" s="437">
        <v>1503.0</v>
      </c>
      <c r="B280" s="438">
        <v>45698.0</v>
      </c>
      <c r="C280" s="439" t="s">
        <v>268</v>
      </c>
      <c r="D280" s="439" t="s">
        <v>66</v>
      </c>
      <c r="E280" s="439" t="s">
        <v>89</v>
      </c>
      <c r="F280" s="439" t="s">
        <v>269</v>
      </c>
      <c r="G280" s="439">
        <v>1.5831318E7</v>
      </c>
      <c r="H280" s="439" t="s">
        <v>51</v>
      </c>
      <c r="I280" s="441" t="s">
        <v>2147</v>
      </c>
      <c r="J280" s="442" t="s">
        <v>2148</v>
      </c>
      <c r="K280" s="464" t="s">
        <v>92</v>
      </c>
      <c r="L280" s="464" t="s">
        <v>1257</v>
      </c>
      <c r="M280" s="464" t="s">
        <v>610</v>
      </c>
      <c r="N280" s="443"/>
      <c r="O280" s="446" t="s">
        <v>62</v>
      </c>
      <c r="P280" s="447">
        <v>45743.0</v>
      </c>
      <c r="Q280" s="444"/>
      <c r="R280" s="445"/>
      <c r="S280" s="444"/>
      <c r="T280" s="445"/>
      <c r="U280" s="446" t="s">
        <v>62</v>
      </c>
      <c r="V280" s="447">
        <v>45854.0</v>
      </c>
      <c r="W280" s="448"/>
      <c r="X280" s="445"/>
      <c r="Y280" s="444"/>
      <c r="Z280" s="445"/>
      <c r="AA280" s="465" t="s">
        <v>1879</v>
      </c>
      <c r="AB280" s="449"/>
    </row>
    <row r="281">
      <c r="A281" s="269">
        <v>1502.0</v>
      </c>
      <c r="B281" s="367">
        <v>45698.0</v>
      </c>
      <c r="C281" s="260" t="s">
        <v>1431</v>
      </c>
      <c r="D281" s="260" t="s">
        <v>50</v>
      </c>
      <c r="E281" s="260" t="s">
        <v>918</v>
      </c>
      <c r="F281" s="260" t="s">
        <v>261</v>
      </c>
      <c r="G281" s="260">
        <v>1.6351765E7</v>
      </c>
      <c r="H281" s="260" t="s">
        <v>32</v>
      </c>
      <c r="I281" s="263" t="s">
        <v>2149</v>
      </c>
      <c r="J281" s="369" t="s">
        <v>2150</v>
      </c>
      <c r="K281" s="234" t="s">
        <v>278</v>
      </c>
      <c r="L281" s="234" t="s">
        <v>1473</v>
      </c>
      <c r="M281" s="234" t="s">
        <v>280</v>
      </c>
      <c r="N281" s="273"/>
      <c r="O281" s="274"/>
      <c r="P281" s="275"/>
      <c r="Q281" s="274"/>
      <c r="R281" s="275"/>
      <c r="S281" s="274"/>
      <c r="T281" s="275"/>
      <c r="U281" s="370" t="s">
        <v>62</v>
      </c>
      <c r="V281" s="371">
        <v>45786.0</v>
      </c>
      <c r="W281" s="388"/>
      <c r="X281" s="275"/>
      <c r="Y281" s="274"/>
      <c r="Z281" s="275"/>
      <c r="AA281" s="277"/>
      <c r="AB281" s="277"/>
    </row>
    <row r="282">
      <c r="A282" s="269">
        <v>1500.0</v>
      </c>
      <c r="B282" s="367">
        <v>45694.0</v>
      </c>
      <c r="C282" s="260" t="s">
        <v>1793</v>
      </c>
      <c r="D282" s="260" t="s">
        <v>50</v>
      </c>
      <c r="E282" s="260" t="s">
        <v>1312</v>
      </c>
      <c r="F282" s="260" t="s">
        <v>1313</v>
      </c>
      <c r="G282" s="260">
        <v>1.3780735E7</v>
      </c>
      <c r="H282" s="260" t="s">
        <v>200</v>
      </c>
      <c r="I282" s="263" t="s">
        <v>2151</v>
      </c>
      <c r="J282" s="369" t="s">
        <v>2152</v>
      </c>
      <c r="K282" s="234" t="s">
        <v>1316</v>
      </c>
      <c r="L282" s="234" t="s">
        <v>2153</v>
      </c>
      <c r="M282" s="273"/>
      <c r="N282" s="273"/>
      <c r="O282" s="370"/>
      <c r="P282" s="371"/>
      <c r="Q282" s="370" t="s">
        <v>62</v>
      </c>
      <c r="R282" s="371">
        <v>45713.0</v>
      </c>
      <c r="S282" s="274"/>
      <c r="T282" s="275"/>
      <c r="U282" s="370" t="s">
        <v>62</v>
      </c>
      <c r="V282" s="371">
        <v>45789.0</v>
      </c>
      <c r="W282" s="388"/>
      <c r="X282" s="275"/>
      <c r="Y282" s="274"/>
      <c r="Z282" s="275"/>
      <c r="AA282" s="400" t="s">
        <v>1879</v>
      </c>
      <c r="AB282" s="277"/>
    </row>
    <row r="283">
      <c r="A283" s="269">
        <v>1499.0</v>
      </c>
      <c r="B283" s="367">
        <v>45603.0</v>
      </c>
      <c r="C283" s="260" t="s">
        <v>1973</v>
      </c>
      <c r="D283" s="260" t="s">
        <v>66</v>
      </c>
      <c r="E283" s="260" t="s">
        <v>2154</v>
      </c>
      <c r="F283" s="260" t="s">
        <v>1305</v>
      </c>
      <c r="G283" s="260">
        <v>1.9110086E7</v>
      </c>
      <c r="H283" s="260" t="s">
        <v>200</v>
      </c>
      <c r="I283" s="263" t="s">
        <v>2155</v>
      </c>
      <c r="J283" s="369" t="s">
        <v>2156</v>
      </c>
      <c r="K283" s="234" t="s">
        <v>1309</v>
      </c>
      <c r="L283" s="273"/>
      <c r="M283" s="273"/>
      <c r="N283" s="273"/>
      <c r="O283" s="370" t="s">
        <v>1563</v>
      </c>
      <c r="P283" s="371">
        <v>45730.0</v>
      </c>
      <c r="Q283" s="274"/>
      <c r="R283" s="275"/>
      <c r="S283" s="274"/>
      <c r="T283" s="275"/>
      <c r="U283" s="370" t="s">
        <v>150</v>
      </c>
      <c r="V283" s="275"/>
      <c r="W283" s="388"/>
      <c r="X283" s="275"/>
      <c r="Y283" s="274"/>
      <c r="Z283" s="275"/>
      <c r="AA283" s="277"/>
      <c r="AB283" s="277"/>
    </row>
    <row r="284">
      <c r="A284" s="437">
        <v>1498.0</v>
      </c>
      <c r="B284" s="438">
        <v>45218.0</v>
      </c>
      <c r="C284" s="439" t="s">
        <v>2157</v>
      </c>
      <c r="D284" s="439" t="s">
        <v>29</v>
      </c>
      <c r="E284" s="439" t="s">
        <v>506</v>
      </c>
      <c r="F284" s="439" t="s">
        <v>49</v>
      </c>
      <c r="G284" s="439">
        <v>1.7242404E7</v>
      </c>
      <c r="H284" s="439" t="s">
        <v>200</v>
      </c>
      <c r="I284" s="441" t="s">
        <v>1428</v>
      </c>
      <c r="J284" s="442" t="s">
        <v>2158</v>
      </c>
      <c r="K284" s="464" t="s">
        <v>811</v>
      </c>
      <c r="L284" s="464" t="s">
        <v>554</v>
      </c>
      <c r="M284" s="443"/>
      <c r="N284" s="443"/>
      <c r="O284" s="446" t="s">
        <v>62</v>
      </c>
      <c r="P284" s="447">
        <v>45768.0</v>
      </c>
      <c r="Q284" s="444"/>
      <c r="R284" s="445"/>
      <c r="S284" s="444"/>
      <c r="T284" s="445"/>
      <c r="U284" s="446" t="s">
        <v>62</v>
      </c>
      <c r="V284" s="447">
        <v>45778.0</v>
      </c>
      <c r="W284" s="466"/>
      <c r="X284" s="445"/>
      <c r="Y284" s="444"/>
      <c r="Z284" s="445"/>
      <c r="AA284" s="467" t="s">
        <v>2067</v>
      </c>
      <c r="AB284" s="449"/>
    </row>
    <row r="285">
      <c r="A285" s="312">
        <v>1497.0</v>
      </c>
      <c r="B285" s="373">
        <v>45180.0</v>
      </c>
      <c r="C285" s="374" t="s">
        <v>2159</v>
      </c>
      <c r="D285" s="374" t="s">
        <v>29</v>
      </c>
      <c r="E285" s="374" t="s">
        <v>506</v>
      </c>
      <c r="F285" s="374" t="s">
        <v>49</v>
      </c>
      <c r="G285" s="382">
        <v>1.7242373E7</v>
      </c>
      <c r="H285" s="374" t="s">
        <v>32</v>
      </c>
      <c r="I285" s="376" t="s">
        <v>2160</v>
      </c>
      <c r="J285" s="377" t="s">
        <v>2161</v>
      </c>
      <c r="K285" s="317" t="s">
        <v>811</v>
      </c>
      <c r="L285" s="318" t="s">
        <v>554</v>
      </c>
      <c r="M285" s="318"/>
      <c r="N285" s="318"/>
      <c r="O285" s="320" t="s">
        <v>174</v>
      </c>
      <c r="P285" s="322"/>
      <c r="Q285" s="318"/>
      <c r="R285" s="322"/>
      <c r="S285" s="318"/>
      <c r="T285" s="322"/>
      <c r="U285" s="317"/>
      <c r="V285" s="322"/>
      <c r="W285" s="378" t="s">
        <v>150</v>
      </c>
      <c r="X285" s="322"/>
      <c r="Y285" s="318"/>
      <c r="Z285" s="322"/>
      <c r="AA285" s="379" t="s">
        <v>2162</v>
      </c>
      <c r="AB285" s="318"/>
    </row>
    <row r="286">
      <c r="A286" s="269">
        <v>1496.0</v>
      </c>
      <c r="B286" s="367">
        <v>45693.0</v>
      </c>
      <c r="C286" s="260" t="s">
        <v>505</v>
      </c>
      <c r="D286" s="368"/>
      <c r="E286" s="260" t="s">
        <v>506</v>
      </c>
      <c r="F286" s="260" t="s">
        <v>49</v>
      </c>
      <c r="G286" s="260">
        <v>1.7242709E7</v>
      </c>
      <c r="H286" s="260" t="s">
        <v>103</v>
      </c>
      <c r="I286" s="263" t="s">
        <v>2163</v>
      </c>
      <c r="J286" s="369" t="s">
        <v>2164</v>
      </c>
      <c r="K286" s="234" t="s">
        <v>811</v>
      </c>
      <c r="L286" s="234" t="s">
        <v>2165</v>
      </c>
      <c r="M286" s="234" t="s">
        <v>2166</v>
      </c>
      <c r="N286" s="273"/>
      <c r="O286" s="370" t="s">
        <v>62</v>
      </c>
      <c r="P286" s="371">
        <v>45695.0</v>
      </c>
      <c r="Q286" s="274"/>
      <c r="R286" s="275"/>
      <c r="S286" s="274"/>
      <c r="T286" s="275"/>
      <c r="U286" s="370" t="s">
        <v>62</v>
      </c>
      <c r="V286" s="275"/>
      <c r="W286" s="388"/>
      <c r="X286" s="275"/>
      <c r="Y286" s="274"/>
      <c r="Z286" s="275"/>
      <c r="AA286" s="391" t="s">
        <v>2167</v>
      </c>
      <c r="AB286" s="277"/>
    </row>
    <row r="287">
      <c r="A287" s="269">
        <v>1493.0</v>
      </c>
      <c r="B287" s="367">
        <v>45692.0</v>
      </c>
      <c r="C287" s="260" t="s">
        <v>2168</v>
      </c>
      <c r="D287" s="368"/>
      <c r="E287" s="260" t="s">
        <v>878</v>
      </c>
      <c r="F287" s="260" t="s">
        <v>281</v>
      </c>
      <c r="G287" s="260">
        <v>1.5440974E7</v>
      </c>
      <c r="H287" s="260" t="s">
        <v>32</v>
      </c>
      <c r="I287" s="263" t="s">
        <v>2169</v>
      </c>
      <c r="J287" s="369" t="s">
        <v>2170</v>
      </c>
      <c r="K287" s="234" t="s">
        <v>2171</v>
      </c>
      <c r="L287" s="234"/>
      <c r="M287" s="273"/>
      <c r="N287" s="273"/>
      <c r="O287" s="370" t="s">
        <v>62</v>
      </c>
      <c r="P287" s="371">
        <v>45692.0</v>
      </c>
      <c r="Q287" s="274"/>
      <c r="R287" s="275"/>
      <c r="S287" s="274"/>
      <c r="T287" s="275"/>
      <c r="U287" s="370" t="s">
        <v>62</v>
      </c>
      <c r="V287" s="371">
        <v>45694.0</v>
      </c>
      <c r="W287" s="388"/>
      <c r="X287" s="275"/>
      <c r="Y287" s="274"/>
      <c r="Z287" s="275"/>
      <c r="AA287" s="277"/>
      <c r="AB287" s="277"/>
    </row>
    <row r="288">
      <c r="A288" s="269">
        <v>1491.0</v>
      </c>
      <c r="B288" s="367">
        <v>45688.0</v>
      </c>
      <c r="C288" s="260" t="s">
        <v>1620</v>
      </c>
      <c r="D288" s="368"/>
      <c r="E288" s="260" t="s">
        <v>506</v>
      </c>
      <c r="F288" s="260" t="s">
        <v>1530</v>
      </c>
      <c r="G288" s="260">
        <v>1.7242762E7</v>
      </c>
      <c r="H288" s="260" t="s">
        <v>200</v>
      </c>
      <c r="I288" s="263" t="s">
        <v>2172</v>
      </c>
      <c r="J288" s="369" t="s">
        <v>2173</v>
      </c>
      <c r="K288" s="234" t="s">
        <v>2174</v>
      </c>
      <c r="L288" s="273"/>
      <c r="M288" s="273"/>
      <c r="N288" s="273"/>
      <c r="O288" s="370" t="s">
        <v>62</v>
      </c>
      <c r="P288" s="371">
        <v>45691.0</v>
      </c>
      <c r="Q288" s="274"/>
      <c r="R288" s="275"/>
      <c r="S288" s="274"/>
      <c r="T288" s="275"/>
      <c r="U288" s="274"/>
      <c r="V288" s="275"/>
      <c r="W288" s="468"/>
      <c r="X288" s="275"/>
      <c r="Y288" s="274"/>
      <c r="Z288" s="275"/>
      <c r="AA288" s="469">
        <v>2.0250213E7</v>
      </c>
      <c r="AB288" s="277"/>
    </row>
    <row r="289">
      <c r="A289" s="269">
        <v>1490.0</v>
      </c>
      <c r="B289" s="367">
        <v>45688.0</v>
      </c>
      <c r="C289" s="260" t="s">
        <v>1620</v>
      </c>
      <c r="D289" s="368"/>
      <c r="E289" s="260" t="s">
        <v>506</v>
      </c>
      <c r="F289" s="260" t="s">
        <v>49</v>
      </c>
      <c r="G289" s="260" t="s">
        <v>296</v>
      </c>
      <c r="H289" s="260" t="s">
        <v>200</v>
      </c>
      <c r="I289" s="263" t="s">
        <v>2175</v>
      </c>
      <c r="J289" s="369" t="s">
        <v>2176</v>
      </c>
      <c r="K289" s="234" t="s">
        <v>811</v>
      </c>
      <c r="L289" s="234" t="s">
        <v>2177</v>
      </c>
      <c r="M289" s="273"/>
      <c r="N289" s="273"/>
      <c r="O289" s="370" t="s">
        <v>62</v>
      </c>
      <c r="P289" s="371">
        <v>45691.0</v>
      </c>
      <c r="Q289" s="274"/>
      <c r="R289" s="275"/>
      <c r="S289" s="274"/>
      <c r="T289" s="275"/>
      <c r="U289" s="274"/>
      <c r="V289" s="275"/>
      <c r="W289" s="468"/>
      <c r="X289" s="275"/>
      <c r="Y289" s="274"/>
      <c r="Z289" s="275"/>
      <c r="AA289" s="469">
        <v>2.0250213E7</v>
      </c>
      <c r="AB289" s="277"/>
    </row>
    <row r="290">
      <c r="A290" s="269">
        <v>1489.0</v>
      </c>
      <c r="B290" s="367">
        <v>45688.0</v>
      </c>
      <c r="C290" s="260" t="s">
        <v>2178</v>
      </c>
      <c r="D290" s="260" t="s">
        <v>50</v>
      </c>
      <c r="E290" s="260" t="s">
        <v>2179</v>
      </c>
      <c r="F290" s="260" t="s">
        <v>49</v>
      </c>
      <c r="G290" s="260">
        <v>1.5820325E7</v>
      </c>
      <c r="H290" s="260" t="s">
        <v>51</v>
      </c>
      <c r="I290" s="263" t="s">
        <v>2036</v>
      </c>
      <c r="J290" s="369" t="s">
        <v>2180</v>
      </c>
      <c r="K290" s="234" t="s">
        <v>2181</v>
      </c>
      <c r="L290" s="234" t="s">
        <v>2182</v>
      </c>
      <c r="M290" s="435" t="s">
        <v>2183</v>
      </c>
      <c r="N290" s="273"/>
      <c r="O290" s="370" t="s">
        <v>1563</v>
      </c>
      <c r="P290" s="371">
        <v>45755.0</v>
      </c>
      <c r="Q290" s="274"/>
      <c r="R290" s="275"/>
      <c r="S290" s="274"/>
      <c r="T290" s="275"/>
      <c r="U290" s="370" t="s">
        <v>62</v>
      </c>
      <c r="V290" s="371">
        <v>45764.0</v>
      </c>
      <c r="W290" s="372"/>
      <c r="X290" s="275"/>
      <c r="Y290" s="274"/>
      <c r="Z290" s="275"/>
      <c r="AA290" s="277"/>
      <c r="AB290" s="277"/>
    </row>
    <row r="291">
      <c r="A291" s="269">
        <v>1488.0</v>
      </c>
      <c r="B291" s="367">
        <v>45688.0</v>
      </c>
      <c r="C291" s="260" t="s">
        <v>2178</v>
      </c>
      <c r="D291" s="260" t="s">
        <v>66</v>
      </c>
      <c r="E291" s="260" t="s">
        <v>2179</v>
      </c>
      <c r="F291" s="260" t="s">
        <v>49</v>
      </c>
      <c r="G291" s="260">
        <v>1.5820327E7</v>
      </c>
      <c r="H291" s="260" t="s">
        <v>51</v>
      </c>
      <c r="I291" s="263" t="s">
        <v>2036</v>
      </c>
      <c r="J291" s="369" t="s">
        <v>2184</v>
      </c>
      <c r="K291" s="234" t="s">
        <v>2181</v>
      </c>
      <c r="L291" s="234" t="s">
        <v>2182</v>
      </c>
      <c r="M291" s="435" t="s">
        <v>2183</v>
      </c>
      <c r="N291" s="273"/>
      <c r="O291" s="370" t="s">
        <v>1563</v>
      </c>
      <c r="P291" s="371">
        <v>45756.0</v>
      </c>
      <c r="Q291" s="274"/>
      <c r="R291" s="275"/>
      <c r="S291" s="274"/>
      <c r="T291" s="275"/>
      <c r="U291" s="370" t="s">
        <v>62</v>
      </c>
      <c r="V291" s="371">
        <v>45805.0</v>
      </c>
      <c r="W291" s="372"/>
      <c r="X291" s="275"/>
      <c r="Y291" s="274"/>
      <c r="Z291" s="275"/>
      <c r="AA291" s="277"/>
      <c r="AB291" s="277"/>
    </row>
    <row r="292">
      <c r="A292" s="269">
        <v>1487.0</v>
      </c>
      <c r="B292" s="367">
        <v>45687.0</v>
      </c>
      <c r="C292" s="260" t="s">
        <v>2157</v>
      </c>
      <c r="D292" s="260" t="s">
        <v>29</v>
      </c>
      <c r="E292" s="260" t="s">
        <v>506</v>
      </c>
      <c r="F292" s="260" t="s">
        <v>2185</v>
      </c>
      <c r="G292" s="368"/>
      <c r="H292" s="260" t="s">
        <v>200</v>
      </c>
      <c r="I292" s="263" t="s">
        <v>2186</v>
      </c>
      <c r="J292" s="369" t="s">
        <v>2187</v>
      </c>
      <c r="K292" s="234" t="s">
        <v>2188</v>
      </c>
      <c r="L292" s="234" t="s">
        <v>491</v>
      </c>
      <c r="M292" s="436" t="s">
        <v>2189</v>
      </c>
      <c r="N292" s="273"/>
      <c r="O292" s="274"/>
      <c r="P292" s="275"/>
      <c r="Q292" s="274"/>
      <c r="R292" s="275"/>
      <c r="S292" s="274"/>
      <c r="T292" s="275"/>
      <c r="U292" s="370" t="s">
        <v>62</v>
      </c>
      <c r="V292" s="371">
        <v>45800.0</v>
      </c>
      <c r="W292" s="372"/>
      <c r="X292" s="275"/>
      <c r="Y292" s="274"/>
      <c r="Z292" s="275"/>
      <c r="AA292" s="400" t="s">
        <v>2190</v>
      </c>
      <c r="AB292" s="277"/>
    </row>
    <row r="293">
      <c r="A293" s="269">
        <v>1486.0</v>
      </c>
      <c r="B293" s="367">
        <v>45687.0</v>
      </c>
      <c r="C293" s="260" t="s">
        <v>2031</v>
      </c>
      <c r="D293" s="260" t="s">
        <v>29</v>
      </c>
      <c r="E293" s="260" t="s">
        <v>227</v>
      </c>
      <c r="F293" s="260" t="s">
        <v>228</v>
      </c>
      <c r="G293" s="260">
        <v>1.9620508E7</v>
      </c>
      <c r="H293" s="260" t="s">
        <v>135</v>
      </c>
      <c r="I293" s="263" t="s">
        <v>2191</v>
      </c>
      <c r="J293" s="369" t="s">
        <v>2192</v>
      </c>
      <c r="K293" s="432" t="s">
        <v>231</v>
      </c>
      <c r="L293" s="234" t="s">
        <v>36</v>
      </c>
      <c r="M293" s="234" t="s">
        <v>2193</v>
      </c>
      <c r="N293" s="273"/>
      <c r="O293" s="370" t="s">
        <v>62</v>
      </c>
      <c r="P293" s="371">
        <v>45772.0</v>
      </c>
      <c r="Q293" s="274"/>
      <c r="R293" s="275"/>
      <c r="S293" s="274"/>
      <c r="T293" s="275"/>
      <c r="U293" s="370" t="s">
        <v>62</v>
      </c>
      <c r="V293" s="371">
        <v>45800.0</v>
      </c>
      <c r="W293" s="372"/>
      <c r="X293" s="275"/>
      <c r="Y293" s="274"/>
      <c r="Z293" s="275"/>
      <c r="AA293" s="414" t="s">
        <v>2088</v>
      </c>
      <c r="AB293" s="277"/>
    </row>
    <row r="294">
      <c r="A294" s="269">
        <v>1485.0</v>
      </c>
      <c r="B294" s="367">
        <v>45687.0</v>
      </c>
      <c r="C294" s="260" t="s">
        <v>758</v>
      </c>
      <c r="D294" s="260" t="s">
        <v>66</v>
      </c>
      <c r="E294" s="260" t="s">
        <v>759</v>
      </c>
      <c r="F294" s="470" t="s">
        <v>2194</v>
      </c>
      <c r="G294" s="260">
        <v>1.908018E7</v>
      </c>
      <c r="H294" s="260" t="s">
        <v>200</v>
      </c>
      <c r="I294" s="263" t="s">
        <v>2195</v>
      </c>
      <c r="J294" s="369" t="s">
        <v>2196</v>
      </c>
      <c r="K294" s="234" t="s">
        <v>2197</v>
      </c>
      <c r="L294" s="273"/>
      <c r="M294" s="273"/>
      <c r="N294" s="273"/>
      <c r="O294" s="370" t="s">
        <v>1563</v>
      </c>
      <c r="P294" s="371">
        <v>45744.0</v>
      </c>
      <c r="Q294" s="370" t="s">
        <v>1563</v>
      </c>
      <c r="R294" s="371">
        <v>45744.0</v>
      </c>
      <c r="S294" s="274"/>
      <c r="T294" s="275"/>
      <c r="U294" s="370" t="s">
        <v>1563</v>
      </c>
      <c r="V294" s="371">
        <v>45820.0</v>
      </c>
      <c r="W294" s="388"/>
      <c r="X294" s="275"/>
      <c r="Y294" s="274"/>
      <c r="Z294" s="275"/>
      <c r="AA294" s="277"/>
      <c r="AB294" s="277"/>
    </row>
    <row r="295">
      <c r="A295" s="292">
        <v>1484.0</v>
      </c>
      <c r="B295" s="279">
        <v>45685.0</v>
      </c>
      <c r="C295" s="280" t="s">
        <v>2198</v>
      </c>
      <c r="D295" s="280" t="s">
        <v>66</v>
      </c>
      <c r="E295" s="280" t="s">
        <v>404</v>
      </c>
      <c r="F295" s="280" t="s">
        <v>295</v>
      </c>
      <c r="G295" s="280" t="s">
        <v>50</v>
      </c>
      <c r="H295" s="280" t="s">
        <v>886</v>
      </c>
      <c r="I295" s="283" t="s">
        <v>2199</v>
      </c>
      <c r="J295" s="284" t="s">
        <v>2200</v>
      </c>
      <c r="K295" s="293" t="s">
        <v>1524</v>
      </c>
      <c r="L295" s="294" t="s">
        <v>732</v>
      </c>
      <c r="M295" s="295"/>
      <c r="N295" s="295"/>
      <c r="O295" s="303"/>
      <c r="P295" s="298"/>
      <c r="Q295" s="295"/>
      <c r="R295" s="298"/>
      <c r="S295" s="295"/>
      <c r="T295" s="298"/>
      <c r="U295" s="296" t="s">
        <v>62</v>
      </c>
      <c r="V295" s="297">
        <v>45965.0</v>
      </c>
      <c r="W295" s="295"/>
      <c r="X295" s="298"/>
      <c r="Y295" s="295"/>
      <c r="Z295" s="298"/>
      <c r="AA295" s="295"/>
      <c r="AB295" s="295"/>
    </row>
    <row r="296">
      <c r="A296" s="269">
        <v>1483.0</v>
      </c>
      <c r="B296" s="367">
        <v>45681.0</v>
      </c>
      <c r="C296" s="260" t="s">
        <v>1620</v>
      </c>
      <c r="D296" s="368"/>
      <c r="E296" s="260" t="s">
        <v>506</v>
      </c>
      <c r="F296" s="260" t="s">
        <v>49</v>
      </c>
      <c r="G296" s="260" t="s">
        <v>50</v>
      </c>
      <c r="H296" s="260" t="s">
        <v>200</v>
      </c>
      <c r="I296" s="263" t="s">
        <v>2201</v>
      </c>
      <c r="J296" s="369" t="s">
        <v>2202</v>
      </c>
      <c r="K296" s="234" t="s">
        <v>811</v>
      </c>
      <c r="L296" s="234" t="s">
        <v>2177</v>
      </c>
      <c r="M296" s="273"/>
      <c r="N296" s="273"/>
      <c r="O296" s="274"/>
      <c r="P296" s="275"/>
      <c r="Q296" s="274"/>
      <c r="R296" s="275"/>
      <c r="S296" s="274"/>
      <c r="T296" s="275"/>
      <c r="U296" s="274"/>
      <c r="V296" s="275"/>
      <c r="W296" s="468"/>
      <c r="X296" s="275"/>
      <c r="Y296" s="274"/>
      <c r="Z296" s="275"/>
      <c r="AA296" s="469">
        <v>2.0250213E7</v>
      </c>
      <c r="AB296" s="277"/>
    </row>
    <row r="297">
      <c r="A297" s="269">
        <v>1482.0</v>
      </c>
      <c r="B297" s="367">
        <v>45684.0</v>
      </c>
      <c r="C297" s="260" t="s">
        <v>582</v>
      </c>
      <c r="D297" s="260" t="s">
        <v>66</v>
      </c>
      <c r="E297" s="260" t="s">
        <v>67</v>
      </c>
      <c r="F297" s="260" t="s">
        <v>49</v>
      </c>
      <c r="G297" s="260" t="s">
        <v>50</v>
      </c>
      <c r="H297" s="260" t="s">
        <v>886</v>
      </c>
      <c r="I297" s="263" t="s">
        <v>2203</v>
      </c>
      <c r="J297" s="369" t="s">
        <v>2204</v>
      </c>
      <c r="K297" s="234" t="s">
        <v>129</v>
      </c>
      <c r="L297" s="234"/>
      <c r="M297" s="273"/>
      <c r="N297" s="273"/>
      <c r="O297" s="274"/>
      <c r="P297" s="275"/>
      <c r="Q297" s="370" t="s">
        <v>62</v>
      </c>
      <c r="R297" s="371">
        <v>45695.0</v>
      </c>
      <c r="S297" s="274"/>
      <c r="T297" s="275"/>
      <c r="U297" s="407" t="s">
        <v>150</v>
      </c>
      <c r="V297" s="275"/>
      <c r="W297" s="388"/>
      <c r="X297" s="275"/>
      <c r="Y297" s="274"/>
      <c r="Z297" s="275"/>
      <c r="AA297" s="277"/>
      <c r="AB297" s="277"/>
    </row>
    <row r="298">
      <c r="A298" s="471">
        <v>1480.0</v>
      </c>
      <c r="B298" s="472">
        <v>45681.0</v>
      </c>
      <c r="C298" s="473" t="s">
        <v>505</v>
      </c>
      <c r="D298" s="473" t="s">
        <v>29</v>
      </c>
      <c r="E298" s="473" t="s">
        <v>506</v>
      </c>
      <c r="F298" s="473" t="s">
        <v>49</v>
      </c>
      <c r="G298" s="473">
        <v>1.7242664E7</v>
      </c>
      <c r="H298" s="473" t="s">
        <v>200</v>
      </c>
      <c r="I298" s="474" t="s">
        <v>2205</v>
      </c>
      <c r="J298" s="475" t="s">
        <v>2206</v>
      </c>
      <c r="K298" s="476" t="s">
        <v>811</v>
      </c>
      <c r="L298" s="476" t="s">
        <v>554</v>
      </c>
      <c r="M298" s="477"/>
      <c r="N298" s="477"/>
      <c r="O298" s="478" t="s">
        <v>2207</v>
      </c>
      <c r="P298" s="479"/>
      <c r="Q298" s="480"/>
      <c r="R298" s="479"/>
      <c r="S298" s="480"/>
      <c r="T298" s="479"/>
      <c r="U298" s="480"/>
      <c r="V298" s="479"/>
      <c r="W298" s="481"/>
      <c r="X298" s="479"/>
      <c r="Y298" s="480"/>
      <c r="Z298" s="479"/>
      <c r="AA298" s="482" t="s">
        <v>2208</v>
      </c>
      <c r="AB298" s="483"/>
    </row>
    <row r="299">
      <c r="A299" s="269">
        <v>1479.0</v>
      </c>
      <c r="B299" s="367">
        <v>45681.0</v>
      </c>
      <c r="C299" s="260" t="s">
        <v>505</v>
      </c>
      <c r="D299" s="260" t="s">
        <v>29</v>
      </c>
      <c r="E299" s="260" t="s">
        <v>506</v>
      </c>
      <c r="F299" s="260" t="s">
        <v>2209</v>
      </c>
      <c r="G299" s="260">
        <v>1.7242641E7</v>
      </c>
      <c r="H299" s="260" t="s">
        <v>200</v>
      </c>
      <c r="I299" s="263" t="s">
        <v>2210</v>
      </c>
      <c r="J299" s="369" t="s">
        <v>2211</v>
      </c>
      <c r="K299" s="234" t="s">
        <v>2174</v>
      </c>
      <c r="L299" s="234" t="s">
        <v>138</v>
      </c>
      <c r="M299" s="234" t="s">
        <v>2212</v>
      </c>
      <c r="N299" s="273"/>
      <c r="O299" s="370" t="s">
        <v>62</v>
      </c>
      <c r="P299" s="371">
        <v>45713.0</v>
      </c>
      <c r="Q299" s="274"/>
      <c r="R299" s="275"/>
      <c r="S299" s="274"/>
      <c r="T299" s="275"/>
      <c r="U299" s="370" t="s">
        <v>1563</v>
      </c>
      <c r="V299" s="371">
        <v>45721.0</v>
      </c>
      <c r="W299" s="388"/>
      <c r="X299" s="275"/>
      <c r="Y299" s="274"/>
      <c r="Z299" s="275"/>
      <c r="AA299" s="484" t="s">
        <v>1879</v>
      </c>
      <c r="AB299" s="277"/>
    </row>
    <row r="300">
      <c r="A300" s="327">
        <v>1478.0</v>
      </c>
      <c r="B300" s="328">
        <v>45681.0</v>
      </c>
      <c r="C300" s="329" t="s">
        <v>2213</v>
      </c>
      <c r="D300" s="329"/>
      <c r="E300" s="329" t="s">
        <v>1304</v>
      </c>
      <c r="F300" s="329"/>
      <c r="G300" s="329" t="s">
        <v>2214</v>
      </c>
      <c r="H300" s="329" t="s">
        <v>200</v>
      </c>
      <c r="I300" s="331" t="s">
        <v>2215</v>
      </c>
      <c r="J300" s="485" t="s">
        <v>2216</v>
      </c>
      <c r="K300" s="333" t="s">
        <v>1309</v>
      </c>
      <c r="L300" s="334" t="s">
        <v>1305</v>
      </c>
      <c r="M300" s="334"/>
      <c r="N300" s="334"/>
      <c r="O300" s="335" t="s">
        <v>1563</v>
      </c>
      <c r="P300" s="336">
        <v>45733.0</v>
      </c>
      <c r="Q300" s="334"/>
      <c r="R300" s="337"/>
      <c r="S300" s="334"/>
      <c r="T300" s="337"/>
      <c r="U300" s="335" t="s">
        <v>1563</v>
      </c>
      <c r="V300" s="336">
        <v>45749.0</v>
      </c>
      <c r="W300" s="486"/>
      <c r="X300" s="337"/>
      <c r="Y300" s="334"/>
      <c r="Z300" s="337"/>
      <c r="AA300" s="334"/>
      <c r="AB300" s="334"/>
    </row>
    <row r="301">
      <c r="A301" s="487">
        <v>1477.0</v>
      </c>
      <c r="B301" s="488">
        <v>45680.0</v>
      </c>
      <c r="C301" s="489" t="s">
        <v>2217</v>
      </c>
      <c r="D301" s="490"/>
      <c r="E301" s="489" t="s">
        <v>452</v>
      </c>
      <c r="F301" s="489" t="s">
        <v>2218</v>
      </c>
      <c r="G301" s="489">
        <v>1.9250171E7</v>
      </c>
      <c r="H301" s="489" t="s">
        <v>348</v>
      </c>
      <c r="I301" s="491" t="s">
        <v>2219</v>
      </c>
      <c r="J301" s="492" t="s">
        <v>2220</v>
      </c>
      <c r="K301" s="415" t="s">
        <v>456</v>
      </c>
      <c r="L301" s="415" t="s">
        <v>2221</v>
      </c>
      <c r="M301" s="415" t="s">
        <v>2222</v>
      </c>
      <c r="N301" s="493"/>
      <c r="O301" s="494" t="s">
        <v>62</v>
      </c>
      <c r="P301" s="495">
        <v>45686.0</v>
      </c>
      <c r="Q301" s="496"/>
      <c r="R301" s="497"/>
      <c r="S301" s="496"/>
      <c r="T301" s="497"/>
      <c r="U301" s="494" t="s">
        <v>62</v>
      </c>
      <c r="V301" s="497"/>
      <c r="W301" s="498"/>
      <c r="X301" s="497"/>
      <c r="Y301" s="496"/>
      <c r="Z301" s="497"/>
      <c r="AA301" s="499"/>
      <c r="AB301" s="499"/>
    </row>
    <row r="302">
      <c r="A302" s="487">
        <v>1476.0</v>
      </c>
      <c r="B302" s="488">
        <v>45677.0</v>
      </c>
      <c r="C302" s="489" t="s">
        <v>2223</v>
      </c>
      <c r="D302" s="489" t="s">
        <v>50</v>
      </c>
      <c r="E302" s="489" t="s">
        <v>2224</v>
      </c>
      <c r="F302" s="489" t="s">
        <v>2225</v>
      </c>
      <c r="G302" s="489">
        <v>1.7780189E7</v>
      </c>
      <c r="H302" s="489" t="s">
        <v>200</v>
      </c>
      <c r="I302" s="491" t="s">
        <v>2226</v>
      </c>
      <c r="J302" s="492" t="s">
        <v>2227</v>
      </c>
      <c r="K302" s="415" t="s">
        <v>2228</v>
      </c>
      <c r="L302" s="493"/>
      <c r="M302" s="493"/>
      <c r="N302" s="493"/>
      <c r="O302" s="494" t="s">
        <v>62</v>
      </c>
      <c r="P302" s="495">
        <v>45678.0</v>
      </c>
      <c r="Q302" s="496"/>
      <c r="R302" s="497"/>
      <c r="S302" s="496"/>
      <c r="T302" s="497"/>
      <c r="U302" s="494" t="s">
        <v>62</v>
      </c>
      <c r="V302" s="495">
        <v>45759.0</v>
      </c>
      <c r="W302" s="498"/>
      <c r="X302" s="497"/>
      <c r="Y302" s="496"/>
      <c r="Z302" s="497"/>
      <c r="AA302" s="499"/>
      <c r="AB302" s="499"/>
    </row>
    <row r="303">
      <c r="A303" s="487">
        <v>1475.0</v>
      </c>
      <c r="B303" s="500">
        <v>45643.0</v>
      </c>
      <c r="C303" s="501" t="s">
        <v>758</v>
      </c>
      <c r="D303" s="502"/>
      <c r="E303" s="501" t="s">
        <v>2229</v>
      </c>
      <c r="F303" s="501" t="s">
        <v>49</v>
      </c>
      <c r="G303" s="501" t="s">
        <v>50</v>
      </c>
      <c r="H303" s="501" t="s">
        <v>200</v>
      </c>
      <c r="I303" s="503" t="s">
        <v>2230</v>
      </c>
      <c r="J303" s="504" t="s">
        <v>2231</v>
      </c>
      <c r="K303" s="415" t="s">
        <v>2232</v>
      </c>
      <c r="L303" s="493"/>
      <c r="M303" s="493"/>
      <c r="N303" s="493"/>
      <c r="O303" s="496"/>
      <c r="P303" s="497"/>
      <c r="Q303" s="496"/>
      <c r="R303" s="497"/>
      <c r="S303" s="496"/>
      <c r="T303" s="497"/>
      <c r="U303" s="496"/>
      <c r="V303" s="497"/>
      <c r="W303" s="505"/>
      <c r="X303" s="497"/>
      <c r="Y303" s="496"/>
      <c r="Z303" s="497"/>
      <c r="AA303" s="499"/>
      <c r="AB303" s="499"/>
    </row>
    <row r="304">
      <c r="A304" s="487">
        <v>1474.0</v>
      </c>
      <c r="B304" s="488">
        <v>45643.0</v>
      </c>
      <c r="C304" s="489" t="s">
        <v>2233</v>
      </c>
      <c r="D304" s="489" t="s">
        <v>66</v>
      </c>
      <c r="E304" s="489" t="s">
        <v>2234</v>
      </c>
      <c r="F304" s="489" t="s">
        <v>1459</v>
      </c>
      <c r="G304" s="489">
        <v>1.420027E7</v>
      </c>
      <c r="H304" s="489" t="s">
        <v>200</v>
      </c>
      <c r="I304" s="491" t="s">
        <v>2235</v>
      </c>
      <c r="J304" s="492" t="s">
        <v>2236</v>
      </c>
      <c r="K304" s="415" t="s">
        <v>2237</v>
      </c>
      <c r="L304" s="493"/>
      <c r="M304" s="493"/>
      <c r="N304" s="493"/>
      <c r="O304" s="494" t="s">
        <v>62</v>
      </c>
      <c r="P304" s="495">
        <v>45701.0</v>
      </c>
      <c r="Q304" s="496"/>
      <c r="R304" s="497"/>
      <c r="S304" s="496"/>
      <c r="T304" s="497"/>
      <c r="U304" s="494" t="s">
        <v>1563</v>
      </c>
      <c r="V304" s="495">
        <v>45708.0</v>
      </c>
      <c r="W304" s="498"/>
      <c r="X304" s="497"/>
      <c r="Y304" s="496"/>
      <c r="Z304" s="497"/>
      <c r="AA304" s="499"/>
      <c r="AB304" s="499"/>
    </row>
    <row r="305">
      <c r="A305" s="487">
        <v>1473.0</v>
      </c>
      <c r="B305" s="488">
        <v>45674.0</v>
      </c>
      <c r="C305" s="489" t="s">
        <v>1932</v>
      </c>
      <c r="D305" s="489" t="s">
        <v>29</v>
      </c>
      <c r="E305" s="489" t="s">
        <v>89</v>
      </c>
      <c r="F305" s="489" t="s">
        <v>2238</v>
      </c>
      <c r="G305" s="489">
        <v>1.5831292E7</v>
      </c>
      <c r="H305" s="489" t="s">
        <v>51</v>
      </c>
      <c r="I305" s="491" t="s">
        <v>2239</v>
      </c>
      <c r="J305" s="492" t="s">
        <v>2240</v>
      </c>
      <c r="K305" s="415" t="s">
        <v>92</v>
      </c>
      <c r="L305" s="415" t="s">
        <v>2241</v>
      </c>
      <c r="M305" s="415" t="s">
        <v>2242</v>
      </c>
      <c r="N305" s="493"/>
      <c r="O305" s="494" t="s">
        <v>62</v>
      </c>
      <c r="P305" s="495">
        <v>45764.0</v>
      </c>
      <c r="Q305" s="496"/>
      <c r="R305" s="497"/>
      <c r="S305" s="496"/>
      <c r="T305" s="497"/>
      <c r="U305" s="494" t="s">
        <v>62</v>
      </c>
      <c r="V305" s="495">
        <v>45764.0</v>
      </c>
      <c r="W305" s="498"/>
      <c r="X305" s="497"/>
      <c r="Y305" s="496"/>
      <c r="Z305" s="497"/>
      <c r="AA305" s="499"/>
      <c r="AB305" s="499"/>
    </row>
    <row r="306">
      <c r="A306" s="506">
        <v>1470.0</v>
      </c>
      <c r="B306" s="507">
        <v>45673.0</v>
      </c>
      <c r="C306" s="508" t="s">
        <v>505</v>
      </c>
      <c r="D306" s="508" t="s">
        <v>29</v>
      </c>
      <c r="E306" s="508" t="s">
        <v>506</v>
      </c>
      <c r="F306" s="508" t="s">
        <v>49</v>
      </c>
      <c r="G306" s="508" t="s">
        <v>2243</v>
      </c>
      <c r="H306" s="508" t="s">
        <v>200</v>
      </c>
      <c r="I306" s="509" t="s">
        <v>2244</v>
      </c>
      <c r="J306" s="510" t="s">
        <v>2245</v>
      </c>
      <c r="K306" s="511" t="s">
        <v>811</v>
      </c>
      <c r="L306" s="512" t="s">
        <v>2246</v>
      </c>
      <c r="M306" s="513"/>
      <c r="N306" s="513"/>
      <c r="O306" s="514"/>
      <c r="P306" s="515"/>
      <c r="Q306" s="513"/>
      <c r="R306" s="515"/>
      <c r="S306" s="513"/>
      <c r="T306" s="515"/>
      <c r="U306" s="516" t="s">
        <v>62</v>
      </c>
      <c r="V306" s="517">
        <v>46002.0</v>
      </c>
      <c r="W306" s="513"/>
      <c r="X306" s="515"/>
      <c r="Y306" s="513"/>
      <c r="Z306" s="515"/>
      <c r="AA306" s="513"/>
      <c r="AB306" s="513"/>
    </row>
    <row r="307">
      <c r="A307" s="487">
        <v>1469.0</v>
      </c>
      <c r="B307" s="488">
        <v>45673.0</v>
      </c>
      <c r="C307" s="489" t="s">
        <v>2031</v>
      </c>
      <c r="D307" s="489" t="s">
        <v>29</v>
      </c>
      <c r="E307" s="489" t="s">
        <v>227</v>
      </c>
      <c r="F307" s="489" t="s">
        <v>228</v>
      </c>
      <c r="G307" s="489">
        <v>1.9620509E7</v>
      </c>
      <c r="H307" s="489" t="s">
        <v>135</v>
      </c>
      <c r="I307" s="491" t="s">
        <v>2247</v>
      </c>
      <c r="J307" s="492" t="s">
        <v>2248</v>
      </c>
      <c r="K307" s="518" t="s">
        <v>231</v>
      </c>
      <c r="L307" s="415" t="s">
        <v>2249</v>
      </c>
      <c r="M307" s="415" t="s">
        <v>1162</v>
      </c>
      <c r="N307" s="493"/>
      <c r="O307" s="494" t="s">
        <v>62</v>
      </c>
      <c r="P307" s="495">
        <v>45818.0</v>
      </c>
      <c r="Q307" s="496"/>
      <c r="R307" s="497"/>
      <c r="S307" s="494" t="s">
        <v>62</v>
      </c>
      <c r="T307" s="495">
        <v>45814.0</v>
      </c>
      <c r="U307" s="494" t="s">
        <v>62</v>
      </c>
      <c r="V307" s="495">
        <v>45841.0</v>
      </c>
      <c r="W307" s="498"/>
      <c r="X307" s="497"/>
      <c r="Y307" s="496"/>
      <c r="Z307" s="497"/>
      <c r="AA307" s="519">
        <v>2.0250612E7</v>
      </c>
      <c r="AB307" s="499"/>
    </row>
    <row r="308">
      <c r="A308" s="487">
        <v>1467.0</v>
      </c>
      <c r="B308" s="488">
        <v>45672.0</v>
      </c>
      <c r="C308" s="489" t="s">
        <v>2250</v>
      </c>
      <c r="D308" s="489" t="s">
        <v>50</v>
      </c>
      <c r="E308" s="489" t="s">
        <v>588</v>
      </c>
      <c r="F308" s="489" t="s">
        <v>383</v>
      </c>
      <c r="G308" s="490"/>
      <c r="H308" s="489" t="s">
        <v>51</v>
      </c>
      <c r="I308" s="491" t="s">
        <v>2251</v>
      </c>
      <c r="J308" s="492" t="s">
        <v>2252</v>
      </c>
      <c r="K308" s="415" t="s">
        <v>2253</v>
      </c>
      <c r="L308" s="415">
        <v>9.0</v>
      </c>
      <c r="M308" s="415" t="s">
        <v>2254</v>
      </c>
      <c r="N308" s="493"/>
      <c r="O308" s="496"/>
      <c r="P308" s="497"/>
      <c r="Q308" s="496"/>
      <c r="R308" s="497"/>
      <c r="S308" s="496"/>
      <c r="T308" s="497"/>
      <c r="U308" s="494" t="s">
        <v>62</v>
      </c>
      <c r="V308" s="495">
        <v>45680.0</v>
      </c>
      <c r="W308" s="498"/>
      <c r="X308" s="497"/>
      <c r="Y308" s="496"/>
      <c r="Z308" s="497"/>
      <c r="AA308" s="499"/>
      <c r="AB308" s="499"/>
    </row>
    <row r="309">
      <c r="A309" s="487">
        <v>1466.0</v>
      </c>
      <c r="B309" s="488">
        <v>45672.0</v>
      </c>
      <c r="C309" s="489" t="s">
        <v>2255</v>
      </c>
      <c r="D309" s="489" t="s">
        <v>29</v>
      </c>
      <c r="E309" s="489" t="s">
        <v>774</v>
      </c>
      <c r="F309" s="489" t="s">
        <v>2256</v>
      </c>
      <c r="G309" s="489">
        <v>1.9280344E7</v>
      </c>
      <c r="H309" s="489" t="s">
        <v>42</v>
      </c>
      <c r="I309" s="491" t="s">
        <v>2257</v>
      </c>
      <c r="J309" s="492" t="s">
        <v>2258</v>
      </c>
      <c r="K309" s="415" t="s">
        <v>2259</v>
      </c>
      <c r="L309" s="415" t="s">
        <v>2260</v>
      </c>
      <c r="M309" s="520" t="s">
        <v>2261</v>
      </c>
      <c r="N309" s="493"/>
      <c r="O309" s="496"/>
      <c r="P309" s="497"/>
      <c r="Q309" s="496"/>
      <c r="R309" s="497"/>
      <c r="S309" s="496"/>
      <c r="T309" s="497"/>
      <c r="U309" s="494" t="s">
        <v>62</v>
      </c>
      <c r="V309" s="495">
        <v>45803.0</v>
      </c>
      <c r="W309" s="498"/>
      <c r="X309" s="497"/>
      <c r="Y309" s="496"/>
      <c r="Z309" s="497"/>
      <c r="AA309" s="499"/>
      <c r="AB309" s="499"/>
    </row>
    <row r="310">
      <c r="A310" s="487">
        <v>1465.0</v>
      </c>
      <c r="B310" s="488">
        <v>45672.0</v>
      </c>
      <c r="C310" s="521" t="s">
        <v>2031</v>
      </c>
      <c r="D310" s="521"/>
      <c r="E310" s="521" t="s">
        <v>227</v>
      </c>
      <c r="F310" s="521" t="s">
        <v>228</v>
      </c>
      <c r="G310" s="522">
        <v>1.9620471E7</v>
      </c>
      <c r="H310" s="521" t="s">
        <v>135</v>
      </c>
      <c r="I310" s="523" t="s">
        <v>1061</v>
      </c>
      <c r="J310" s="524" t="s">
        <v>2262</v>
      </c>
      <c r="K310" s="525" t="s">
        <v>231</v>
      </c>
      <c r="L310" s="525" t="s">
        <v>2073</v>
      </c>
      <c r="M310" s="525" t="s">
        <v>1065</v>
      </c>
      <c r="N310" s="493"/>
      <c r="O310" s="494" t="s">
        <v>62</v>
      </c>
      <c r="P310" s="495">
        <v>45672.0</v>
      </c>
      <c r="Q310" s="496"/>
      <c r="R310" s="497"/>
      <c r="S310" s="496"/>
      <c r="T310" s="497"/>
      <c r="U310" s="494" t="s">
        <v>62</v>
      </c>
      <c r="V310" s="495">
        <v>45680.0</v>
      </c>
      <c r="W310" s="526"/>
      <c r="X310" s="497"/>
      <c r="Y310" s="496"/>
      <c r="Z310" s="497"/>
      <c r="AA310" s="499"/>
      <c r="AB310" s="499"/>
    </row>
    <row r="311">
      <c r="A311" s="487">
        <v>1464.0</v>
      </c>
      <c r="B311" s="488">
        <v>45672.0</v>
      </c>
      <c r="C311" s="489" t="s">
        <v>2250</v>
      </c>
      <c r="D311" s="489" t="s">
        <v>50</v>
      </c>
      <c r="E311" s="489" t="s">
        <v>588</v>
      </c>
      <c r="F311" s="489" t="s">
        <v>2263</v>
      </c>
      <c r="G311" s="490"/>
      <c r="H311" s="489" t="s">
        <v>51</v>
      </c>
      <c r="I311" s="491" t="s">
        <v>2264</v>
      </c>
      <c r="J311" s="492" t="s">
        <v>2265</v>
      </c>
      <c r="K311" s="415" t="s">
        <v>2266</v>
      </c>
      <c r="L311" s="493"/>
      <c r="M311" s="493"/>
      <c r="N311" s="493"/>
      <c r="O311" s="494" t="s">
        <v>62</v>
      </c>
      <c r="P311" s="497"/>
      <c r="Q311" s="496"/>
      <c r="R311" s="497"/>
      <c r="S311" s="496"/>
      <c r="T311" s="497"/>
      <c r="U311" s="494" t="s">
        <v>62</v>
      </c>
      <c r="V311" s="495">
        <v>45672.0</v>
      </c>
      <c r="W311" s="498"/>
      <c r="X311" s="497"/>
      <c r="Y311" s="496"/>
      <c r="Z311" s="497"/>
      <c r="AA311" s="499"/>
      <c r="AB311" s="499"/>
    </row>
    <row r="312">
      <c r="A312" s="487">
        <v>1463.0</v>
      </c>
      <c r="B312" s="488">
        <v>45671.0</v>
      </c>
      <c r="C312" s="489" t="s">
        <v>2267</v>
      </c>
      <c r="D312" s="490"/>
      <c r="E312" s="489" t="s">
        <v>2268</v>
      </c>
      <c r="F312" s="489" t="s">
        <v>310</v>
      </c>
      <c r="G312" s="489">
        <v>1.6160243E7</v>
      </c>
      <c r="H312" s="489" t="s">
        <v>32</v>
      </c>
      <c r="I312" s="491" t="s">
        <v>2269</v>
      </c>
      <c r="J312" s="492" t="s">
        <v>2270</v>
      </c>
      <c r="K312" s="493"/>
      <c r="L312" s="493"/>
      <c r="M312" s="493"/>
      <c r="N312" s="493"/>
      <c r="O312" s="496"/>
      <c r="P312" s="497"/>
      <c r="Q312" s="496"/>
      <c r="R312" s="497"/>
      <c r="S312" s="496"/>
      <c r="T312" s="497"/>
      <c r="U312" s="494" t="s">
        <v>62</v>
      </c>
      <c r="V312" s="527">
        <v>45708.0</v>
      </c>
      <c r="W312" s="498"/>
      <c r="X312" s="497"/>
      <c r="Y312" s="496"/>
      <c r="Z312" s="497"/>
      <c r="AA312" s="499"/>
      <c r="AB312" s="499"/>
    </row>
    <row r="313">
      <c r="A313" s="487">
        <v>1462.0</v>
      </c>
      <c r="B313" s="488">
        <v>45671.0</v>
      </c>
      <c r="C313" s="489" t="s">
        <v>2137</v>
      </c>
      <c r="D313" s="489" t="s">
        <v>66</v>
      </c>
      <c r="E313" s="489" t="s">
        <v>1584</v>
      </c>
      <c r="F313" s="489" t="s">
        <v>338</v>
      </c>
      <c r="G313" s="489" t="s">
        <v>50</v>
      </c>
      <c r="H313" s="489" t="s">
        <v>886</v>
      </c>
      <c r="I313" s="491" t="s">
        <v>2271</v>
      </c>
      <c r="J313" s="492" t="s">
        <v>2272</v>
      </c>
      <c r="K313" s="415" t="s">
        <v>2273</v>
      </c>
      <c r="L313" s="415" t="s">
        <v>1868</v>
      </c>
      <c r="M313" s="415" t="s">
        <v>2274</v>
      </c>
      <c r="N313" s="493"/>
      <c r="O313" s="496"/>
      <c r="P313" s="497"/>
      <c r="Q313" s="494" t="s">
        <v>62</v>
      </c>
      <c r="R313" s="495">
        <v>45695.0</v>
      </c>
      <c r="S313" s="496"/>
      <c r="T313" s="497"/>
      <c r="U313" s="525" t="s">
        <v>150</v>
      </c>
      <c r="V313" s="497"/>
      <c r="W313" s="498"/>
      <c r="X313" s="497"/>
      <c r="Y313" s="496"/>
      <c r="Z313" s="497"/>
      <c r="AA313" s="499"/>
      <c r="AB313" s="499"/>
    </row>
    <row r="314">
      <c r="A314" s="487">
        <v>1461.0</v>
      </c>
      <c r="B314" s="488">
        <v>45666.0</v>
      </c>
      <c r="C314" s="489" t="s">
        <v>758</v>
      </c>
      <c r="D314" s="489" t="s">
        <v>66</v>
      </c>
      <c r="E314" s="489" t="s">
        <v>759</v>
      </c>
      <c r="F314" s="528" t="s">
        <v>2194</v>
      </c>
      <c r="G314" s="489">
        <v>1.9080192E7</v>
      </c>
      <c r="H314" s="489" t="s">
        <v>200</v>
      </c>
      <c r="I314" s="491" t="s">
        <v>2275</v>
      </c>
      <c r="J314" s="492" t="s">
        <v>2276</v>
      </c>
      <c r="K314" s="415" t="s">
        <v>2197</v>
      </c>
      <c r="L314" s="493"/>
      <c r="M314" s="493"/>
      <c r="N314" s="493"/>
      <c r="O314" s="494" t="s">
        <v>62</v>
      </c>
      <c r="P314" s="495">
        <v>45667.0</v>
      </c>
      <c r="Q314" s="496"/>
      <c r="R314" s="497"/>
      <c r="S314" s="496"/>
      <c r="T314" s="497"/>
      <c r="U314" s="494" t="s">
        <v>150</v>
      </c>
      <c r="V314" s="497"/>
      <c r="W314" s="498"/>
      <c r="X314" s="497"/>
      <c r="Y314" s="496"/>
      <c r="Z314" s="497"/>
      <c r="AA314" s="499"/>
      <c r="AB314" s="499"/>
    </row>
    <row r="315">
      <c r="A315" s="487">
        <v>1460.0</v>
      </c>
      <c r="B315" s="488">
        <v>45666.0</v>
      </c>
      <c r="C315" s="489" t="s">
        <v>1932</v>
      </c>
      <c r="D315" s="489" t="s">
        <v>29</v>
      </c>
      <c r="E315" s="489" t="s">
        <v>89</v>
      </c>
      <c r="F315" s="489" t="s">
        <v>2277</v>
      </c>
      <c r="G315" s="489">
        <v>1.5831281E7</v>
      </c>
      <c r="H315" s="489" t="s">
        <v>51</v>
      </c>
      <c r="I315" s="491" t="s">
        <v>2278</v>
      </c>
      <c r="J315" s="492" t="s">
        <v>2279</v>
      </c>
      <c r="K315" s="415" t="s">
        <v>92</v>
      </c>
      <c r="L315" s="415" t="s">
        <v>2280</v>
      </c>
      <c r="M315" s="529" t="s">
        <v>2281</v>
      </c>
      <c r="N315" s="493"/>
      <c r="O315" s="494" t="s">
        <v>62</v>
      </c>
      <c r="P315" s="495">
        <v>45673.0</v>
      </c>
      <c r="Q315" s="496"/>
      <c r="R315" s="497"/>
      <c r="S315" s="496"/>
      <c r="T315" s="497"/>
      <c r="U315" s="494" t="s">
        <v>62</v>
      </c>
      <c r="V315" s="495">
        <v>45673.0</v>
      </c>
      <c r="W315" s="498"/>
      <c r="X315" s="497"/>
      <c r="Y315" s="496"/>
      <c r="Z315" s="497"/>
      <c r="AA315" s="499"/>
      <c r="AB315" s="499"/>
    </row>
    <row r="316">
      <c r="A316" s="487">
        <v>1459.0</v>
      </c>
      <c r="B316" s="488">
        <v>45665.0</v>
      </c>
      <c r="C316" s="489" t="s">
        <v>1431</v>
      </c>
      <c r="D316" s="490"/>
      <c r="E316" s="489" t="s">
        <v>918</v>
      </c>
      <c r="F316" s="489" t="s">
        <v>261</v>
      </c>
      <c r="G316" s="489">
        <v>1.6351754E7</v>
      </c>
      <c r="H316" s="489" t="s">
        <v>32</v>
      </c>
      <c r="I316" s="491" t="s">
        <v>2282</v>
      </c>
      <c r="J316" s="492" t="s">
        <v>2283</v>
      </c>
      <c r="K316" s="415" t="s">
        <v>278</v>
      </c>
      <c r="L316" s="415" t="s">
        <v>1288</v>
      </c>
      <c r="M316" s="415" t="s">
        <v>280</v>
      </c>
      <c r="N316" s="493"/>
      <c r="O316" s="496"/>
      <c r="P316" s="497"/>
      <c r="Q316" s="496"/>
      <c r="R316" s="497"/>
      <c r="S316" s="496"/>
      <c r="T316" s="497"/>
      <c r="U316" s="494" t="s">
        <v>62</v>
      </c>
      <c r="V316" s="495">
        <v>45685.0</v>
      </c>
      <c r="W316" s="498"/>
      <c r="X316" s="497"/>
      <c r="Y316" s="496"/>
      <c r="Z316" s="497"/>
      <c r="AA316" s="499"/>
      <c r="AB316" s="499"/>
    </row>
    <row r="317">
      <c r="A317" s="487">
        <v>1457.0</v>
      </c>
      <c r="B317" s="488">
        <v>45421.0</v>
      </c>
      <c r="C317" s="489" t="s">
        <v>2284</v>
      </c>
      <c r="D317" s="489" t="s">
        <v>29</v>
      </c>
      <c r="E317" s="489" t="s">
        <v>227</v>
      </c>
      <c r="F317" s="489" t="s">
        <v>228</v>
      </c>
      <c r="G317" s="489">
        <v>1.9620229E7</v>
      </c>
      <c r="H317" s="489" t="s">
        <v>135</v>
      </c>
      <c r="I317" s="491" t="s">
        <v>2285</v>
      </c>
      <c r="J317" s="492" t="s">
        <v>2286</v>
      </c>
      <c r="K317" s="415" t="s">
        <v>231</v>
      </c>
      <c r="L317" s="415" t="s">
        <v>2287</v>
      </c>
      <c r="M317" s="415" t="s">
        <v>1162</v>
      </c>
      <c r="N317" s="493"/>
      <c r="O317" s="494" t="s">
        <v>62</v>
      </c>
      <c r="P317" s="495">
        <v>45772.0</v>
      </c>
      <c r="Q317" s="496"/>
      <c r="R317" s="497"/>
      <c r="S317" s="494" t="s">
        <v>62</v>
      </c>
      <c r="T317" s="495">
        <v>45772.0</v>
      </c>
      <c r="U317" s="494" t="s">
        <v>62</v>
      </c>
      <c r="V317" s="495">
        <v>45791.0</v>
      </c>
      <c r="W317" s="505"/>
      <c r="X317" s="497"/>
      <c r="Y317" s="496"/>
      <c r="Z317" s="497"/>
      <c r="AA317" s="499"/>
      <c r="AB317" s="499"/>
    </row>
    <row r="318">
      <c r="A318" s="487">
        <v>1456.0</v>
      </c>
      <c r="B318" s="488">
        <v>45651.0</v>
      </c>
      <c r="C318" s="489" t="s">
        <v>2288</v>
      </c>
      <c r="D318" s="489" t="s">
        <v>66</v>
      </c>
      <c r="E318" s="489" t="s">
        <v>2289</v>
      </c>
      <c r="F318" s="489" t="s">
        <v>49</v>
      </c>
      <c r="G318" s="489">
        <v>1.5781627E7</v>
      </c>
      <c r="H318" s="489" t="s">
        <v>32</v>
      </c>
      <c r="I318" s="491" t="s">
        <v>2290</v>
      </c>
      <c r="J318" s="492" t="s">
        <v>2291</v>
      </c>
      <c r="K318" s="415" t="s">
        <v>1244</v>
      </c>
      <c r="L318" s="415" t="s">
        <v>2292</v>
      </c>
      <c r="M318" s="415" t="s">
        <v>610</v>
      </c>
      <c r="N318" s="493"/>
      <c r="O318" s="494" t="s">
        <v>62</v>
      </c>
      <c r="P318" s="495">
        <v>45705.0</v>
      </c>
      <c r="Q318" s="496"/>
      <c r="R318" s="497"/>
      <c r="S318" s="496"/>
      <c r="T318" s="497"/>
      <c r="U318" s="494" t="s">
        <v>62</v>
      </c>
      <c r="V318" s="495">
        <v>45720.0</v>
      </c>
      <c r="W318" s="498"/>
      <c r="X318" s="497"/>
      <c r="Y318" s="496"/>
      <c r="Z318" s="497"/>
      <c r="AA318" s="499"/>
      <c r="AB318" s="499"/>
    </row>
    <row r="319">
      <c r="A319" s="487">
        <v>1455.0</v>
      </c>
      <c r="B319" s="488">
        <v>45651.0</v>
      </c>
      <c r="C319" s="489" t="s">
        <v>1646</v>
      </c>
      <c r="D319" s="489" t="s">
        <v>50</v>
      </c>
      <c r="E319" s="489" t="s">
        <v>48</v>
      </c>
      <c r="F319" s="489" t="s">
        <v>160</v>
      </c>
      <c r="G319" s="489" t="s">
        <v>50</v>
      </c>
      <c r="H319" s="489" t="s">
        <v>51</v>
      </c>
      <c r="I319" s="491" t="s">
        <v>2293</v>
      </c>
      <c r="J319" s="492" t="s">
        <v>2294</v>
      </c>
      <c r="K319" s="415" t="s">
        <v>2295</v>
      </c>
      <c r="L319" s="493"/>
      <c r="M319" s="493"/>
      <c r="N319" s="493"/>
      <c r="O319" s="494" t="s">
        <v>62</v>
      </c>
      <c r="P319" s="495">
        <v>45652.0</v>
      </c>
      <c r="Q319" s="496"/>
      <c r="R319" s="497"/>
      <c r="S319" s="496"/>
      <c r="T319" s="497"/>
      <c r="U319" s="494" t="s">
        <v>62</v>
      </c>
      <c r="V319" s="495">
        <v>45664.0</v>
      </c>
      <c r="W319" s="498"/>
      <c r="X319" s="497"/>
      <c r="Y319" s="496"/>
      <c r="Z319" s="497"/>
      <c r="AA319" s="499"/>
      <c r="AB319" s="499"/>
    </row>
    <row r="320">
      <c r="A320" s="506">
        <v>1454.0</v>
      </c>
      <c r="B320" s="530">
        <v>45413.0</v>
      </c>
      <c r="C320" s="531" t="s">
        <v>2296</v>
      </c>
      <c r="D320" s="531" t="s">
        <v>29</v>
      </c>
      <c r="E320" s="531" t="s">
        <v>326</v>
      </c>
      <c r="F320" s="531" t="s">
        <v>327</v>
      </c>
      <c r="G320" s="532"/>
      <c r="H320" s="531" t="s">
        <v>42</v>
      </c>
      <c r="I320" s="533" t="s">
        <v>2297</v>
      </c>
      <c r="J320" s="510" t="s">
        <v>2298</v>
      </c>
      <c r="K320" s="514"/>
      <c r="L320" s="512" t="s">
        <v>330</v>
      </c>
      <c r="M320" s="512" t="s">
        <v>331</v>
      </c>
      <c r="N320" s="513"/>
      <c r="O320" s="516" t="s">
        <v>62</v>
      </c>
      <c r="P320" s="517">
        <v>45975.0</v>
      </c>
      <c r="Q320" s="513"/>
      <c r="R320" s="515"/>
      <c r="S320" s="513"/>
      <c r="T320" s="515"/>
      <c r="U320" s="516" t="s">
        <v>62</v>
      </c>
      <c r="V320" s="517">
        <v>45975.0</v>
      </c>
      <c r="W320" s="513"/>
      <c r="X320" s="515"/>
      <c r="Y320" s="513"/>
      <c r="Z320" s="515"/>
      <c r="AA320" s="513"/>
      <c r="AB320" s="513"/>
    </row>
    <row r="321">
      <c r="A321" s="487">
        <v>1452.0</v>
      </c>
      <c r="B321" s="488">
        <v>45650.0</v>
      </c>
      <c r="C321" s="489" t="s">
        <v>758</v>
      </c>
      <c r="D321" s="489" t="s">
        <v>66</v>
      </c>
      <c r="E321" s="489" t="s">
        <v>759</v>
      </c>
      <c r="F321" s="528" t="s">
        <v>2299</v>
      </c>
      <c r="G321" s="489" t="s">
        <v>50</v>
      </c>
      <c r="H321" s="489" t="s">
        <v>859</v>
      </c>
      <c r="I321" s="491" t="s">
        <v>2300</v>
      </c>
      <c r="J321" s="492" t="s">
        <v>2301</v>
      </c>
      <c r="K321" s="415" t="s">
        <v>2302</v>
      </c>
      <c r="L321" s="415" t="s">
        <v>905</v>
      </c>
      <c r="M321" s="493"/>
      <c r="N321" s="493"/>
      <c r="O321" s="496"/>
      <c r="P321" s="497"/>
      <c r="Q321" s="496"/>
      <c r="R321" s="497"/>
      <c r="S321" s="496"/>
      <c r="T321" s="497"/>
      <c r="U321" s="494" t="s">
        <v>150</v>
      </c>
      <c r="V321" s="497"/>
      <c r="W321" s="498"/>
      <c r="X321" s="497"/>
      <c r="Y321" s="496"/>
      <c r="Z321" s="497"/>
      <c r="AA321" s="499"/>
      <c r="AB321" s="499"/>
    </row>
    <row r="322">
      <c r="A322" s="487">
        <v>1451.0</v>
      </c>
      <c r="B322" s="488">
        <v>45650.0</v>
      </c>
      <c r="C322" s="489" t="s">
        <v>2303</v>
      </c>
      <c r="D322" s="489" t="s">
        <v>66</v>
      </c>
      <c r="E322" s="489" t="s">
        <v>2304</v>
      </c>
      <c r="F322" s="489" t="s">
        <v>2305</v>
      </c>
      <c r="G322" s="489">
        <v>1.5150253E7</v>
      </c>
      <c r="H322" s="489" t="s">
        <v>32</v>
      </c>
      <c r="I322" s="491" t="s">
        <v>2306</v>
      </c>
      <c r="J322" s="492" t="s">
        <v>2307</v>
      </c>
      <c r="K322" s="415" t="s">
        <v>2308</v>
      </c>
      <c r="L322" s="415" t="s">
        <v>2309</v>
      </c>
      <c r="M322" s="493"/>
      <c r="N322" s="493"/>
      <c r="O322" s="494" t="s">
        <v>1595</v>
      </c>
      <c r="P322" s="495">
        <v>45684.0</v>
      </c>
      <c r="Q322" s="496"/>
      <c r="R322" s="497"/>
      <c r="S322" s="496"/>
      <c r="T322" s="497"/>
      <c r="U322" s="494" t="s">
        <v>62</v>
      </c>
      <c r="V322" s="495">
        <v>45722.0</v>
      </c>
      <c r="W322" s="498"/>
      <c r="X322" s="497"/>
      <c r="Y322" s="496"/>
      <c r="Z322" s="497"/>
      <c r="AA322" s="499"/>
      <c r="AB322" s="499"/>
    </row>
    <row r="323">
      <c r="A323" s="487">
        <v>1450.0</v>
      </c>
      <c r="B323" s="534" t="s">
        <v>2310</v>
      </c>
      <c r="C323" s="535" t="s">
        <v>2157</v>
      </c>
      <c r="D323" s="535" t="s">
        <v>66</v>
      </c>
      <c r="E323" s="535" t="s">
        <v>506</v>
      </c>
      <c r="F323" s="535" t="s">
        <v>2311</v>
      </c>
      <c r="G323" s="535">
        <v>1.7242458E7</v>
      </c>
      <c r="H323" s="535" t="s">
        <v>200</v>
      </c>
      <c r="I323" s="536" t="s">
        <v>2312</v>
      </c>
      <c r="J323" s="537" t="s">
        <v>2313</v>
      </c>
      <c r="K323" s="415" t="s">
        <v>510</v>
      </c>
      <c r="L323" s="493"/>
      <c r="M323" s="415" t="s">
        <v>2314</v>
      </c>
      <c r="N323" s="493"/>
      <c r="O323" s="496"/>
      <c r="P323" s="497"/>
      <c r="Q323" s="496"/>
      <c r="R323" s="497"/>
      <c r="S323" s="496"/>
      <c r="T323" s="497"/>
      <c r="U323" s="494"/>
      <c r="V323" s="495"/>
      <c r="W323" s="538" t="s">
        <v>150</v>
      </c>
      <c r="X323" s="497"/>
      <c r="Y323" s="496"/>
      <c r="Z323" s="497"/>
      <c r="AA323" s="499"/>
      <c r="AB323" s="499"/>
    </row>
    <row r="324">
      <c r="A324" s="487">
        <v>1449.0</v>
      </c>
      <c r="B324" s="488">
        <v>45650.0</v>
      </c>
      <c r="C324" s="489" t="s">
        <v>2315</v>
      </c>
      <c r="D324" s="489" t="s">
        <v>359</v>
      </c>
      <c r="E324" s="489" t="s">
        <v>2316</v>
      </c>
      <c r="F324" s="489" t="s">
        <v>261</v>
      </c>
      <c r="G324" s="489">
        <v>1.6210081E7</v>
      </c>
      <c r="H324" s="489" t="s">
        <v>348</v>
      </c>
      <c r="I324" s="491" t="s">
        <v>2317</v>
      </c>
      <c r="J324" s="492" t="s">
        <v>2318</v>
      </c>
      <c r="K324" s="415" t="s">
        <v>2319</v>
      </c>
      <c r="L324" s="493"/>
      <c r="M324" s="493"/>
      <c r="N324" s="493"/>
      <c r="O324" s="494" t="s">
        <v>62</v>
      </c>
      <c r="P324" s="497"/>
      <c r="Q324" s="496"/>
      <c r="R324" s="497"/>
      <c r="S324" s="496"/>
      <c r="T324" s="497"/>
      <c r="U324" s="494" t="s">
        <v>62</v>
      </c>
      <c r="V324" s="497"/>
      <c r="W324" s="498"/>
      <c r="X324" s="497"/>
      <c r="Y324" s="496"/>
      <c r="Z324" s="497"/>
      <c r="AA324" s="499"/>
      <c r="AB324" s="499"/>
    </row>
    <row r="325">
      <c r="A325" s="487">
        <v>1448.0</v>
      </c>
      <c r="B325" s="488">
        <v>45646.0</v>
      </c>
      <c r="C325" s="489" t="s">
        <v>2255</v>
      </c>
      <c r="D325" s="489" t="s">
        <v>2320</v>
      </c>
      <c r="E325" s="489" t="s">
        <v>774</v>
      </c>
      <c r="F325" s="489" t="s">
        <v>961</v>
      </c>
      <c r="G325" s="489" t="s">
        <v>50</v>
      </c>
      <c r="H325" s="489" t="s">
        <v>42</v>
      </c>
      <c r="I325" s="491" t="s">
        <v>2321</v>
      </c>
      <c r="J325" s="492" t="s">
        <v>2322</v>
      </c>
      <c r="K325" s="493"/>
      <c r="L325" s="493"/>
      <c r="M325" s="493"/>
      <c r="N325" s="493"/>
      <c r="O325" s="494" t="s">
        <v>150</v>
      </c>
      <c r="P325" s="495">
        <v>45667.0</v>
      </c>
      <c r="Q325" s="496"/>
      <c r="R325" s="497"/>
      <c r="S325" s="496"/>
      <c r="T325" s="497"/>
      <c r="U325" s="494" t="s">
        <v>62</v>
      </c>
      <c r="V325" s="495">
        <v>45705.0</v>
      </c>
      <c r="W325" s="498"/>
      <c r="X325" s="497"/>
      <c r="Y325" s="496"/>
      <c r="Z325" s="497"/>
      <c r="AA325" s="499"/>
      <c r="AB325" s="499"/>
    </row>
    <row r="326">
      <c r="A326" s="487">
        <v>1447.0</v>
      </c>
      <c r="B326" s="488">
        <v>45646.0</v>
      </c>
      <c r="C326" s="489" t="s">
        <v>2255</v>
      </c>
      <c r="D326" s="489" t="s">
        <v>2320</v>
      </c>
      <c r="E326" s="489" t="s">
        <v>774</v>
      </c>
      <c r="F326" s="489" t="s">
        <v>961</v>
      </c>
      <c r="G326" s="489" t="s">
        <v>50</v>
      </c>
      <c r="H326" s="489" t="s">
        <v>42</v>
      </c>
      <c r="I326" s="491" t="s">
        <v>2323</v>
      </c>
      <c r="J326" s="492" t="s">
        <v>2322</v>
      </c>
      <c r="K326" s="493"/>
      <c r="L326" s="493"/>
      <c r="M326" s="493"/>
      <c r="N326" s="493"/>
      <c r="O326" s="494" t="s">
        <v>150</v>
      </c>
      <c r="P326" s="495">
        <v>45667.0</v>
      </c>
      <c r="Q326" s="496"/>
      <c r="R326" s="497"/>
      <c r="S326" s="496"/>
      <c r="T326" s="497"/>
      <c r="U326" s="494" t="s">
        <v>62</v>
      </c>
      <c r="V326" s="495">
        <v>45734.0</v>
      </c>
      <c r="W326" s="498"/>
      <c r="X326" s="497"/>
      <c r="Y326" s="496"/>
      <c r="Z326" s="497"/>
      <c r="AA326" s="499"/>
      <c r="AB326" s="499"/>
    </row>
    <row r="327">
      <c r="A327" s="487">
        <v>1446.0</v>
      </c>
      <c r="B327" s="488">
        <v>45646.0</v>
      </c>
      <c r="C327" s="489" t="s">
        <v>2324</v>
      </c>
      <c r="D327" s="489" t="s">
        <v>2092</v>
      </c>
      <c r="E327" s="489" t="s">
        <v>1979</v>
      </c>
      <c r="F327" s="489" t="s">
        <v>49</v>
      </c>
      <c r="G327" s="489">
        <v>1.5781616E7</v>
      </c>
      <c r="H327" s="489" t="s">
        <v>32</v>
      </c>
      <c r="I327" s="491" t="s">
        <v>2325</v>
      </c>
      <c r="J327" s="492" t="s">
        <v>2326</v>
      </c>
      <c r="K327" s="415" t="s">
        <v>1244</v>
      </c>
      <c r="L327" s="415" t="s">
        <v>659</v>
      </c>
      <c r="M327" s="415" t="s">
        <v>610</v>
      </c>
      <c r="N327" s="493"/>
      <c r="O327" s="494" t="s">
        <v>2327</v>
      </c>
      <c r="P327" s="495">
        <v>45646.0</v>
      </c>
      <c r="Q327" s="496"/>
      <c r="R327" s="497"/>
      <c r="S327" s="496"/>
      <c r="T327" s="497"/>
      <c r="U327" s="494" t="s">
        <v>62</v>
      </c>
      <c r="V327" s="495">
        <v>45664.0</v>
      </c>
      <c r="W327" s="498"/>
      <c r="X327" s="497"/>
      <c r="Y327" s="496"/>
      <c r="Z327" s="497"/>
      <c r="AA327" s="499"/>
      <c r="AB327" s="499"/>
    </row>
    <row r="328">
      <c r="A328" s="487">
        <v>1445.0</v>
      </c>
      <c r="B328" s="488">
        <v>45642.0</v>
      </c>
      <c r="C328" s="489" t="s">
        <v>582</v>
      </c>
      <c r="D328" s="489" t="s">
        <v>359</v>
      </c>
      <c r="E328" s="489" t="s">
        <v>67</v>
      </c>
      <c r="F328" s="489" t="s">
        <v>49</v>
      </c>
      <c r="G328" s="490"/>
      <c r="H328" s="489" t="s">
        <v>42</v>
      </c>
      <c r="I328" s="491" t="s">
        <v>2328</v>
      </c>
      <c r="J328" s="492" t="s">
        <v>2329</v>
      </c>
      <c r="K328" s="525" t="s">
        <v>129</v>
      </c>
      <c r="L328" s="415" t="s">
        <v>585</v>
      </c>
      <c r="M328" s="415" t="s">
        <v>586</v>
      </c>
      <c r="N328" s="493"/>
      <c r="O328" s="494" t="s">
        <v>62</v>
      </c>
      <c r="P328" s="495">
        <v>45667.0</v>
      </c>
      <c r="Q328" s="496"/>
      <c r="R328" s="497"/>
      <c r="S328" s="496"/>
      <c r="T328" s="497"/>
      <c r="U328" s="494" t="s">
        <v>62</v>
      </c>
      <c r="V328" s="495">
        <v>45671.0</v>
      </c>
      <c r="W328" s="498"/>
      <c r="X328" s="497"/>
      <c r="Y328" s="496"/>
      <c r="Z328" s="497"/>
      <c r="AA328" s="499"/>
      <c r="AB328" s="499"/>
    </row>
    <row r="329">
      <c r="A329" s="487">
        <v>1444.0</v>
      </c>
      <c r="B329" s="500">
        <v>45643.0</v>
      </c>
      <c r="C329" s="501" t="s">
        <v>758</v>
      </c>
      <c r="D329" s="501" t="s">
        <v>359</v>
      </c>
      <c r="E329" s="501" t="s">
        <v>759</v>
      </c>
      <c r="F329" s="501" t="s">
        <v>49</v>
      </c>
      <c r="G329" s="501" t="s">
        <v>50</v>
      </c>
      <c r="H329" s="501" t="s">
        <v>200</v>
      </c>
      <c r="I329" s="503" t="s">
        <v>2330</v>
      </c>
      <c r="J329" s="504" t="s">
        <v>2231</v>
      </c>
      <c r="K329" s="415" t="s">
        <v>2232</v>
      </c>
      <c r="L329" s="493"/>
      <c r="M329" s="493"/>
      <c r="N329" s="493"/>
      <c r="O329" s="496"/>
      <c r="P329" s="497"/>
      <c r="Q329" s="496"/>
      <c r="R329" s="497"/>
      <c r="S329" s="496"/>
      <c r="T329" s="497"/>
      <c r="U329" s="496"/>
      <c r="V329" s="497"/>
      <c r="W329" s="505"/>
      <c r="X329" s="497"/>
      <c r="Y329" s="496"/>
      <c r="Z329" s="497"/>
      <c r="AA329" s="499"/>
      <c r="AB329" s="499"/>
    </row>
    <row r="330">
      <c r="A330" s="487">
        <v>1443.0</v>
      </c>
      <c r="B330" s="488">
        <v>45644.0</v>
      </c>
      <c r="C330" s="489" t="s">
        <v>2140</v>
      </c>
      <c r="D330" s="489" t="s">
        <v>66</v>
      </c>
      <c r="E330" s="489" t="s">
        <v>714</v>
      </c>
      <c r="F330" s="490"/>
      <c r="G330" s="489">
        <v>1.9230177E7</v>
      </c>
      <c r="H330" s="489" t="s">
        <v>348</v>
      </c>
      <c r="I330" s="491" t="s">
        <v>2331</v>
      </c>
      <c r="J330" s="492" t="s">
        <v>2332</v>
      </c>
      <c r="K330" s="539" t="s">
        <v>377</v>
      </c>
      <c r="L330" s="493"/>
      <c r="M330" s="493"/>
      <c r="N330" s="493"/>
      <c r="O330" s="496"/>
      <c r="P330" s="497"/>
      <c r="Q330" s="496"/>
      <c r="R330" s="497"/>
      <c r="S330" s="496"/>
      <c r="T330" s="497"/>
      <c r="U330" s="494" t="s">
        <v>62</v>
      </c>
      <c r="V330" s="497"/>
      <c r="W330" s="498"/>
      <c r="X330" s="497"/>
      <c r="Y330" s="496"/>
      <c r="Z330" s="497"/>
      <c r="AA330" s="499"/>
      <c r="AB330" s="499"/>
    </row>
    <row r="331">
      <c r="A331" s="487">
        <v>1441.0</v>
      </c>
      <c r="B331" s="488">
        <v>45643.0</v>
      </c>
      <c r="C331" s="489" t="s">
        <v>2333</v>
      </c>
      <c r="D331" s="489" t="s">
        <v>66</v>
      </c>
      <c r="E331" s="489" t="s">
        <v>2334</v>
      </c>
      <c r="F331" s="490"/>
      <c r="G331" s="490"/>
      <c r="H331" s="489" t="s">
        <v>348</v>
      </c>
      <c r="I331" s="491" t="s">
        <v>2335</v>
      </c>
      <c r="J331" s="492" t="s">
        <v>2336</v>
      </c>
      <c r="K331" s="493"/>
      <c r="L331" s="493"/>
      <c r="M331" s="493"/>
      <c r="N331" s="493"/>
      <c r="O331" s="496"/>
      <c r="P331" s="497"/>
      <c r="Q331" s="496"/>
      <c r="R331" s="497"/>
      <c r="S331" s="496"/>
      <c r="T331" s="497"/>
      <c r="U331" s="494" t="s">
        <v>62</v>
      </c>
      <c r="V331" s="497"/>
      <c r="W331" s="498"/>
      <c r="X331" s="497"/>
      <c r="Y331" s="496"/>
      <c r="Z331" s="497"/>
      <c r="AA331" s="499"/>
      <c r="AB331" s="499"/>
    </row>
    <row r="332">
      <c r="A332" s="487">
        <v>1440.0</v>
      </c>
      <c r="B332" s="488">
        <v>45643.0</v>
      </c>
      <c r="C332" s="489" t="s">
        <v>2333</v>
      </c>
      <c r="D332" s="489" t="s">
        <v>66</v>
      </c>
      <c r="E332" s="489" t="s">
        <v>2334</v>
      </c>
      <c r="F332" s="489" t="s">
        <v>2337</v>
      </c>
      <c r="G332" s="489">
        <v>1.5650033E7</v>
      </c>
      <c r="H332" s="489" t="s">
        <v>348</v>
      </c>
      <c r="I332" s="491" t="s">
        <v>2338</v>
      </c>
      <c r="J332" s="492" t="s">
        <v>2339</v>
      </c>
      <c r="K332" s="415" t="s">
        <v>2340</v>
      </c>
      <c r="L332" s="415" t="s">
        <v>2341</v>
      </c>
      <c r="M332" s="493"/>
      <c r="N332" s="493"/>
      <c r="O332" s="494" t="s">
        <v>62</v>
      </c>
      <c r="P332" s="495">
        <v>45643.0</v>
      </c>
      <c r="Q332" s="496"/>
      <c r="R332" s="497"/>
      <c r="S332" s="496"/>
      <c r="T332" s="497"/>
      <c r="U332" s="494" t="s">
        <v>62</v>
      </c>
      <c r="V332" s="497"/>
      <c r="W332" s="498"/>
      <c r="X332" s="497"/>
      <c r="Y332" s="496"/>
      <c r="Z332" s="497"/>
      <c r="AA332" s="499"/>
      <c r="AB332" s="499"/>
    </row>
    <row r="333">
      <c r="A333" s="487">
        <v>1439.0</v>
      </c>
      <c r="B333" s="488">
        <v>45639.0</v>
      </c>
      <c r="C333" s="489" t="s">
        <v>2255</v>
      </c>
      <c r="D333" s="489" t="s">
        <v>29</v>
      </c>
      <c r="E333" s="489" t="s">
        <v>774</v>
      </c>
      <c r="F333" s="489" t="s">
        <v>2256</v>
      </c>
      <c r="G333" s="521">
        <v>1.9280369E7</v>
      </c>
      <c r="H333" s="489" t="s">
        <v>112</v>
      </c>
      <c r="I333" s="491" t="s">
        <v>2342</v>
      </c>
      <c r="J333" s="492" t="s">
        <v>2343</v>
      </c>
      <c r="K333" s="415" t="s">
        <v>1746</v>
      </c>
      <c r="L333" s="415" t="s">
        <v>1747</v>
      </c>
      <c r="M333" s="525" t="s">
        <v>1748</v>
      </c>
      <c r="N333" s="493"/>
      <c r="O333" s="496"/>
      <c r="P333" s="497"/>
      <c r="Q333" s="496"/>
      <c r="R333" s="497"/>
      <c r="S333" s="494" t="s">
        <v>62</v>
      </c>
      <c r="T333" s="495">
        <v>45838.0</v>
      </c>
      <c r="U333" s="494" t="s">
        <v>62</v>
      </c>
      <c r="V333" s="495">
        <v>45839.0</v>
      </c>
      <c r="W333" s="540"/>
      <c r="X333" s="497"/>
      <c r="Y333" s="496"/>
      <c r="Z333" s="497"/>
      <c r="AA333" s="541" t="s">
        <v>2067</v>
      </c>
      <c r="AB333" s="542"/>
    </row>
    <row r="334">
      <c r="A334" s="487">
        <v>1438.0</v>
      </c>
      <c r="B334" s="488">
        <v>45639.0</v>
      </c>
      <c r="C334" s="489" t="s">
        <v>2255</v>
      </c>
      <c r="D334" s="489" t="s">
        <v>50</v>
      </c>
      <c r="E334" s="489" t="s">
        <v>774</v>
      </c>
      <c r="F334" s="489" t="s">
        <v>2256</v>
      </c>
      <c r="G334" s="521">
        <v>1.9280368E7</v>
      </c>
      <c r="H334" s="489" t="s">
        <v>112</v>
      </c>
      <c r="I334" s="491" t="s">
        <v>2342</v>
      </c>
      <c r="J334" s="492" t="s">
        <v>2344</v>
      </c>
      <c r="K334" s="415" t="s">
        <v>1746</v>
      </c>
      <c r="L334" s="415" t="s">
        <v>1747</v>
      </c>
      <c r="M334" s="525" t="s">
        <v>1748</v>
      </c>
      <c r="N334" s="493"/>
      <c r="O334" s="494" t="s">
        <v>62</v>
      </c>
      <c r="P334" s="495">
        <v>45791.0</v>
      </c>
      <c r="Q334" s="496"/>
      <c r="R334" s="497"/>
      <c r="S334" s="496"/>
      <c r="T334" s="497"/>
      <c r="U334" s="494" t="s">
        <v>62</v>
      </c>
      <c r="V334" s="495">
        <v>45791.0</v>
      </c>
      <c r="W334" s="498"/>
      <c r="X334" s="497"/>
      <c r="Y334" s="496"/>
      <c r="Z334" s="497"/>
      <c r="AA334" s="541" t="s">
        <v>1879</v>
      </c>
      <c r="AB334" s="499"/>
    </row>
    <row r="335">
      <c r="A335" s="487">
        <v>1437.0</v>
      </c>
      <c r="B335" s="543">
        <v>45218.0</v>
      </c>
      <c r="C335" s="535" t="s">
        <v>2024</v>
      </c>
      <c r="D335" s="535" t="s">
        <v>66</v>
      </c>
      <c r="E335" s="535" t="s">
        <v>885</v>
      </c>
      <c r="F335" s="535" t="s">
        <v>49</v>
      </c>
      <c r="G335" s="544" t="s">
        <v>2345</v>
      </c>
      <c r="H335" s="535" t="s">
        <v>32</v>
      </c>
      <c r="I335" s="536" t="s">
        <v>2346</v>
      </c>
      <c r="J335" s="537" t="s">
        <v>2347</v>
      </c>
      <c r="K335" s="415" t="s">
        <v>1244</v>
      </c>
      <c r="L335" s="415" t="s">
        <v>1356</v>
      </c>
      <c r="M335" s="415" t="s">
        <v>610</v>
      </c>
      <c r="N335" s="493"/>
      <c r="O335" s="496"/>
      <c r="P335" s="497"/>
      <c r="Q335" s="496"/>
      <c r="R335" s="497"/>
      <c r="S335" s="496"/>
      <c r="T335" s="497"/>
      <c r="U335" s="496"/>
      <c r="V335" s="497"/>
      <c r="W335" s="538" t="s">
        <v>150</v>
      </c>
      <c r="X335" s="497"/>
      <c r="Y335" s="496"/>
      <c r="Z335" s="497"/>
      <c r="AA335" s="499"/>
      <c r="AB335" s="499"/>
    </row>
    <row r="336">
      <c r="A336" s="487">
        <v>1436.0</v>
      </c>
      <c r="B336" s="488">
        <v>45638.0</v>
      </c>
      <c r="C336" s="489" t="s">
        <v>505</v>
      </c>
      <c r="D336" s="489" t="s">
        <v>66</v>
      </c>
      <c r="E336" s="489" t="s">
        <v>506</v>
      </c>
      <c r="F336" s="489" t="s">
        <v>49</v>
      </c>
      <c r="G336" s="489">
        <v>1.724271E7</v>
      </c>
      <c r="H336" s="489" t="s">
        <v>200</v>
      </c>
      <c r="I336" s="491" t="s">
        <v>2348</v>
      </c>
      <c r="J336" s="492" t="s">
        <v>2349</v>
      </c>
      <c r="K336" s="415" t="s">
        <v>510</v>
      </c>
      <c r="L336" s="415" t="s">
        <v>2350</v>
      </c>
      <c r="M336" s="493"/>
      <c r="N336" s="493"/>
      <c r="O336" s="494" t="s">
        <v>62</v>
      </c>
      <c r="P336" s="495">
        <v>45651.0</v>
      </c>
      <c r="Q336" s="496"/>
      <c r="R336" s="497"/>
      <c r="S336" s="496"/>
      <c r="T336" s="497"/>
      <c r="U336" s="494" t="s">
        <v>62</v>
      </c>
      <c r="V336" s="497"/>
      <c r="W336" s="526"/>
      <c r="X336" s="497"/>
      <c r="Y336" s="496"/>
      <c r="Z336" s="497"/>
      <c r="AA336" s="545">
        <v>2.0250213E7</v>
      </c>
      <c r="AB336" s="499"/>
    </row>
    <row r="337">
      <c r="A337" s="487">
        <v>1435.0</v>
      </c>
      <c r="B337" s="488">
        <v>45637.0</v>
      </c>
      <c r="C337" s="489" t="s">
        <v>2255</v>
      </c>
      <c r="D337" s="489" t="s">
        <v>66</v>
      </c>
      <c r="E337" s="489" t="s">
        <v>774</v>
      </c>
      <c r="F337" s="489" t="s">
        <v>961</v>
      </c>
      <c r="G337" s="489" t="s">
        <v>50</v>
      </c>
      <c r="H337" s="489" t="s">
        <v>42</v>
      </c>
      <c r="I337" s="491" t="s">
        <v>2351</v>
      </c>
      <c r="J337" s="492" t="s">
        <v>2352</v>
      </c>
      <c r="K337" s="493"/>
      <c r="L337" s="493"/>
      <c r="M337" s="493"/>
      <c r="N337" s="493"/>
      <c r="O337" s="494" t="s">
        <v>150</v>
      </c>
      <c r="P337" s="495">
        <v>45667.0</v>
      </c>
      <c r="Q337" s="494" t="s">
        <v>150</v>
      </c>
      <c r="R337" s="495">
        <v>45667.0</v>
      </c>
      <c r="S337" s="496"/>
      <c r="T337" s="497"/>
      <c r="U337" s="494" t="s">
        <v>62</v>
      </c>
      <c r="V337" s="495">
        <v>45705.0</v>
      </c>
      <c r="W337" s="498"/>
      <c r="X337" s="497"/>
      <c r="Y337" s="496"/>
      <c r="Z337" s="497"/>
      <c r="AA337" s="499"/>
      <c r="AB337" s="499"/>
    </row>
    <row r="338">
      <c r="A338" s="487">
        <v>1434.0</v>
      </c>
      <c r="B338" s="500">
        <v>45636.0</v>
      </c>
      <c r="C338" s="489" t="s">
        <v>2353</v>
      </c>
      <c r="D338" s="489" t="s">
        <v>66</v>
      </c>
      <c r="E338" s="489" t="s">
        <v>499</v>
      </c>
      <c r="F338" s="489" t="s">
        <v>2354</v>
      </c>
      <c r="G338" s="489">
        <v>1.7160351E7</v>
      </c>
      <c r="H338" s="489" t="s">
        <v>348</v>
      </c>
      <c r="I338" s="491" t="s">
        <v>2355</v>
      </c>
      <c r="J338" s="492" t="s">
        <v>2356</v>
      </c>
      <c r="K338" s="415" t="s">
        <v>1613</v>
      </c>
      <c r="L338" s="415" t="s">
        <v>2357</v>
      </c>
      <c r="M338" s="520" t="s">
        <v>978</v>
      </c>
      <c r="N338" s="493"/>
      <c r="O338" s="494" t="s">
        <v>62</v>
      </c>
      <c r="P338" s="495">
        <v>45637.0</v>
      </c>
      <c r="Q338" s="496"/>
      <c r="R338" s="497"/>
      <c r="S338" s="496"/>
      <c r="T338" s="497"/>
      <c r="U338" s="496"/>
      <c r="V338" s="497"/>
      <c r="W338" s="526"/>
      <c r="X338" s="497"/>
      <c r="Y338" s="496"/>
      <c r="Z338" s="497"/>
      <c r="AA338" s="545">
        <v>2.0250213E7</v>
      </c>
      <c r="AB338" s="499"/>
    </row>
    <row r="339">
      <c r="A339" s="487">
        <v>1433.0</v>
      </c>
      <c r="B339" s="488">
        <v>45636.0</v>
      </c>
      <c r="C339" s="489" t="s">
        <v>2358</v>
      </c>
      <c r="D339" s="489" t="s">
        <v>29</v>
      </c>
      <c r="E339" s="489" t="s">
        <v>227</v>
      </c>
      <c r="F339" s="489" t="s">
        <v>228</v>
      </c>
      <c r="G339" s="489">
        <v>1.9620428E7</v>
      </c>
      <c r="H339" s="489" t="s">
        <v>135</v>
      </c>
      <c r="I339" s="491" t="s">
        <v>2359</v>
      </c>
      <c r="J339" s="492" t="s">
        <v>2360</v>
      </c>
      <c r="K339" s="518" t="s">
        <v>231</v>
      </c>
      <c r="L339" s="415" t="s">
        <v>2249</v>
      </c>
      <c r="M339" s="493"/>
      <c r="N339" s="493"/>
      <c r="O339" s="494" t="s">
        <v>62</v>
      </c>
      <c r="P339" s="495">
        <v>45818.0</v>
      </c>
      <c r="Q339" s="496"/>
      <c r="R339" s="497"/>
      <c r="S339" s="494" t="s">
        <v>62</v>
      </c>
      <c r="T339" s="495">
        <v>45814.0</v>
      </c>
      <c r="U339" s="494" t="s">
        <v>62</v>
      </c>
      <c r="V339" s="495">
        <v>45856.0</v>
      </c>
      <c r="W339" s="498"/>
      <c r="X339" s="497"/>
      <c r="Y339" s="496"/>
      <c r="Z339" s="497"/>
      <c r="AA339" s="519">
        <v>2.0250612E7</v>
      </c>
      <c r="AB339" s="499"/>
    </row>
    <row r="340">
      <c r="A340" s="487">
        <v>1432.0</v>
      </c>
      <c r="B340" s="500">
        <v>45636.0</v>
      </c>
      <c r="C340" s="489" t="s">
        <v>1657</v>
      </c>
      <c r="D340" s="489"/>
      <c r="E340" s="489" t="s">
        <v>1101</v>
      </c>
      <c r="F340" s="489" t="s">
        <v>2361</v>
      </c>
      <c r="G340" s="489" t="s">
        <v>50</v>
      </c>
      <c r="H340" s="489" t="s">
        <v>348</v>
      </c>
      <c r="I340" s="491" t="s">
        <v>2362</v>
      </c>
      <c r="J340" s="492" t="s">
        <v>2363</v>
      </c>
      <c r="K340" s="415" t="s">
        <v>2364</v>
      </c>
      <c r="L340" s="415" t="s">
        <v>2365</v>
      </c>
      <c r="M340" s="415" t="s">
        <v>2366</v>
      </c>
      <c r="N340" s="493"/>
      <c r="O340" s="494" t="s">
        <v>62</v>
      </c>
      <c r="P340" s="495">
        <v>45637.0</v>
      </c>
      <c r="Q340" s="496"/>
      <c r="R340" s="497"/>
      <c r="S340" s="496"/>
      <c r="T340" s="497"/>
      <c r="U340" s="496"/>
      <c r="V340" s="497"/>
      <c r="W340" s="526"/>
      <c r="X340" s="497"/>
      <c r="Y340" s="496"/>
      <c r="Z340" s="497"/>
      <c r="AA340" s="545">
        <v>2.0250213E7</v>
      </c>
      <c r="AB340" s="499"/>
    </row>
    <row r="341">
      <c r="A341" s="327">
        <v>1431.0</v>
      </c>
      <c r="B341" s="546">
        <v>45635.0</v>
      </c>
      <c r="C341" s="547" t="s">
        <v>2367</v>
      </c>
      <c r="D341" s="548" t="s">
        <v>66</v>
      </c>
      <c r="E341" s="547" t="s">
        <v>714</v>
      </c>
      <c r="F341" s="547" t="s">
        <v>49</v>
      </c>
      <c r="G341" s="549">
        <v>1.9230146E7</v>
      </c>
      <c r="H341" s="547" t="s">
        <v>103</v>
      </c>
      <c r="I341" s="550" t="s">
        <v>2368</v>
      </c>
      <c r="J341" s="551" t="s">
        <v>2369</v>
      </c>
      <c r="K341" s="333" t="s">
        <v>377</v>
      </c>
      <c r="L341" s="334" t="s">
        <v>320</v>
      </c>
      <c r="M341" s="334" t="s">
        <v>2370</v>
      </c>
      <c r="N341" s="334"/>
      <c r="O341" s="335" t="s">
        <v>174</v>
      </c>
      <c r="P341" s="337"/>
      <c r="Q341" s="334"/>
      <c r="R341" s="337"/>
      <c r="S341" s="334"/>
      <c r="T341" s="337"/>
      <c r="U341" s="333"/>
      <c r="V341" s="337"/>
      <c r="W341" s="552" t="s">
        <v>150</v>
      </c>
      <c r="X341" s="337"/>
      <c r="Y341" s="334"/>
      <c r="Z341" s="337"/>
      <c r="AA341" s="553" t="s">
        <v>215</v>
      </c>
      <c r="AB341" s="334"/>
    </row>
    <row r="342">
      <c r="A342" s="487">
        <v>1430.0</v>
      </c>
      <c r="B342" s="500">
        <v>45635.0</v>
      </c>
      <c r="C342" s="489" t="s">
        <v>2371</v>
      </c>
      <c r="D342" s="489" t="s">
        <v>66</v>
      </c>
      <c r="E342" s="489" t="s">
        <v>1515</v>
      </c>
      <c r="F342" s="489" t="s">
        <v>1516</v>
      </c>
      <c r="G342" s="489">
        <v>1.5331015E7</v>
      </c>
      <c r="H342" s="489" t="s">
        <v>200</v>
      </c>
      <c r="I342" s="491" t="s">
        <v>2372</v>
      </c>
      <c r="J342" s="524" t="s">
        <v>2373</v>
      </c>
      <c r="K342" s="415" t="s">
        <v>1519</v>
      </c>
      <c r="L342" s="415" t="s">
        <v>2374</v>
      </c>
      <c r="M342" s="520" t="s">
        <v>2375</v>
      </c>
      <c r="N342" s="493"/>
      <c r="O342" s="496"/>
      <c r="P342" s="497"/>
      <c r="Q342" s="494" t="s">
        <v>62</v>
      </c>
      <c r="R342" s="495">
        <v>45646.0</v>
      </c>
      <c r="S342" s="496"/>
      <c r="T342" s="497"/>
      <c r="U342" s="496"/>
      <c r="V342" s="497"/>
      <c r="W342" s="526"/>
      <c r="X342" s="497"/>
      <c r="Y342" s="496"/>
      <c r="Z342" s="497"/>
      <c r="AA342" s="499"/>
      <c r="AB342" s="499"/>
    </row>
    <row r="343">
      <c r="A343" s="487">
        <v>1429.0</v>
      </c>
      <c r="B343" s="500">
        <v>45635.0</v>
      </c>
      <c r="C343" s="489" t="s">
        <v>2376</v>
      </c>
      <c r="D343" s="489" t="s">
        <v>66</v>
      </c>
      <c r="E343" s="489" t="s">
        <v>1515</v>
      </c>
      <c r="F343" s="489" t="s">
        <v>1516</v>
      </c>
      <c r="G343" s="489">
        <v>1.5331014E7</v>
      </c>
      <c r="H343" s="554" t="s">
        <v>200</v>
      </c>
      <c r="I343" s="491" t="s">
        <v>2372</v>
      </c>
      <c r="J343" s="524" t="s">
        <v>2377</v>
      </c>
      <c r="K343" s="415" t="s">
        <v>1519</v>
      </c>
      <c r="L343" s="415" t="s">
        <v>2374</v>
      </c>
      <c r="M343" s="520" t="s">
        <v>2375</v>
      </c>
      <c r="N343" s="493"/>
      <c r="O343" s="496"/>
      <c r="P343" s="497"/>
      <c r="Q343" s="494" t="s">
        <v>62</v>
      </c>
      <c r="R343" s="495">
        <v>45646.0</v>
      </c>
      <c r="S343" s="496"/>
      <c r="T343" s="497"/>
      <c r="U343" s="496"/>
      <c r="V343" s="497"/>
      <c r="W343" s="526"/>
      <c r="X343" s="497"/>
      <c r="Y343" s="496"/>
      <c r="Z343" s="497"/>
      <c r="AA343" s="499"/>
      <c r="AB343" s="499"/>
    </row>
    <row r="344">
      <c r="A344" s="487">
        <v>1428.0</v>
      </c>
      <c r="B344" s="488">
        <v>45632.0</v>
      </c>
      <c r="C344" s="489" t="s">
        <v>2255</v>
      </c>
      <c r="D344" s="489" t="s">
        <v>29</v>
      </c>
      <c r="E344" s="489" t="s">
        <v>774</v>
      </c>
      <c r="F344" s="489" t="s">
        <v>2378</v>
      </c>
      <c r="G344" s="489">
        <v>1.9280318E7</v>
      </c>
      <c r="H344" s="489" t="s">
        <v>339</v>
      </c>
      <c r="I344" s="491" t="s">
        <v>2379</v>
      </c>
      <c r="J344" s="492" t="s">
        <v>2380</v>
      </c>
      <c r="K344" s="415" t="s">
        <v>1746</v>
      </c>
      <c r="L344" s="415" t="s">
        <v>457</v>
      </c>
      <c r="M344" s="415" t="s">
        <v>2381</v>
      </c>
      <c r="N344" s="493"/>
      <c r="O344" s="496"/>
      <c r="P344" s="497"/>
      <c r="Q344" s="496"/>
      <c r="R344" s="497"/>
      <c r="S344" s="496"/>
      <c r="T344" s="497"/>
      <c r="U344" s="494" t="s">
        <v>62</v>
      </c>
      <c r="V344" s="495">
        <v>45734.0</v>
      </c>
      <c r="W344" s="505"/>
      <c r="X344" s="497"/>
      <c r="Y344" s="496"/>
      <c r="Z344" s="497"/>
      <c r="AA344" s="555" t="s">
        <v>1879</v>
      </c>
      <c r="AB344" s="499"/>
    </row>
    <row r="345">
      <c r="A345" s="487">
        <v>1427.0</v>
      </c>
      <c r="B345" s="556">
        <v>45632.0</v>
      </c>
      <c r="C345" s="489" t="s">
        <v>1407</v>
      </c>
      <c r="D345" s="489" t="s">
        <v>66</v>
      </c>
      <c r="E345" s="489" t="s">
        <v>885</v>
      </c>
      <c r="F345" s="489" t="s">
        <v>49</v>
      </c>
      <c r="G345" s="489">
        <v>1.5122521E7</v>
      </c>
      <c r="H345" s="489" t="s">
        <v>32</v>
      </c>
      <c r="I345" s="491" t="s">
        <v>2382</v>
      </c>
      <c r="J345" s="492" t="s">
        <v>2383</v>
      </c>
      <c r="K345" s="415" t="s">
        <v>1244</v>
      </c>
      <c r="L345" s="415" t="s">
        <v>2384</v>
      </c>
      <c r="M345" s="415" t="s">
        <v>1251</v>
      </c>
      <c r="N345" s="493"/>
      <c r="O345" s="494" t="s">
        <v>2327</v>
      </c>
      <c r="P345" s="495">
        <v>45643.0</v>
      </c>
      <c r="Q345" s="496"/>
      <c r="R345" s="497"/>
      <c r="S345" s="496"/>
      <c r="T345" s="497"/>
      <c r="U345" s="494" t="s">
        <v>62</v>
      </c>
      <c r="V345" s="495">
        <v>45667.0</v>
      </c>
      <c r="W345" s="498"/>
      <c r="X345" s="497"/>
      <c r="Y345" s="496"/>
      <c r="Z345" s="497"/>
      <c r="AA345" s="499"/>
      <c r="AB345" s="499"/>
    </row>
    <row r="346">
      <c r="A346" s="487">
        <v>1426.0</v>
      </c>
      <c r="B346" s="556">
        <v>45632.0</v>
      </c>
      <c r="C346" s="489" t="s">
        <v>2385</v>
      </c>
      <c r="D346" s="489" t="s">
        <v>66</v>
      </c>
      <c r="E346" s="489" t="s">
        <v>1979</v>
      </c>
      <c r="F346" s="489" t="s">
        <v>49</v>
      </c>
      <c r="G346" s="489">
        <v>1.5781628E7</v>
      </c>
      <c r="H346" s="489" t="s">
        <v>32</v>
      </c>
      <c r="I346" s="491" t="s">
        <v>2386</v>
      </c>
      <c r="J346" s="492" t="s">
        <v>2387</v>
      </c>
      <c r="K346" s="415" t="s">
        <v>1244</v>
      </c>
      <c r="L346" s="415" t="s">
        <v>812</v>
      </c>
      <c r="M346" s="415" t="s">
        <v>610</v>
      </c>
      <c r="N346" s="493"/>
      <c r="O346" s="494" t="s">
        <v>2327</v>
      </c>
      <c r="P346" s="495">
        <v>45643.0</v>
      </c>
      <c r="Q346" s="496"/>
      <c r="R346" s="497"/>
      <c r="S346" s="496"/>
      <c r="T346" s="497"/>
      <c r="U346" s="494" t="s">
        <v>62</v>
      </c>
      <c r="V346" s="495">
        <v>45727.0</v>
      </c>
      <c r="W346" s="498"/>
      <c r="X346" s="497"/>
      <c r="Y346" s="496"/>
      <c r="Z346" s="497"/>
      <c r="AA346" s="499"/>
      <c r="AB346" s="499"/>
    </row>
    <row r="347">
      <c r="A347" s="487">
        <v>1425.0</v>
      </c>
      <c r="B347" s="556">
        <v>45632.0</v>
      </c>
      <c r="C347" s="489" t="s">
        <v>2385</v>
      </c>
      <c r="D347" s="489" t="s">
        <v>66</v>
      </c>
      <c r="E347" s="489" t="s">
        <v>1979</v>
      </c>
      <c r="F347" s="489" t="s">
        <v>49</v>
      </c>
      <c r="G347" s="489">
        <v>1.5781619E7</v>
      </c>
      <c r="H347" s="489" t="s">
        <v>32</v>
      </c>
      <c r="I347" s="491" t="s">
        <v>2388</v>
      </c>
      <c r="J347" s="492" t="s">
        <v>2389</v>
      </c>
      <c r="K347" s="415" t="s">
        <v>1244</v>
      </c>
      <c r="L347" s="415" t="s">
        <v>2390</v>
      </c>
      <c r="M347" s="415" t="s">
        <v>1251</v>
      </c>
      <c r="N347" s="493"/>
      <c r="O347" s="494" t="s">
        <v>2327</v>
      </c>
      <c r="P347" s="495">
        <v>45643.0</v>
      </c>
      <c r="Q347" s="496"/>
      <c r="R347" s="497"/>
      <c r="S347" s="496"/>
      <c r="T347" s="497"/>
      <c r="U347" s="494" t="s">
        <v>62</v>
      </c>
      <c r="V347" s="495">
        <v>45679.0</v>
      </c>
      <c r="W347" s="498"/>
      <c r="X347" s="497"/>
      <c r="Y347" s="496"/>
      <c r="Z347" s="497"/>
      <c r="AA347" s="499"/>
      <c r="AB347" s="499"/>
    </row>
    <row r="348">
      <c r="A348" s="487">
        <v>1424.0</v>
      </c>
      <c r="B348" s="556">
        <v>45632.0</v>
      </c>
      <c r="C348" s="489" t="s">
        <v>2385</v>
      </c>
      <c r="D348" s="489" t="s">
        <v>66</v>
      </c>
      <c r="E348" s="489" t="s">
        <v>1979</v>
      </c>
      <c r="F348" s="489" t="s">
        <v>49</v>
      </c>
      <c r="G348" s="489">
        <v>1.578162E7</v>
      </c>
      <c r="H348" s="489" t="s">
        <v>32</v>
      </c>
      <c r="I348" s="491" t="s">
        <v>2391</v>
      </c>
      <c r="J348" s="492" t="s">
        <v>2389</v>
      </c>
      <c r="K348" s="415" t="s">
        <v>1244</v>
      </c>
      <c r="L348" s="415" t="s">
        <v>2392</v>
      </c>
      <c r="M348" s="415" t="s">
        <v>610</v>
      </c>
      <c r="N348" s="493"/>
      <c r="O348" s="494" t="s">
        <v>2327</v>
      </c>
      <c r="P348" s="495">
        <v>45643.0</v>
      </c>
      <c r="Q348" s="496"/>
      <c r="R348" s="497"/>
      <c r="S348" s="496"/>
      <c r="T348" s="497"/>
      <c r="U348" s="494" t="s">
        <v>62</v>
      </c>
      <c r="V348" s="495">
        <v>45694.0</v>
      </c>
      <c r="W348" s="498"/>
      <c r="X348" s="497"/>
      <c r="Y348" s="496"/>
      <c r="Z348" s="497"/>
      <c r="AA348" s="499"/>
      <c r="AB348" s="499"/>
    </row>
    <row r="349">
      <c r="A349" s="487">
        <v>1423.0</v>
      </c>
      <c r="B349" s="556">
        <v>45632.0</v>
      </c>
      <c r="C349" s="489" t="s">
        <v>2385</v>
      </c>
      <c r="D349" s="489" t="s">
        <v>66</v>
      </c>
      <c r="E349" s="489" t="s">
        <v>1979</v>
      </c>
      <c r="F349" s="489" t="s">
        <v>49</v>
      </c>
      <c r="G349" s="489">
        <v>1.5781621E7</v>
      </c>
      <c r="H349" s="489" t="s">
        <v>32</v>
      </c>
      <c r="I349" s="491" t="s">
        <v>2393</v>
      </c>
      <c r="J349" s="492" t="s">
        <v>2394</v>
      </c>
      <c r="K349" s="415" t="s">
        <v>1244</v>
      </c>
      <c r="L349" s="415" t="s">
        <v>2395</v>
      </c>
      <c r="M349" s="415" t="s">
        <v>1251</v>
      </c>
      <c r="N349" s="493"/>
      <c r="O349" s="494" t="s">
        <v>2327</v>
      </c>
      <c r="P349" s="495">
        <v>45643.0</v>
      </c>
      <c r="Q349" s="496"/>
      <c r="R349" s="497"/>
      <c r="S349" s="496"/>
      <c r="T349" s="497"/>
      <c r="U349" s="494" t="s">
        <v>62</v>
      </c>
      <c r="V349" s="495">
        <v>45694.0</v>
      </c>
      <c r="W349" s="498"/>
      <c r="X349" s="497"/>
      <c r="Y349" s="496"/>
      <c r="Z349" s="497"/>
      <c r="AA349" s="499"/>
      <c r="AB349" s="499"/>
    </row>
    <row r="350">
      <c r="A350" s="487">
        <v>1422.0</v>
      </c>
      <c r="B350" s="556">
        <v>45632.0</v>
      </c>
      <c r="C350" s="489" t="s">
        <v>2385</v>
      </c>
      <c r="D350" s="489" t="s">
        <v>66</v>
      </c>
      <c r="E350" s="489" t="s">
        <v>1979</v>
      </c>
      <c r="F350" s="489" t="s">
        <v>49</v>
      </c>
      <c r="G350" s="489">
        <v>1.5781625E7</v>
      </c>
      <c r="H350" s="489" t="s">
        <v>32</v>
      </c>
      <c r="I350" s="491" t="s">
        <v>2396</v>
      </c>
      <c r="J350" s="492" t="s">
        <v>2397</v>
      </c>
      <c r="K350" s="415" t="s">
        <v>1244</v>
      </c>
      <c r="L350" s="415" t="s">
        <v>2398</v>
      </c>
      <c r="M350" s="415" t="s">
        <v>1251</v>
      </c>
      <c r="N350" s="493"/>
      <c r="O350" s="494" t="s">
        <v>2327</v>
      </c>
      <c r="P350" s="495">
        <v>45643.0</v>
      </c>
      <c r="Q350" s="496"/>
      <c r="R350" s="497"/>
      <c r="S350" s="496"/>
      <c r="T350" s="497"/>
      <c r="U350" s="494" t="s">
        <v>62</v>
      </c>
      <c r="V350" s="495">
        <v>45706.0</v>
      </c>
      <c r="W350" s="498"/>
      <c r="X350" s="497"/>
      <c r="Y350" s="496"/>
      <c r="Z350" s="497"/>
      <c r="AA350" s="499"/>
      <c r="AB350" s="499"/>
    </row>
    <row r="351">
      <c r="A351" s="487">
        <v>1420.0</v>
      </c>
      <c r="B351" s="488">
        <v>45624.0</v>
      </c>
      <c r="C351" s="489" t="s">
        <v>2255</v>
      </c>
      <c r="D351" s="489" t="s">
        <v>66</v>
      </c>
      <c r="E351" s="489" t="s">
        <v>774</v>
      </c>
      <c r="F351" s="489" t="s">
        <v>2399</v>
      </c>
      <c r="G351" s="489" t="s">
        <v>50</v>
      </c>
      <c r="H351" s="489" t="s">
        <v>42</v>
      </c>
      <c r="I351" s="491" t="s">
        <v>2400</v>
      </c>
      <c r="J351" s="492" t="s">
        <v>2401</v>
      </c>
      <c r="K351" s="493"/>
      <c r="L351" s="493"/>
      <c r="M351" s="433"/>
      <c r="N351" s="493"/>
      <c r="O351" s="496"/>
      <c r="P351" s="495">
        <v>45705.0</v>
      </c>
      <c r="Q351" s="496"/>
      <c r="R351" s="497"/>
      <c r="S351" s="496"/>
      <c r="T351" s="497"/>
      <c r="U351" s="494" t="s">
        <v>62</v>
      </c>
      <c r="V351" s="495">
        <v>45705.0</v>
      </c>
      <c r="W351" s="498"/>
      <c r="X351" s="497"/>
      <c r="Y351" s="496"/>
      <c r="Z351" s="497"/>
      <c r="AA351" s="499"/>
      <c r="AB351" s="499"/>
    </row>
    <row r="352">
      <c r="A352" s="487">
        <v>1419.0</v>
      </c>
      <c r="B352" s="488">
        <v>45630.0</v>
      </c>
      <c r="C352" s="489" t="s">
        <v>1431</v>
      </c>
      <c r="D352" s="489" t="s">
        <v>359</v>
      </c>
      <c r="E352" s="489" t="s">
        <v>918</v>
      </c>
      <c r="F352" s="489" t="s">
        <v>1432</v>
      </c>
      <c r="G352" s="489">
        <v>1.6351734E7</v>
      </c>
      <c r="H352" s="489" t="s">
        <v>32</v>
      </c>
      <c r="I352" s="491" t="s">
        <v>2402</v>
      </c>
      <c r="J352" s="492" t="s">
        <v>2403</v>
      </c>
      <c r="K352" s="415" t="s">
        <v>2404</v>
      </c>
      <c r="L352" s="415" t="s">
        <v>958</v>
      </c>
      <c r="M352" s="433"/>
      <c r="N352" s="493"/>
      <c r="O352" s="496"/>
      <c r="P352" s="497"/>
      <c r="Q352" s="496"/>
      <c r="R352" s="497"/>
      <c r="S352" s="496"/>
      <c r="T352" s="497"/>
      <c r="U352" s="494" t="s">
        <v>62</v>
      </c>
      <c r="V352" s="495">
        <v>45664.0</v>
      </c>
      <c r="W352" s="498"/>
      <c r="X352" s="497"/>
      <c r="Y352" s="496"/>
      <c r="Z352" s="497"/>
      <c r="AA352" s="499"/>
      <c r="AB352" s="499"/>
    </row>
    <row r="353">
      <c r="A353" s="487">
        <v>1418.0</v>
      </c>
      <c r="B353" s="488">
        <v>45630.0</v>
      </c>
      <c r="C353" s="489" t="s">
        <v>2405</v>
      </c>
      <c r="D353" s="489" t="s">
        <v>29</v>
      </c>
      <c r="E353" s="489" t="s">
        <v>2406</v>
      </c>
      <c r="F353" s="489" t="s">
        <v>2407</v>
      </c>
      <c r="G353" s="489">
        <v>1.963031E7</v>
      </c>
      <c r="H353" s="557" t="s">
        <v>135</v>
      </c>
      <c r="I353" s="491" t="s">
        <v>2408</v>
      </c>
      <c r="J353" s="492" t="s">
        <v>2409</v>
      </c>
      <c r="K353" s="415" t="s">
        <v>2410</v>
      </c>
      <c r="L353" s="415" t="s">
        <v>2411</v>
      </c>
      <c r="M353" s="415" t="s">
        <v>2412</v>
      </c>
      <c r="N353" s="493"/>
      <c r="O353" s="494" t="s">
        <v>62</v>
      </c>
      <c r="P353" s="495">
        <v>45751.0</v>
      </c>
      <c r="Q353" s="496"/>
      <c r="R353" s="497"/>
      <c r="S353" s="494" t="s">
        <v>62</v>
      </c>
      <c r="T353" s="558">
        <v>45751.0</v>
      </c>
      <c r="U353" s="494" t="s">
        <v>62</v>
      </c>
      <c r="V353" s="495">
        <v>45784.0</v>
      </c>
      <c r="W353" s="498"/>
      <c r="X353" s="497"/>
      <c r="Y353" s="496"/>
      <c r="Z353" s="497"/>
      <c r="AA353" s="519" t="s">
        <v>2413</v>
      </c>
      <c r="AB353" s="499"/>
    </row>
    <row r="354">
      <c r="A354" s="487">
        <v>1417.0</v>
      </c>
      <c r="B354" s="500">
        <v>45629.0</v>
      </c>
      <c r="C354" s="489" t="s">
        <v>2315</v>
      </c>
      <c r="D354" s="489" t="s">
        <v>359</v>
      </c>
      <c r="E354" s="489" t="s">
        <v>2316</v>
      </c>
      <c r="F354" s="260" t="s">
        <v>300</v>
      </c>
      <c r="G354" s="489" t="s">
        <v>50</v>
      </c>
      <c r="H354" s="260" t="s">
        <v>570</v>
      </c>
      <c r="I354" s="491" t="s">
        <v>2414</v>
      </c>
      <c r="J354" s="492" t="s">
        <v>2415</v>
      </c>
      <c r="K354" s="415" t="s">
        <v>2416</v>
      </c>
      <c r="L354" s="415" t="s">
        <v>2417</v>
      </c>
      <c r="M354" s="520" t="s">
        <v>2418</v>
      </c>
      <c r="N354" s="493"/>
      <c r="O354" s="494" t="s">
        <v>62</v>
      </c>
      <c r="P354" s="495">
        <v>45632.0</v>
      </c>
      <c r="Q354" s="496"/>
      <c r="R354" s="497"/>
      <c r="S354" s="496"/>
      <c r="T354" s="497"/>
      <c r="U354" s="496"/>
      <c r="V354" s="497"/>
      <c r="W354" s="526"/>
      <c r="X354" s="497"/>
      <c r="Y354" s="496"/>
      <c r="Z354" s="497"/>
      <c r="AA354" s="545">
        <v>2.0250213E7</v>
      </c>
      <c r="AB354" s="499"/>
    </row>
    <row r="355">
      <c r="A355" s="487">
        <v>1416.0</v>
      </c>
      <c r="B355" s="488">
        <v>45629.0</v>
      </c>
      <c r="C355" s="489" t="s">
        <v>2419</v>
      </c>
      <c r="D355" s="489" t="s">
        <v>66</v>
      </c>
      <c r="E355" s="489" t="s">
        <v>2035</v>
      </c>
      <c r="F355" s="260" t="s">
        <v>41</v>
      </c>
      <c r="G355" s="489">
        <v>1.660103E7</v>
      </c>
      <c r="H355" s="260" t="s">
        <v>51</v>
      </c>
      <c r="I355" s="263" t="s">
        <v>2239</v>
      </c>
      <c r="J355" s="263" t="s">
        <v>2420</v>
      </c>
      <c r="K355" s="415" t="s">
        <v>2038</v>
      </c>
      <c r="L355" s="415" t="s">
        <v>812</v>
      </c>
      <c r="M355" s="525" t="s">
        <v>610</v>
      </c>
      <c r="N355" s="493"/>
      <c r="O355" s="494" t="s">
        <v>62</v>
      </c>
      <c r="P355" s="495">
        <v>45629.0</v>
      </c>
      <c r="Q355" s="496"/>
      <c r="R355" s="497"/>
      <c r="S355" s="496"/>
      <c r="T355" s="497"/>
      <c r="U355" s="494" t="s">
        <v>62</v>
      </c>
      <c r="V355" s="495">
        <v>45636.0</v>
      </c>
      <c r="W355" s="526"/>
      <c r="X355" s="497"/>
      <c r="Y355" s="496"/>
      <c r="Z355" s="497"/>
      <c r="AA355" s="499"/>
      <c r="AB355" s="499"/>
    </row>
    <row r="356">
      <c r="A356" s="487">
        <v>1415.0</v>
      </c>
      <c r="B356" s="488">
        <v>45629.0</v>
      </c>
      <c r="C356" s="489" t="s">
        <v>2419</v>
      </c>
      <c r="D356" s="489" t="s">
        <v>66</v>
      </c>
      <c r="E356" s="489" t="s">
        <v>2035</v>
      </c>
      <c r="F356" s="489" t="s">
        <v>41</v>
      </c>
      <c r="G356" s="489">
        <v>1.6601027E7</v>
      </c>
      <c r="H356" s="489" t="s">
        <v>51</v>
      </c>
      <c r="I356" s="263" t="s">
        <v>2421</v>
      </c>
      <c r="J356" s="263" t="s">
        <v>2420</v>
      </c>
      <c r="K356" s="415" t="s">
        <v>2038</v>
      </c>
      <c r="L356" s="415" t="s">
        <v>812</v>
      </c>
      <c r="M356" s="525" t="s">
        <v>610</v>
      </c>
      <c r="N356" s="493"/>
      <c r="O356" s="494" t="s">
        <v>62</v>
      </c>
      <c r="P356" s="495">
        <v>45629.0</v>
      </c>
      <c r="Q356" s="496"/>
      <c r="R356" s="497"/>
      <c r="S356" s="496"/>
      <c r="T356" s="497"/>
      <c r="U356" s="494" t="s">
        <v>62</v>
      </c>
      <c r="V356" s="495">
        <v>45636.0</v>
      </c>
      <c r="W356" s="526"/>
      <c r="X356" s="497"/>
      <c r="Y356" s="496"/>
      <c r="Z356" s="497"/>
      <c r="AA356" s="499"/>
      <c r="AB356" s="499"/>
    </row>
    <row r="357">
      <c r="A357" s="559">
        <v>1413.0</v>
      </c>
      <c r="B357" s="560">
        <v>45624.0</v>
      </c>
      <c r="C357" s="561" t="s">
        <v>2422</v>
      </c>
      <c r="D357" s="561"/>
      <c r="E357" s="561" t="s">
        <v>374</v>
      </c>
      <c r="F357" s="561" t="s">
        <v>49</v>
      </c>
      <c r="G357" s="561" t="s">
        <v>50</v>
      </c>
      <c r="H357" s="561" t="s">
        <v>103</v>
      </c>
      <c r="I357" s="562" t="s">
        <v>2423</v>
      </c>
      <c r="J357" s="332" t="s">
        <v>2424</v>
      </c>
      <c r="K357" s="539" t="s">
        <v>377</v>
      </c>
      <c r="L357" s="563" t="s">
        <v>378</v>
      </c>
      <c r="M357" s="564" t="s">
        <v>1162</v>
      </c>
      <c r="N357" s="334"/>
      <c r="O357" s="335" t="s">
        <v>62</v>
      </c>
      <c r="P357" s="337"/>
      <c r="Q357" s="334"/>
      <c r="R357" s="337"/>
      <c r="S357" s="565" t="s">
        <v>62</v>
      </c>
      <c r="T357" s="337"/>
      <c r="U357" s="335" t="s">
        <v>62</v>
      </c>
      <c r="V357" s="337"/>
      <c r="W357" s="486"/>
      <c r="X357" s="337"/>
      <c r="Y357" s="334"/>
      <c r="Z357" s="337"/>
      <c r="AA357" s="553" t="s">
        <v>2067</v>
      </c>
      <c r="AB357" s="566"/>
    </row>
    <row r="358">
      <c r="A358" s="559">
        <v>1412.0</v>
      </c>
      <c r="B358" s="560">
        <v>45624.0</v>
      </c>
      <c r="C358" s="561" t="s">
        <v>2422</v>
      </c>
      <c r="D358" s="561"/>
      <c r="E358" s="561" t="s">
        <v>374</v>
      </c>
      <c r="F358" s="561" t="s">
        <v>49</v>
      </c>
      <c r="G358" s="561" t="s">
        <v>50</v>
      </c>
      <c r="H358" s="561" t="s">
        <v>103</v>
      </c>
      <c r="I358" s="562" t="s">
        <v>2423</v>
      </c>
      <c r="J358" s="567" t="s">
        <v>2425</v>
      </c>
      <c r="K358" s="539" t="s">
        <v>377</v>
      </c>
      <c r="L358" s="563" t="s">
        <v>378</v>
      </c>
      <c r="M358" s="564" t="s">
        <v>1162</v>
      </c>
      <c r="N358" s="334"/>
      <c r="O358" s="333"/>
      <c r="P358" s="337"/>
      <c r="Q358" s="334"/>
      <c r="R358" s="337"/>
      <c r="S358" s="334"/>
      <c r="T358" s="337"/>
      <c r="U358" s="335" t="s">
        <v>62</v>
      </c>
      <c r="V358" s="337"/>
      <c r="W358" s="486"/>
      <c r="X358" s="337"/>
      <c r="Y358" s="334"/>
      <c r="Z358" s="337"/>
      <c r="AA358" s="568" t="s">
        <v>2067</v>
      </c>
      <c r="AB358" s="566"/>
    </row>
    <row r="359">
      <c r="A359" s="559">
        <v>1411.0</v>
      </c>
      <c r="B359" s="560">
        <v>45624.0</v>
      </c>
      <c r="C359" s="561" t="s">
        <v>2422</v>
      </c>
      <c r="D359" s="561"/>
      <c r="E359" s="561" t="s">
        <v>374</v>
      </c>
      <c r="F359" s="418" t="s">
        <v>49</v>
      </c>
      <c r="G359" s="561" t="s">
        <v>50</v>
      </c>
      <c r="H359" s="418" t="s">
        <v>103</v>
      </c>
      <c r="I359" s="562" t="s">
        <v>2423</v>
      </c>
      <c r="J359" s="567" t="s">
        <v>2425</v>
      </c>
      <c r="K359" s="539" t="s">
        <v>377</v>
      </c>
      <c r="L359" s="563" t="s">
        <v>378</v>
      </c>
      <c r="M359" s="564" t="s">
        <v>1162</v>
      </c>
      <c r="N359" s="334"/>
      <c r="O359" s="333"/>
      <c r="P359" s="337"/>
      <c r="Q359" s="334"/>
      <c r="R359" s="337"/>
      <c r="S359" s="334"/>
      <c r="T359" s="337"/>
      <c r="U359" s="335" t="s">
        <v>62</v>
      </c>
      <c r="V359" s="337"/>
      <c r="W359" s="486"/>
      <c r="X359" s="337"/>
      <c r="Y359" s="334"/>
      <c r="Z359" s="337"/>
      <c r="AA359" s="568" t="s">
        <v>2067</v>
      </c>
      <c r="AB359" s="566"/>
    </row>
    <row r="360">
      <c r="A360" s="559">
        <v>1410.0</v>
      </c>
      <c r="B360" s="560">
        <v>45624.0</v>
      </c>
      <c r="C360" s="561" t="s">
        <v>2422</v>
      </c>
      <c r="D360" s="561"/>
      <c r="E360" s="561" t="s">
        <v>374</v>
      </c>
      <c r="F360" s="561" t="s">
        <v>49</v>
      </c>
      <c r="G360" s="561" t="s">
        <v>50</v>
      </c>
      <c r="H360" s="561" t="s">
        <v>103</v>
      </c>
      <c r="I360" s="562" t="s">
        <v>2423</v>
      </c>
      <c r="J360" s="567" t="s">
        <v>2425</v>
      </c>
      <c r="K360" s="539" t="s">
        <v>377</v>
      </c>
      <c r="L360" s="563" t="s">
        <v>378</v>
      </c>
      <c r="M360" s="564" t="s">
        <v>1162</v>
      </c>
      <c r="N360" s="334"/>
      <c r="O360" s="333"/>
      <c r="P360" s="337"/>
      <c r="Q360" s="334"/>
      <c r="R360" s="337"/>
      <c r="S360" s="334"/>
      <c r="T360" s="337"/>
      <c r="U360" s="335" t="s">
        <v>62</v>
      </c>
      <c r="V360" s="337"/>
      <c r="W360" s="486"/>
      <c r="X360" s="337"/>
      <c r="Y360" s="334"/>
      <c r="Z360" s="337"/>
      <c r="AA360" s="568" t="s">
        <v>2067</v>
      </c>
      <c r="AB360" s="566"/>
    </row>
    <row r="361">
      <c r="A361" s="559">
        <v>1409.0</v>
      </c>
      <c r="B361" s="560">
        <v>45624.0</v>
      </c>
      <c r="C361" s="569" t="s">
        <v>2426</v>
      </c>
      <c r="D361" s="570" t="s">
        <v>2427</v>
      </c>
      <c r="E361" s="561" t="s">
        <v>374</v>
      </c>
      <c r="F361" s="561" t="s">
        <v>49</v>
      </c>
      <c r="G361" s="561" t="s">
        <v>50</v>
      </c>
      <c r="H361" s="561" t="s">
        <v>103</v>
      </c>
      <c r="I361" s="562" t="s">
        <v>2423</v>
      </c>
      <c r="J361" s="567" t="s">
        <v>2428</v>
      </c>
      <c r="K361" s="539" t="s">
        <v>377</v>
      </c>
      <c r="L361" s="563" t="s">
        <v>378</v>
      </c>
      <c r="M361" s="564" t="s">
        <v>1162</v>
      </c>
      <c r="N361" s="563"/>
      <c r="O361" s="539"/>
      <c r="P361" s="571"/>
      <c r="Q361" s="563"/>
      <c r="R361" s="571"/>
      <c r="S361" s="563"/>
      <c r="T361" s="571"/>
      <c r="U361" s="335" t="s">
        <v>62</v>
      </c>
      <c r="V361" s="571"/>
      <c r="W361" s="572"/>
      <c r="X361" s="571"/>
      <c r="Y361" s="563"/>
      <c r="Z361" s="571"/>
      <c r="AA361" s="568" t="s">
        <v>2067</v>
      </c>
      <c r="AB361" s="566"/>
    </row>
    <row r="362">
      <c r="A362" s="559">
        <v>1408.0</v>
      </c>
      <c r="B362" s="328">
        <v>45623.0</v>
      </c>
      <c r="C362" s="561" t="s">
        <v>2367</v>
      </c>
      <c r="D362" s="561" t="s">
        <v>66</v>
      </c>
      <c r="E362" s="561" t="s">
        <v>714</v>
      </c>
      <c r="F362" s="561" t="s">
        <v>49</v>
      </c>
      <c r="G362" s="561" t="s">
        <v>50</v>
      </c>
      <c r="H362" s="561" t="s">
        <v>103</v>
      </c>
      <c r="I362" s="562" t="s">
        <v>2423</v>
      </c>
      <c r="J362" s="567" t="s">
        <v>2429</v>
      </c>
      <c r="K362" s="539" t="s">
        <v>377</v>
      </c>
      <c r="L362" s="563" t="s">
        <v>378</v>
      </c>
      <c r="M362" s="573" t="s">
        <v>1162</v>
      </c>
      <c r="N362" s="563"/>
      <c r="O362" s="539"/>
      <c r="P362" s="571"/>
      <c r="Q362" s="563"/>
      <c r="R362" s="571"/>
      <c r="S362" s="563"/>
      <c r="T362" s="571"/>
      <c r="U362" s="335" t="s">
        <v>62</v>
      </c>
      <c r="V362" s="571"/>
      <c r="W362" s="572"/>
      <c r="X362" s="571"/>
      <c r="Y362" s="563"/>
      <c r="Z362" s="571"/>
      <c r="AA362" s="568" t="s">
        <v>2067</v>
      </c>
      <c r="AB362" s="566"/>
    </row>
    <row r="363">
      <c r="A363" s="559">
        <v>1407.0</v>
      </c>
      <c r="B363" s="328">
        <v>45623.0</v>
      </c>
      <c r="C363" s="561" t="s">
        <v>2367</v>
      </c>
      <c r="D363" s="561" t="s">
        <v>66</v>
      </c>
      <c r="E363" s="561" t="s">
        <v>714</v>
      </c>
      <c r="F363" s="561" t="s">
        <v>49</v>
      </c>
      <c r="G363" s="574">
        <v>1.9230149E7</v>
      </c>
      <c r="H363" s="561" t="s">
        <v>103</v>
      </c>
      <c r="I363" s="562" t="s">
        <v>2423</v>
      </c>
      <c r="J363" s="567" t="s">
        <v>2428</v>
      </c>
      <c r="K363" s="539" t="s">
        <v>377</v>
      </c>
      <c r="L363" s="563" t="s">
        <v>378</v>
      </c>
      <c r="M363" s="564" t="s">
        <v>1162</v>
      </c>
      <c r="N363" s="563"/>
      <c r="O363" s="539"/>
      <c r="P363" s="571"/>
      <c r="Q363" s="563"/>
      <c r="R363" s="571"/>
      <c r="S363" s="563"/>
      <c r="T363" s="571"/>
      <c r="U363" s="335" t="s">
        <v>62</v>
      </c>
      <c r="V363" s="575">
        <v>45764.0</v>
      </c>
      <c r="W363" s="572"/>
      <c r="X363" s="571"/>
      <c r="Y363" s="563"/>
      <c r="Z363" s="571"/>
      <c r="AA363" s="568" t="s">
        <v>2067</v>
      </c>
      <c r="AB363" s="566"/>
    </row>
    <row r="364">
      <c r="A364" s="522">
        <v>1405.0</v>
      </c>
      <c r="B364" s="576">
        <v>45622.0</v>
      </c>
      <c r="C364" s="489" t="s">
        <v>825</v>
      </c>
      <c r="D364" s="521" t="s">
        <v>66</v>
      </c>
      <c r="E364" s="521" t="s">
        <v>239</v>
      </c>
      <c r="F364" s="521" t="s">
        <v>240</v>
      </c>
      <c r="G364" s="522">
        <v>1.7190901E7</v>
      </c>
      <c r="H364" s="521" t="s">
        <v>103</v>
      </c>
      <c r="I364" s="491" t="s">
        <v>2430</v>
      </c>
      <c r="J364" s="524" t="s">
        <v>2431</v>
      </c>
      <c r="K364" s="518" t="s">
        <v>243</v>
      </c>
      <c r="L364" s="518" t="s">
        <v>2432</v>
      </c>
      <c r="M364" s="520" t="s">
        <v>2433</v>
      </c>
      <c r="N364" s="577"/>
      <c r="O364" s="578"/>
      <c r="P364" s="579"/>
      <c r="Q364" s="580" t="s">
        <v>62</v>
      </c>
      <c r="R364" s="581">
        <v>45646.0</v>
      </c>
      <c r="S364" s="578"/>
      <c r="T364" s="579"/>
      <c r="U364" s="580" t="s">
        <v>62</v>
      </c>
      <c r="V364" s="581">
        <v>45674.0</v>
      </c>
      <c r="W364" s="582"/>
      <c r="X364" s="583"/>
      <c r="Y364" s="584"/>
      <c r="Z364" s="583"/>
      <c r="AA364" s="499"/>
      <c r="AB364" s="585"/>
    </row>
    <row r="365">
      <c r="A365" s="586">
        <v>1404.0</v>
      </c>
      <c r="B365" s="576">
        <v>45485.0</v>
      </c>
      <c r="C365" s="489" t="s">
        <v>1407</v>
      </c>
      <c r="D365" s="521" t="s">
        <v>66</v>
      </c>
      <c r="E365" s="521" t="s">
        <v>885</v>
      </c>
      <c r="F365" s="521" t="s">
        <v>49</v>
      </c>
      <c r="G365" s="522">
        <v>1.5122512E7</v>
      </c>
      <c r="H365" s="521" t="s">
        <v>32</v>
      </c>
      <c r="I365" s="491" t="s">
        <v>2434</v>
      </c>
      <c r="J365" s="492" t="s">
        <v>2435</v>
      </c>
      <c r="K365" s="518" t="s">
        <v>1244</v>
      </c>
      <c r="L365" s="518" t="s">
        <v>2436</v>
      </c>
      <c r="M365" s="518" t="s">
        <v>1251</v>
      </c>
      <c r="N365" s="577"/>
      <c r="O365" s="580" t="s">
        <v>62</v>
      </c>
      <c r="P365" s="581">
        <v>45491.0</v>
      </c>
      <c r="Q365" s="578"/>
      <c r="R365" s="579"/>
      <c r="S365" s="578"/>
      <c r="T365" s="579"/>
      <c r="U365" s="494" t="s">
        <v>62</v>
      </c>
      <c r="V365" s="579"/>
      <c r="W365" s="582"/>
      <c r="X365" s="583"/>
      <c r="Y365" s="584"/>
      <c r="Z365" s="583"/>
      <c r="AA365" s="545">
        <v>2.0250213E7</v>
      </c>
      <c r="AB365" s="585"/>
    </row>
    <row r="366">
      <c r="A366" s="586">
        <v>1403.0</v>
      </c>
      <c r="B366" s="576">
        <v>45485.0</v>
      </c>
      <c r="C366" s="489" t="s">
        <v>1407</v>
      </c>
      <c r="D366" s="521" t="s">
        <v>66</v>
      </c>
      <c r="E366" s="521" t="s">
        <v>885</v>
      </c>
      <c r="F366" s="521" t="s">
        <v>49</v>
      </c>
      <c r="G366" s="522">
        <v>1.5122511E7</v>
      </c>
      <c r="H366" s="521" t="s">
        <v>32</v>
      </c>
      <c r="I366" s="523" t="s">
        <v>2437</v>
      </c>
      <c r="J366" s="492" t="s">
        <v>2438</v>
      </c>
      <c r="K366" s="518" t="s">
        <v>1244</v>
      </c>
      <c r="L366" s="518" t="s">
        <v>2439</v>
      </c>
      <c r="M366" s="518" t="s">
        <v>1251</v>
      </c>
      <c r="N366" s="577"/>
      <c r="O366" s="580" t="s">
        <v>62</v>
      </c>
      <c r="P366" s="581">
        <v>45491.0</v>
      </c>
      <c r="Q366" s="578"/>
      <c r="R366" s="579"/>
      <c r="S366" s="578"/>
      <c r="T366" s="579"/>
      <c r="U366" s="494" t="s">
        <v>62</v>
      </c>
      <c r="V366" s="579"/>
      <c r="W366" s="587"/>
      <c r="X366" s="579"/>
      <c r="Y366" s="578"/>
      <c r="Z366" s="579"/>
      <c r="AA366" s="545">
        <v>2.0250213E7</v>
      </c>
      <c r="AB366" s="588"/>
    </row>
    <row r="367">
      <c r="A367" s="586">
        <v>1402.0</v>
      </c>
      <c r="B367" s="576">
        <v>45485.0</v>
      </c>
      <c r="C367" s="489" t="s">
        <v>1407</v>
      </c>
      <c r="D367" s="521" t="s">
        <v>66</v>
      </c>
      <c r="E367" s="521" t="s">
        <v>885</v>
      </c>
      <c r="F367" s="521" t="s">
        <v>49</v>
      </c>
      <c r="G367" s="522">
        <v>1.5781614E7</v>
      </c>
      <c r="H367" s="521" t="s">
        <v>32</v>
      </c>
      <c r="I367" s="491" t="s">
        <v>2440</v>
      </c>
      <c r="J367" s="492" t="s">
        <v>2441</v>
      </c>
      <c r="K367" s="518" t="s">
        <v>1244</v>
      </c>
      <c r="L367" s="518" t="s">
        <v>1278</v>
      </c>
      <c r="M367" s="518" t="s">
        <v>1234</v>
      </c>
      <c r="N367" s="577"/>
      <c r="O367" s="580" t="s">
        <v>62</v>
      </c>
      <c r="P367" s="581">
        <v>45491.0</v>
      </c>
      <c r="Q367" s="578"/>
      <c r="R367" s="579"/>
      <c r="S367" s="578"/>
      <c r="T367" s="579"/>
      <c r="U367" s="578"/>
      <c r="V367" s="579"/>
      <c r="W367" s="589"/>
      <c r="X367" s="581"/>
      <c r="Y367" s="578"/>
      <c r="Z367" s="579"/>
      <c r="AA367" s="545">
        <v>2.0250213E7</v>
      </c>
      <c r="AB367" s="588"/>
    </row>
    <row r="368">
      <c r="A368" s="586">
        <v>1401.0</v>
      </c>
      <c r="B368" s="590">
        <v>45622.0</v>
      </c>
      <c r="C368" s="489" t="s">
        <v>2358</v>
      </c>
      <c r="D368" s="521" t="s">
        <v>66</v>
      </c>
      <c r="E368" s="521" t="s">
        <v>227</v>
      </c>
      <c r="F368" s="521" t="s">
        <v>228</v>
      </c>
      <c r="G368" s="522">
        <v>1.9620383E7</v>
      </c>
      <c r="H368" s="521" t="s">
        <v>135</v>
      </c>
      <c r="I368" s="523" t="s">
        <v>1061</v>
      </c>
      <c r="J368" s="492" t="s">
        <v>2442</v>
      </c>
      <c r="K368" s="525" t="s">
        <v>231</v>
      </c>
      <c r="L368" s="525" t="s">
        <v>2073</v>
      </c>
      <c r="M368" s="525" t="s">
        <v>1065</v>
      </c>
      <c r="N368" s="577"/>
      <c r="O368" s="591" t="s">
        <v>62</v>
      </c>
      <c r="P368" s="581">
        <v>45622.0</v>
      </c>
      <c r="Q368" s="578"/>
      <c r="R368" s="579"/>
      <c r="S368" s="578"/>
      <c r="T368" s="579"/>
      <c r="U368" s="591" t="s">
        <v>62</v>
      </c>
      <c r="V368" s="579"/>
      <c r="W368" s="587"/>
      <c r="X368" s="579"/>
      <c r="Y368" s="578"/>
      <c r="Z368" s="579"/>
      <c r="AA368" s="545">
        <v>2.0250213E7</v>
      </c>
      <c r="AB368" s="588"/>
    </row>
    <row r="369">
      <c r="A369" s="586">
        <v>1400.0</v>
      </c>
      <c r="B369" s="576">
        <v>45098.0</v>
      </c>
      <c r="C369" s="489" t="s">
        <v>2443</v>
      </c>
      <c r="D369" s="521" t="s">
        <v>29</v>
      </c>
      <c r="E369" s="521" t="s">
        <v>774</v>
      </c>
      <c r="F369" s="489" t="s">
        <v>2444</v>
      </c>
      <c r="G369" s="521">
        <v>1.9280069E7</v>
      </c>
      <c r="H369" s="489" t="s">
        <v>42</v>
      </c>
      <c r="I369" s="491" t="s">
        <v>2445</v>
      </c>
      <c r="J369" s="492" t="s">
        <v>2446</v>
      </c>
      <c r="K369" s="525" t="s">
        <v>1746</v>
      </c>
      <c r="L369" s="525" t="s">
        <v>2447</v>
      </c>
      <c r="M369" s="525" t="s">
        <v>1748</v>
      </c>
      <c r="N369" s="577"/>
      <c r="O369" s="580" t="s">
        <v>62</v>
      </c>
      <c r="P369" s="581">
        <v>45751.0</v>
      </c>
      <c r="Q369" s="578"/>
      <c r="R369" s="579"/>
      <c r="S369" s="578"/>
      <c r="T369" s="579"/>
      <c r="U369" s="580" t="s">
        <v>62</v>
      </c>
      <c r="V369" s="592">
        <v>45803.0</v>
      </c>
      <c r="W369" s="593"/>
      <c r="X369" s="583"/>
      <c r="Y369" s="584"/>
      <c r="Z369" s="583"/>
      <c r="AA369" s="541" t="s">
        <v>1879</v>
      </c>
      <c r="AB369" s="545" t="s">
        <v>2448</v>
      </c>
    </row>
    <row r="370">
      <c r="A370" s="487">
        <v>1398.0</v>
      </c>
      <c r="B370" s="500">
        <v>45618.0</v>
      </c>
      <c r="C370" s="489" t="s">
        <v>1646</v>
      </c>
      <c r="D370" s="489" t="s">
        <v>66</v>
      </c>
      <c r="E370" s="489" t="s">
        <v>48</v>
      </c>
      <c r="F370" s="489" t="s">
        <v>49</v>
      </c>
      <c r="G370" s="489" t="s">
        <v>50</v>
      </c>
      <c r="H370" s="489" t="s">
        <v>51</v>
      </c>
      <c r="I370" s="491" t="s">
        <v>2449</v>
      </c>
      <c r="J370" s="492" t="s">
        <v>2450</v>
      </c>
      <c r="K370" s="525" t="s">
        <v>143</v>
      </c>
      <c r="L370" s="594" t="s">
        <v>613</v>
      </c>
      <c r="M370" s="595" t="s">
        <v>610</v>
      </c>
      <c r="N370" s="493"/>
      <c r="O370" s="494" t="s">
        <v>62</v>
      </c>
      <c r="P370" s="495">
        <v>45621.0</v>
      </c>
      <c r="Q370" s="496"/>
      <c r="R370" s="497"/>
      <c r="S370" s="496"/>
      <c r="T370" s="497"/>
      <c r="U370" s="496"/>
      <c r="V370" s="497"/>
      <c r="W370" s="526"/>
      <c r="X370" s="497"/>
      <c r="Y370" s="496"/>
      <c r="Z370" s="497"/>
      <c r="AA370" s="545">
        <v>2.0250213E7</v>
      </c>
      <c r="AB370" s="499"/>
    </row>
    <row r="371">
      <c r="A371" s="327">
        <v>1390.0</v>
      </c>
      <c r="B371" s="328">
        <v>45615.0</v>
      </c>
      <c r="C371" s="329" t="s">
        <v>2451</v>
      </c>
      <c r="D371" s="329" t="s">
        <v>66</v>
      </c>
      <c r="E371" s="329" t="s">
        <v>2452</v>
      </c>
      <c r="F371" s="329" t="s">
        <v>2453</v>
      </c>
      <c r="G371" s="329" t="s">
        <v>50</v>
      </c>
      <c r="H371" s="329" t="s">
        <v>570</v>
      </c>
      <c r="I371" s="331" t="s">
        <v>2454</v>
      </c>
      <c r="J371" s="485" t="s">
        <v>2455</v>
      </c>
      <c r="K371" s="333" t="s">
        <v>2456</v>
      </c>
      <c r="L371" s="334" t="s">
        <v>2457</v>
      </c>
      <c r="M371" s="334" t="s">
        <v>2458</v>
      </c>
      <c r="N371" s="334"/>
      <c r="O371" s="333"/>
      <c r="P371" s="337"/>
      <c r="Q371" s="565" t="s">
        <v>62</v>
      </c>
      <c r="R371" s="337"/>
      <c r="S371" s="334"/>
      <c r="T371" s="337"/>
      <c r="U371" s="335" t="s">
        <v>62</v>
      </c>
      <c r="V371" s="337"/>
      <c r="W371" s="486"/>
      <c r="X371" s="337"/>
      <c r="Y371" s="334"/>
      <c r="Z371" s="337"/>
      <c r="AA371" s="334"/>
      <c r="AB371" s="334"/>
    </row>
    <row r="372">
      <c r="A372" s="487">
        <v>1389.0</v>
      </c>
      <c r="B372" s="500">
        <v>45617.0</v>
      </c>
      <c r="C372" s="489" t="s">
        <v>1646</v>
      </c>
      <c r="D372" s="489" t="s">
        <v>66</v>
      </c>
      <c r="E372" s="489" t="s">
        <v>48</v>
      </c>
      <c r="F372" s="489" t="s">
        <v>160</v>
      </c>
      <c r="G372" s="489" t="s">
        <v>50</v>
      </c>
      <c r="H372" s="489" t="s">
        <v>51</v>
      </c>
      <c r="I372" s="491" t="s">
        <v>2459</v>
      </c>
      <c r="J372" s="492" t="s">
        <v>2460</v>
      </c>
      <c r="K372" s="415" t="s">
        <v>2295</v>
      </c>
      <c r="L372" s="493"/>
      <c r="M372" s="493"/>
      <c r="N372" s="493"/>
      <c r="O372" s="494" t="s">
        <v>62</v>
      </c>
      <c r="P372" s="495">
        <v>45630.0</v>
      </c>
      <c r="Q372" s="496"/>
      <c r="R372" s="497"/>
      <c r="S372" s="496"/>
      <c r="T372" s="497"/>
      <c r="U372" s="496"/>
      <c r="V372" s="497"/>
      <c r="W372" s="526"/>
      <c r="X372" s="497"/>
      <c r="Y372" s="496"/>
      <c r="Z372" s="497"/>
      <c r="AA372" s="545">
        <v>2.0250213E7</v>
      </c>
      <c r="AB372" s="499"/>
    </row>
    <row r="373">
      <c r="A373" s="487">
        <v>1388.0</v>
      </c>
      <c r="B373" s="488">
        <v>45617.0</v>
      </c>
      <c r="C373" s="489" t="s">
        <v>2461</v>
      </c>
      <c r="D373" s="489" t="s">
        <v>29</v>
      </c>
      <c r="E373" s="489" t="s">
        <v>923</v>
      </c>
      <c r="F373" s="489" t="s">
        <v>924</v>
      </c>
      <c r="G373" s="489" t="s">
        <v>50</v>
      </c>
      <c r="H373" s="521" t="s">
        <v>2462</v>
      </c>
      <c r="I373" s="491" t="s">
        <v>2463</v>
      </c>
      <c r="J373" s="492" t="s">
        <v>2464</v>
      </c>
      <c r="K373" s="415" t="s">
        <v>2465</v>
      </c>
      <c r="L373" s="415" t="s">
        <v>905</v>
      </c>
      <c r="M373" s="415" t="s">
        <v>2466</v>
      </c>
      <c r="N373" s="493"/>
      <c r="O373" s="496"/>
      <c r="P373" s="497"/>
      <c r="Q373" s="496"/>
      <c r="R373" s="497"/>
      <c r="S373" s="496"/>
      <c r="T373" s="497"/>
      <c r="U373" s="494" t="s">
        <v>150</v>
      </c>
      <c r="V373" s="497"/>
      <c r="W373" s="498"/>
      <c r="X373" s="497"/>
      <c r="Y373" s="496"/>
      <c r="Z373" s="497"/>
      <c r="AA373" s="555" t="s">
        <v>1879</v>
      </c>
      <c r="AB373" s="499"/>
    </row>
    <row r="374">
      <c r="A374" s="487">
        <v>1387.0</v>
      </c>
      <c r="B374" s="488">
        <v>45617.0</v>
      </c>
      <c r="C374" s="489" t="s">
        <v>2461</v>
      </c>
      <c r="D374" s="489" t="s">
        <v>29</v>
      </c>
      <c r="E374" s="489" t="s">
        <v>923</v>
      </c>
      <c r="F374" s="489" t="s">
        <v>924</v>
      </c>
      <c r="G374" s="489" t="s">
        <v>50</v>
      </c>
      <c r="H374" s="521" t="s">
        <v>2462</v>
      </c>
      <c r="I374" s="491" t="s">
        <v>2467</v>
      </c>
      <c r="J374" s="492" t="s">
        <v>2468</v>
      </c>
      <c r="K374" s="415" t="s">
        <v>2465</v>
      </c>
      <c r="L374" s="415" t="s">
        <v>905</v>
      </c>
      <c r="M374" s="415" t="s">
        <v>2466</v>
      </c>
      <c r="N374" s="493"/>
      <c r="O374" s="496"/>
      <c r="P374" s="497"/>
      <c r="Q374" s="496"/>
      <c r="R374" s="497"/>
      <c r="S374" s="496"/>
      <c r="T374" s="497"/>
      <c r="U374" s="494" t="s">
        <v>150</v>
      </c>
      <c r="V374" s="497"/>
      <c r="W374" s="498"/>
      <c r="X374" s="497"/>
      <c r="Y374" s="496"/>
      <c r="Z374" s="497"/>
      <c r="AA374" s="555" t="s">
        <v>1879</v>
      </c>
      <c r="AB374" s="499"/>
    </row>
    <row r="375">
      <c r="A375" s="487">
        <v>1386.0</v>
      </c>
      <c r="B375" s="500">
        <v>45617.0</v>
      </c>
      <c r="C375" s="489" t="s">
        <v>2469</v>
      </c>
      <c r="D375" s="489" t="s">
        <v>66</v>
      </c>
      <c r="E375" s="489" t="s">
        <v>404</v>
      </c>
      <c r="F375" s="489" t="s">
        <v>338</v>
      </c>
      <c r="G375" s="489" t="s">
        <v>50</v>
      </c>
      <c r="H375" s="489" t="s">
        <v>570</v>
      </c>
      <c r="I375" s="491" t="s">
        <v>2470</v>
      </c>
      <c r="J375" s="492" t="s">
        <v>2471</v>
      </c>
      <c r="K375" s="415" t="s">
        <v>2472</v>
      </c>
      <c r="L375" s="415" t="s">
        <v>732</v>
      </c>
      <c r="M375" s="415" t="s">
        <v>2473</v>
      </c>
      <c r="N375" s="493"/>
      <c r="O375" s="496"/>
      <c r="P375" s="497"/>
      <c r="Q375" s="494" t="s">
        <v>62</v>
      </c>
      <c r="R375" s="495">
        <v>45649.0</v>
      </c>
      <c r="S375" s="496"/>
      <c r="T375" s="497"/>
      <c r="U375" s="496"/>
      <c r="V375" s="497"/>
      <c r="W375" s="526"/>
      <c r="X375" s="497"/>
      <c r="Y375" s="496"/>
      <c r="Z375" s="497"/>
      <c r="AA375" s="545">
        <v>2.0250213E7</v>
      </c>
      <c r="AB375" s="499"/>
    </row>
    <row r="376">
      <c r="A376" s="487">
        <v>1385.0</v>
      </c>
      <c r="B376" s="488">
        <v>45617.0</v>
      </c>
      <c r="C376" s="489" t="s">
        <v>1438</v>
      </c>
      <c r="D376" s="489" t="s">
        <v>66</v>
      </c>
      <c r="E376" s="489" t="s">
        <v>417</v>
      </c>
      <c r="F376" s="489" t="s">
        <v>300</v>
      </c>
      <c r="G376" s="489">
        <v>1.634059E7</v>
      </c>
      <c r="H376" s="528" t="s">
        <v>200</v>
      </c>
      <c r="I376" s="491" t="s">
        <v>2474</v>
      </c>
      <c r="J376" s="492" t="s">
        <v>2475</v>
      </c>
      <c r="K376" s="518" t="s">
        <v>265</v>
      </c>
      <c r="L376" s="415" t="s">
        <v>2476</v>
      </c>
      <c r="M376" s="518" t="s">
        <v>267</v>
      </c>
      <c r="N376" s="493"/>
      <c r="O376" s="494" t="s">
        <v>1563</v>
      </c>
      <c r="P376" s="495">
        <v>45637.0</v>
      </c>
      <c r="Q376" s="496"/>
      <c r="R376" s="497"/>
      <c r="S376" s="496"/>
      <c r="T376" s="497"/>
      <c r="U376" s="494" t="s">
        <v>150</v>
      </c>
      <c r="V376" s="497"/>
      <c r="W376" s="498"/>
      <c r="X376" s="497"/>
      <c r="Y376" s="496"/>
      <c r="Z376" s="497"/>
      <c r="AA376" s="499"/>
      <c r="AB376" s="499"/>
    </row>
    <row r="377">
      <c r="A377" s="487">
        <v>1384.0</v>
      </c>
      <c r="B377" s="500">
        <v>45614.0</v>
      </c>
      <c r="C377" s="489" t="s">
        <v>2255</v>
      </c>
      <c r="D377" s="489" t="s">
        <v>66</v>
      </c>
      <c r="E377" s="489" t="s">
        <v>774</v>
      </c>
      <c r="F377" s="489" t="s">
        <v>2444</v>
      </c>
      <c r="G377" s="489" t="s">
        <v>50</v>
      </c>
      <c r="H377" s="489" t="s">
        <v>42</v>
      </c>
      <c r="I377" s="491" t="s">
        <v>2477</v>
      </c>
      <c r="J377" s="492" t="s">
        <v>2478</v>
      </c>
      <c r="K377" s="493"/>
      <c r="L377" s="493"/>
      <c r="M377" s="493"/>
      <c r="N377" s="493"/>
      <c r="O377" s="496"/>
      <c r="P377" s="497"/>
      <c r="Q377" s="496"/>
      <c r="R377" s="497"/>
      <c r="S377" s="496"/>
      <c r="T377" s="497"/>
      <c r="U377" s="496"/>
      <c r="V377" s="497"/>
      <c r="W377" s="526"/>
      <c r="X377" s="497"/>
      <c r="Y377" s="496"/>
      <c r="Z377" s="497"/>
      <c r="AA377" s="545">
        <v>2.0250213E7</v>
      </c>
      <c r="AB377" s="499"/>
    </row>
    <row r="378">
      <c r="A378" s="327">
        <v>1383.0</v>
      </c>
      <c r="B378" s="546">
        <v>45616.0</v>
      </c>
      <c r="C378" s="547" t="s">
        <v>2255</v>
      </c>
      <c r="D378" s="547" t="s">
        <v>29</v>
      </c>
      <c r="E378" s="547" t="s">
        <v>774</v>
      </c>
      <c r="F378" s="547" t="s">
        <v>2444</v>
      </c>
      <c r="G378" s="547" t="s">
        <v>50</v>
      </c>
      <c r="H378" s="547" t="s">
        <v>112</v>
      </c>
      <c r="I378" s="550" t="s">
        <v>2479</v>
      </c>
      <c r="J378" s="551" t="s">
        <v>2480</v>
      </c>
      <c r="K378" s="333" t="s">
        <v>1746</v>
      </c>
      <c r="L378" s="334" t="s">
        <v>2481</v>
      </c>
      <c r="M378" s="334" t="s">
        <v>2482</v>
      </c>
      <c r="N378" s="334"/>
      <c r="O378" s="333"/>
      <c r="P378" s="337"/>
      <c r="Q378" s="334"/>
      <c r="R378" s="337"/>
      <c r="S378" s="334"/>
      <c r="T378" s="337"/>
      <c r="U378" s="333"/>
      <c r="V378" s="337"/>
      <c r="W378" s="552" t="s">
        <v>150</v>
      </c>
      <c r="X378" s="337"/>
      <c r="Y378" s="334"/>
      <c r="Z378" s="337"/>
      <c r="AA378" s="553" t="s">
        <v>215</v>
      </c>
      <c r="AB378" s="334"/>
    </row>
    <row r="379">
      <c r="A379" s="487">
        <v>1382.0</v>
      </c>
      <c r="B379" s="500">
        <v>45615.0</v>
      </c>
      <c r="C379" s="489" t="s">
        <v>1793</v>
      </c>
      <c r="D379" s="489" t="s">
        <v>66</v>
      </c>
      <c r="E379" s="489" t="s">
        <v>1312</v>
      </c>
      <c r="F379" s="489" t="s">
        <v>1313</v>
      </c>
      <c r="G379" s="489">
        <v>1.3780726E7</v>
      </c>
      <c r="H379" s="528" t="s">
        <v>200</v>
      </c>
      <c r="I379" s="491" t="s">
        <v>2483</v>
      </c>
      <c r="J379" s="492" t="s">
        <v>2484</v>
      </c>
      <c r="K379" s="415" t="s">
        <v>1316</v>
      </c>
      <c r="L379" s="415" t="s">
        <v>2485</v>
      </c>
      <c r="M379" s="493"/>
      <c r="N379" s="493"/>
      <c r="O379" s="494" t="s">
        <v>62</v>
      </c>
      <c r="P379" s="495">
        <v>45630.0</v>
      </c>
      <c r="Q379" s="496"/>
      <c r="R379" s="497"/>
      <c r="S379" s="496"/>
      <c r="T379" s="497"/>
      <c r="U379" s="496"/>
      <c r="V379" s="497"/>
      <c r="W379" s="526"/>
      <c r="X379" s="497"/>
      <c r="Y379" s="496"/>
      <c r="Z379" s="497"/>
      <c r="AA379" s="545">
        <v>2.0250213E7</v>
      </c>
      <c r="AB379" s="499"/>
    </row>
    <row r="380">
      <c r="A380" s="487">
        <v>1381.0</v>
      </c>
      <c r="B380" s="488">
        <v>45614.0</v>
      </c>
      <c r="C380" s="489" t="s">
        <v>2255</v>
      </c>
      <c r="D380" s="489" t="s">
        <v>50</v>
      </c>
      <c r="E380" s="489" t="s">
        <v>774</v>
      </c>
      <c r="F380" s="489" t="s">
        <v>2444</v>
      </c>
      <c r="G380" s="521">
        <v>1.9280367E7</v>
      </c>
      <c r="H380" s="489" t="s">
        <v>112</v>
      </c>
      <c r="I380" s="491" t="s">
        <v>2486</v>
      </c>
      <c r="J380" s="492" t="s">
        <v>2344</v>
      </c>
      <c r="K380" s="415" t="s">
        <v>1746</v>
      </c>
      <c r="L380" s="415" t="s">
        <v>1747</v>
      </c>
      <c r="M380" s="525" t="s">
        <v>1748</v>
      </c>
      <c r="N380" s="493"/>
      <c r="O380" s="494" t="s">
        <v>62</v>
      </c>
      <c r="P380" s="495">
        <v>45791.0</v>
      </c>
      <c r="Q380" s="496"/>
      <c r="R380" s="497"/>
      <c r="S380" s="496"/>
      <c r="T380" s="497"/>
      <c r="U380" s="494" t="s">
        <v>62</v>
      </c>
      <c r="V380" s="495">
        <v>45791.0</v>
      </c>
      <c r="W380" s="498"/>
      <c r="X380" s="497"/>
      <c r="Y380" s="496"/>
      <c r="Z380" s="497"/>
      <c r="AA380" s="541" t="s">
        <v>1879</v>
      </c>
      <c r="AB380" s="499"/>
    </row>
    <row r="381">
      <c r="A381" s="487">
        <v>1380.0</v>
      </c>
      <c r="B381" s="488">
        <v>45611.0</v>
      </c>
      <c r="C381" s="489" t="s">
        <v>314</v>
      </c>
      <c r="D381" s="489" t="s">
        <v>66</v>
      </c>
      <c r="E381" s="489" t="s">
        <v>315</v>
      </c>
      <c r="F381" s="489" t="s">
        <v>702</v>
      </c>
      <c r="G381" s="489" t="s">
        <v>50</v>
      </c>
      <c r="H381" s="489" t="s">
        <v>103</v>
      </c>
      <c r="I381" s="491" t="s">
        <v>2487</v>
      </c>
      <c r="J381" s="492" t="s">
        <v>2488</v>
      </c>
      <c r="K381" s="415" t="s">
        <v>999</v>
      </c>
      <c r="L381" s="415" t="s">
        <v>2489</v>
      </c>
      <c r="M381" s="415" t="s">
        <v>2490</v>
      </c>
      <c r="N381" s="493"/>
      <c r="O381" s="494" t="s">
        <v>62</v>
      </c>
      <c r="P381" s="497"/>
      <c r="Q381" s="496"/>
      <c r="R381" s="497"/>
      <c r="S381" s="496"/>
      <c r="T381" s="497"/>
      <c r="U381" s="494" t="s">
        <v>150</v>
      </c>
      <c r="V381" s="497"/>
      <c r="W381" s="498"/>
      <c r="X381" s="497"/>
      <c r="Y381" s="496"/>
      <c r="Z381" s="497"/>
      <c r="AA381" s="596" t="s">
        <v>2067</v>
      </c>
      <c r="AB381" s="542" t="s">
        <v>2491</v>
      </c>
    </row>
    <row r="382">
      <c r="A382" s="487">
        <v>1379.0</v>
      </c>
      <c r="B382" s="488">
        <v>45611.0</v>
      </c>
      <c r="C382" s="489" t="s">
        <v>2492</v>
      </c>
      <c r="D382" s="489" t="s">
        <v>66</v>
      </c>
      <c r="E382" s="489" t="s">
        <v>393</v>
      </c>
      <c r="F382" s="489" t="s">
        <v>394</v>
      </c>
      <c r="G382" s="489" t="s">
        <v>50</v>
      </c>
      <c r="H382" s="489" t="s">
        <v>570</v>
      </c>
      <c r="I382" s="491" t="s">
        <v>2493</v>
      </c>
      <c r="J382" s="492" t="s">
        <v>2494</v>
      </c>
      <c r="K382" s="518" t="s">
        <v>398</v>
      </c>
      <c r="L382" s="493"/>
      <c r="M382" s="493"/>
      <c r="N382" s="493"/>
      <c r="O382" s="496"/>
      <c r="P382" s="497"/>
      <c r="Q382" s="496"/>
      <c r="R382" s="497"/>
      <c r="S382" s="496"/>
      <c r="T382" s="497"/>
      <c r="U382" s="494" t="s">
        <v>62</v>
      </c>
      <c r="V382" s="497"/>
      <c r="W382" s="498"/>
      <c r="X382" s="497"/>
      <c r="Y382" s="496"/>
      <c r="Z382" s="497"/>
      <c r="AA382" s="519" t="s">
        <v>2167</v>
      </c>
      <c r="AB382" s="499"/>
    </row>
    <row r="383">
      <c r="A383" s="487">
        <v>1378.0</v>
      </c>
      <c r="B383" s="488">
        <v>45611.0</v>
      </c>
      <c r="C383" s="489" t="s">
        <v>2492</v>
      </c>
      <c r="D383" s="489" t="s">
        <v>66</v>
      </c>
      <c r="E383" s="489" t="s">
        <v>393</v>
      </c>
      <c r="F383" s="489" t="s">
        <v>394</v>
      </c>
      <c r="G383" s="489" t="s">
        <v>50</v>
      </c>
      <c r="H383" s="489" t="s">
        <v>570</v>
      </c>
      <c r="I383" s="491" t="s">
        <v>2495</v>
      </c>
      <c r="J383" s="492" t="s">
        <v>2496</v>
      </c>
      <c r="K383" s="518" t="s">
        <v>398</v>
      </c>
      <c r="L383" s="493"/>
      <c r="M383" s="597"/>
      <c r="N383" s="493"/>
      <c r="O383" s="496"/>
      <c r="P383" s="497"/>
      <c r="Q383" s="496"/>
      <c r="R383" s="497"/>
      <c r="S383" s="496"/>
      <c r="T383" s="497"/>
      <c r="U383" s="494" t="s">
        <v>62</v>
      </c>
      <c r="V383" s="497"/>
      <c r="W383" s="498"/>
      <c r="X383" s="497"/>
      <c r="Y383" s="496"/>
      <c r="Z383" s="497"/>
      <c r="AA383" s="519" t="s">
        <v>2167</v>
      </c>
      <c r="AB383" s="499"/>
    </row>
    <row r="384">
      <c r="A384" s="487">
        <v>1377.0</v>
      </c>
      <c r="B384" s="598" t="s">
        <v>2497</v>
      </c>
      <c r="C384" s="489" t="s">
        <v>2498</v>
      </c>
      <c r="D384" s="489" t="s">
        <v>29</v>
      </c>
      <c r="E384" s="489" t="s">
        <v>774</v>
      </c>
      <c r="F384" s="489" t="s">
        <v>2256</v>
      </c>
      <c r="G384" s="489">
        <v>1.9280197E7</v>
      </c>
      <c r="H384" s="489" t="s">
        <v>42</v>
      </c>
      <c r="I384" s="491" t="s">
        <v>2499</v>
      </c>
      <c r="J384" s="492" t="s">
        <v>2500</v>
      </c>
      <c r="K384" s="415" t="s">
        <v>1746</v>
      </c>
      <c r="L384" s="493"/>
      <c r="M384" s="493"/>
      <c r="N384" s="493"/>
      <c r="O384" s="496"/>
      <c r="P384" s="497"/>
      <c r="Q384" s="496"/>
      <c r="R384" s="497"/>
      <c r="S384" s="496"/>
      <c r="T384" s="497"/>
      <c r="U384" s="494" t="s">
        <v>62</v>
      </c>
      <c r="V384" s="495">
        <v>45673.0</v>
      </c>
      <c r="W384" s="498"/>
      <c r="X384" s="497"/>
      <c r="Y384" s="496"/>
      <c r="Z384" s="497"/>
      <c r="AA384" s="519" t="s">
        <v>2167</v>
      </c>
      <c r="AB384" s="499"/>
    </row>
    <row r="385">
      <c r="A385" s="327">
        <v>1376.0</v>
      </c>
      <c r="B385" s="328">
        <v>45610.0</v>
      </c>
      <c r="C385" s="329" t="s">
        <v>2501</v>
      </c>
      <c r="D385" s="329" t="s">
        <v>66</v>
      </c>
      <c r="E385" s="329" t="s">
        <v>227</v>
      </c>
      <c r="F385" s="329" t="s">
        <v>228</v>
      </c>
      <c r="G385" s="330">
        <v>1.9620304E7</v>
      </c>
      <c r="H385" s="329" t="s">
        <v>135</v>
      </c>
      <c r="I385" s="331" t="s">
        <v>2502</v>
      </c>
      <c r="J385" s="599" t="s">
        <v>2503</v>
      </c>
      <c r="K385" s="333" t="s">
        <v>231</v>
      </c>
      <c r="L385" s="333"/>
      <c r="M385" s="333"/>
      <c r="N385" s="334"/>
      <c r="O385" s="334"/>
      <c r="P385" s="337"/>
      <c r="Q385" s="334"/>
      <c r="R385" s="337"/>
      <c r="S385" s="334"/>
      <c r="T385" s="337"/>
      <c r="U385" s="525" t="s">
        <v>62</v>
      </c>
      <c r="V385" s="337"/>
      <c r="W385" s="486"/>
      <c r="X385" s="337"/>
      <c r="Y385" s="334"/>
      <c r="Z385" s="337"/>
      <c r="AA385" s="334"/>
      <c r="AB385" s="334"/>
    </row>
    <row r="386">
      <c r="A386" s="327">
        <v>1375.0</v>
      </c>
      <c r="B386" s="328">
        <v>45610.0</v>
      </c>
      <c r="C386" s="329" t="s">
        <v>2501</v>
      </c>
      <c r="D386" s="329" t="s">
        <v>66</v>
      </c>
      <c r="E386" s="329" t="s">
        <v>227</v>
      </c>
      <c r="F386" s="329" t="s">
        <v>228</v>
      </c>
      <c r="G386" s="330">
        <v>1.9620303E7</v>
      </c>
      <c r="H386" s="329" t="s">
        <v>135</v>
      </c>
      <c r="I386" s="331" t="s">
        <v>2504</v>
      </c>
      <c r="J386" s="599" t="s">
        <v>2503</v>
      </c>
      <c r="K386" s="333" t="s">
        <v>231</v>
      </c>
      <c r="L386" s="333"/>
      <c r="M386" s="333"/>
      <c r="N386" s="334"/>
      <c r="O386" s="334"/>
      <c r="P386" s="337"/>
      <c r="Q386" s="334"/>
      <c r="R386" s="337"/>
      <c r="S386" s="334"/>
      <c r="T386" s="337"/>
      <c r="U386" s="525" t="s">
        <v>62</v>
      </c>
      <c r="V386" s="337"/>
      <c r="W386" s="486"/>
      <c r="X386" s="337"/>
      <c r="Y386" s="334"/>
      <c r="Z386" s="337"/>
      <c r="AA386" s="334"/>
      <c r="AB386" s="334"/>
    </row>
    <row r="387">
      <c r="A387" s="327">
        <v>1374.0</v>
      </c>
      <c r="B387" s="328">
        <v>45610.0</v>
      </c>
      <c r="C387" s="329" t="s">
        <v>2501</v>
      </c>
      <c r="D387" s="329" t="s">
        <v>66</v>
      </c>
      <c r="E387" s="329" t="s">
        <v>227</v>
      </c>
      <c r="F387" s="329" t="s">
        <v>228</v>
      </c>
      <c r="G387" s="330">
        <v>1.96203E7</v>
      </c>
      <c r="H387" s="329" t="s">
        <v>135</v>
      </c>
      <c r="I387" s="331" t="s">
        <v>2504</v>
      </c>
      <c r="J387" s="599" t="s">
        <v>2505</v>
      </c>
      <c r="K387" s="333" t="s">
        <v>231</v>
      </c>
      <c r="L387" s="333"/>
      <c r="M387" s="333"/>
      <c r="N387" s="334"/>
      <c r="O387" s="334"/>
      <c r="P387" s="337"/>
      <c r="Q387" s="334"/>
      <c r="R387" s="337"/>
      <c r="S387" s="334"/>
      <c r="T387" s="337"/>
      <c r="U387" s="525" t="s">
        <v>62</v>
      </c>
      <c r="V387" s="337"/>
      <c r="W387" s="486"/>
      <c r="X387" s="337"/>
      <c r="Y387" s="334"/>
      <c r="Z387" s="337"/>
      <c r="AA387" s="334"/>
      <c r="AB387" s="334"/>
    </row>
    <row r="388" ht="67.5" customHeight="1">
      <c r="A388" s="487">
        <v>1373.0</v>
      </c>
      <c r="B388" s="488">
        <v>45610.0</v>
      </c>
      <c r="C388" s="489" t="s">
        <v>2358</v>
      </c>
      <c r="D388" s="489" t="s">
        <v>29</v>
      </c>
      <c r="E388" s="489" t="s">
        <v>227</v>
      </c>
      <c r="F388" s="489" t="s">
        <v>228</v>
      </c>
      <c r="G388" s="489">
        <v>1.9620429E7</v>
      </c>
      <c r="H388" s="489" t="s">
        <v>135</v>
      </c>
      <c r="I388" s="491" t="s">
        <v>2506</v>
      </c>
      <c r="J388" s="492" t="s">
        <v>2507</v>
      </c>
      <c r="K388" s="518" t="s">
        <v>231</v>
      </c>
      <c r="L388" s="415" t="s">
        <v>2249</v>
      </c>
      <c r="M388" s="493"/>
      <c r="N388" s="493"/>
      <c r="O388" s="494" t="s">
        <v>62</v>
      </c>
      <c r="P388" s="495">
        <v>45818.0</v>
      </c>
      <c r="Q388" s="496"/>
      <c r="R388" s="497"/>
      <c r="S388" s="494" t="s">
        <v>62</v>
      </c>
      <c r="T388" s="495">
        <v>45814.0</v>
      </c>
      <c r="U388" s="494" t="s">
        <v>62</v>
      </c>
      <c r="V388" s="495">
        <v>45856.0</v>
      </c>
      <c r="W388" s="498"/>
      <c r="X388" s="497"/>
      <c r="Y388" s="496"/>
      <c r="Z388" s="497"/>
      <c r="AA388" s="499"/>
      <c r="AB388" s="499"/>
    </row>
    <row r="389">
      <c r="A389" s="487">
        <v>1372.0</v>
      </c>
      <c r="B389" s="488">
        <v>45607.0</v>
      </c>
      <c r="C389" s="489" t="s">
        <v>758</v>
      </c>
      <c r="D389" s="489" t="s">
        <v>66</v>
      </c>
      <c r="E389" s="489" t="s">
        <v>759</v>
      </c>
      <c r="F389" s="489" t="s">
        <v>49</v>
      </c>
      <c r="G389" s="489" t="s">
        <v>2508</v>
      </c>
      <c r="H389" s="528" t="s">
        <v>200</v>
      </c>
      <c r="I389" s="491" t="s">
        <v>2509</v>
      </c>
      <c r="J389" s="492" t="s">
        <v>2510</v>
      </c>
      <c r="K389" s="415" t="s">
        <v>2232</v>
      </c>
      <c r="L389" s="415" t="s">
        <v>2511</v>
      </c>
      <c r="M389" s="493"/>
      <c r="N389" s="493"/>
      <c r="O389" s="494" t="s">
        <v>62</v>
      </c>
      <c r="P389" s="495">
        <v>45784.0</v>
      </c>
      <c r="Q389" s="496"/>
      <c r="R389" s="497"/>
      <c r="S389" s="496"/>
      <c r="T389" s="497"/>
      <c r="U389" s="494" t="s">
        <v>150</v>
      </c>
      <c r="V389" s="497"/>
      <c r="W389" s="498"/>
      <c r="X389" s="497"/>
      <c r="Y389" s="496"/>
      <c r="Z389" s="497"/>
      <c r="AA389" s="519" t="s">
        <v>2067</v>
      </c>
      <c r="AB389" s="499"/>
    </row>
    <row r="390">
      <c r="A390" s="600">
        <v>1371.0</v>
      </c>
      <c r="B390" s="601">
        <v>45609.0</v>
      </c>
      <c r="C390" s="602" t="s">
        <v>2353</v>
      </c>
      <c r="D390" s="602" t="s">
        <v>66</v>
      </c>
      <c r="E390" s="602" t="s">
        <v>499</v>
      </c>
      <c r="F390" s="528" t="s">
        <v>2512</v>
      </c>
      <c r="G390" s="528" t="s">
        <v>50</v>
      </c>
      <c r="H390" s="528" t="s">
        <v>348</v>
      </c>
      <c r="I390" s="491" t="s">
        <v>2513</v>
      </c>
      <c r="J390" s="492" t="s">
        <v>2514</v>
      </c>
      <c r="K390" s="603" t="s">
        <v>1073</v>
      </c>
      <c r="L390" s="604" t="s">
        <v>2515</v>
      </c>
      <c r="M390" s="603" t="s">
        <v>2516</v>
      </c>
      <c r="N390" s="605"/>
      <c r="O390" s="605"/>
      <c r="P390" s="606"/>
      <c r="Q390" s="605"/>
      <c r="R390" s="606"/>
      <c r="S390" s="605"/>
      <c r="T390" s="606"/>
      <c r="U390" s="605"/>
      <c r="V390" s="606"/>
      <c r="W390" s="607"/>
      <c r="X390" s="606"/>
      <c r="Y390" s="605"/>
      <c r="Z390" s="606"/>
      <c r="AA390" s="545">
        <v>2.0250213E7</v>
      </c>
      <c r="AB390" s="608"/>
    </row>
    <row r="391">
      <c r="A391" s="600">
        <v>1370.0</v>
      </c>
      <c r="B391" s="601">
        <v>45609.0</v>
      </c>
      <c r="C391" s="602" t="s">
        <v>2353</v>
      </c>
      <c r="D391" s="602" t="s">
        <v>66</v>
      </c>
      <c r="E391" s="602" t="s">
        <v>499</v>
      </c>
      <c r="F391" s="528" t="s">
        <v>2512</v>
      </c>
      <c r="G391" s="528" t="s">
        <v>50</v>
      </c>
      <c r="H391" s="528" t="s">
        <v>348</v>
      </c>
      <c r="I391" s="491" t="s">
        <v>2517</v>
      </c>
      <c r="J391" s="492" t="s">
        <v>2518</v>
      </c>
      <c r="K391" s="603" t="s">
        <v>1073</v>
      </c>
      <c r="L391" s="609"/>
      <c r="M391" s="605"/>
      <c r="N391" s="605"/>
      <c r="O391" s="603" t="s">
        <v>62</v>
      </c>
      <c r="P391" s="606"/>
      <c r="Q391" s="605"/>
      <c r="R391" s="606"/>
      <c r="S391" s="605"/>
      <c r="T391" s="606"/>
      <c r="U391" s="603" t="s">
        <v>62</v>
      </c>
      <c r="V391" s="606"/>
      <c r="W391" s="610"/>
      <c r="X391" s="606"/>
      <c r="Y391" s="605"/>
      <c r="Z391" s="606"/>
      <c r="AA391" s="611"/>
      <c r="AB391" s="608"/>
    </row>
    <row r="392">
      <c r="A392" s="600">
        <v>1369.0</v>
      </c>
      <c r="B392" s="601">
        <v>45609.0</v>
      </c>
      <c r="C392" s="602" t="s">
        <v>1438</v>
      </c>
      <c r="D392" s="602" t="s">
        <v>66</v>
      </c>
      <c r="E392" s="602" t="s">
        <v>417</v>
      </c>
      <c r="F392" s="528" t="s">
        <v>300</v>
      </c>
      <c r="G392" s="612">
        <v>1.6340575E7</v>
      </c>
      <c r="H392" s="528" t="s">
        <v>200</v>
      </c>
      <c r="I392" s="491" t="s">
        <v>2519</v>
      </c>
      <c r="J392" s="492" t="s">
        <v>2520</v>
      </c>
      <c r="K392" s="525" t="s">
        <v>265</v>
      </c>
      <c r="L392" s="604" t="s">
        <v>1441</v>
      </c>
      <c r="M392" s="525" t="s">
        <v>267</v>
      </c>
      <c r="N392" s="605"/>
      <c r="O392" s="613" t="s">
        <v>1563</v>
      </c>
      <c r="P392" s="614">
        <v>45636.0</v>
      </c>
      <c r="Q392" s="605"/>
      <c r="R392" s="606"/>
      <c r="S392" s="605"/>
      <c r="T392" s="606"/>
      <c r="U392" s="603" t="s">
        <v>1563</v>
      </c>
      <c r="V392" s="614">
        <v>45835.0</v>
      </c>
      <c r="W392" s="610"/>
      <c r="X392" s="606"/>
      <c r="Y392" s="605"/>
      <c r="Z392" s="606"/>
      <c r="AA392" s="611"/>
      <c r="AB392" s="608"/>
    </row>
    <row r="393">
      <c r="A393" s="600">
        <v>1368.0</v>
      </c>
      <c r="B393" s="601">
        <v>45608.0</v>
      </c>
      <c r="C393" s="602" t="s">
        <v>2521</v>
      </c>
      <c r="D393" s="602" t="s">
        <v>66</v>
      </c>
      <c r="E393" s="602" t="s">
        <v>2522</v>
      </c>
      <c r="F393" s="528" t="s">
        <v>2523</v>
      </c>
      <c r="G393" s="612">
        <v>1.5951027E8</v>
      </c>
      <c r="H393" s="528" t="s">
        <v>120</v>
      </c>
      <c r="I393" s="491" t="s">
        <v>2524</v>
      </c>
      <c r="J393" s="492" t="s">
        <v>2525</v>
      </c>
      <c r="K393" s="603" t="s">
        <v>2526</v>
      </c>
      <c r="L393" s="604" t="s">
        <v>2527</v>
      </c>
      <c r="M393" s="603" t="s">
        <v>2528</v>
      </c>
      <c r="N393" s="605"/>
      <c r="O393" s="613" t="s">
        <v>62</v>
      </c>
      <c r="P393" s="614">
        <v>45747.0</v>
      </c>
      <c r="Q393" s="605"/>
      <c r="R393" s="606"/>
      <c r="S393" s="605"/>
      <c r="T393" s="606"/>
      <c r="U393" s="613" t="s">
        <v>62</v>
      </c>
      <c r="V393" s="614">
        <v>45873.0</v>
      </c>
      <c r="W393" s="610"/>
      <c r="X393" s="606"/>
      <c r="Y393" s="605"/>
      <c r="Z393" s="606"/>
      <c r="AA393" s="611"/>
      <c r="AB393" s="608"/>
    </row>
    <row r="394">
      <c r="A394" s="600">
        <v>1367.0</v>
      </c>
      <c r="B394" s="601">
        <v>45607.0</v>
      </c>
      <c r="C394" s="602" t="s">
        <v>2529</v>
      </c>
      <c r="D394" s="602" t="s">
        <v>359</v>
      </c>
      <c r="E394" s="602" t="s">
        <v>2530</v>
      </c>
      <c r="F394" s="528" t="s">
        <v>721</v>
      </c>
      <c r="G394" s="612">
        <v>1.8611058E7</v>
      </c>
      <c r="H394" s="528" t="s">
        <v>32</v>
      </c>
      <c r="I394" s="491" t="s">
        <v>2531</v>
      </c>
      <c r="J394" s="492" t="s">
        <v>2532</v>
      </c>
      <c r="K394" s="603" t="s">
        <v>2533</v>
      </c>
      <c r="L394" s="604" t="s">
        <v>2534</v>
      </c>
      <c r="M394" s="603" t="s">
        <v>2535</v>
      </c>
      <c r="N394" s="605"/>
      <c r="O394" s="605"/>
      <c r="P394" s="606"/>
      <c r="Q394" s="605"/>
      <c r="R394" s="606"/>
      <c r="S394" s="605"/>
      <c r="T394" s="614">
        <v>45632.0</v>
      </c>
      <c r="U394" s="603" t="s">
        <v>62</v>
      </c>
      <c r="V394" s="614">
        <v>45721.0</v>
      </c>
      <c r="W394" s="610"/>
      <c r="X394" s="606"/>
      <c r="Y394" s="605"/>
      <c r="Z394" s="606"/>
      <c r="AA394" s="611"/>
      <c r="AB394" s="608"/>
    </row>
    <row r="395">
      <c r="A395" s="600">
        <v>1366.0</v>
      </c>
      <c r="B395" s="601">
        <v>45596.0</v>
      </c>
      <c r="C395" s="602" t="s">
        <v>1932</v>
      </c>
      <c r="D395" s="602" t="s">
        <v>29</v>
      </c>
      <c r="E395" s="602" t="s">
        <v>89</v>
      </c>
      <c r="F395" s="528" t="s">
        <v>2536</v>
      </c>
      <c r="G395" s="612">
        <v>1.5831263E7</v>
      </c>
      <c r="H395" s="528" t="s">
        <v>51</v>
      </c>
      <c r="I395" s="491" t="s">
        <v>2537</v>
      </c>
      <c r="J395" s="492" t="s">
        <v>2538</v>
      </c>
      <c r="K395" s="603" t="s">
        <v>92</v>
      </c>
      <c r="L395" s="604" t="s">
        <v>2539</v>
      </c>
      <c r="M395" s="520" t="s">
        <v>2540</v>
      </c>
      <c r="N395" s="605"/>
      <c r="O395" s="603" t="s">
        <v>62</v>
      </c>
      <c r="P395" s="614">
        <v>45807.0</v>
      </c>
      <c r="Q395" s="605"/>
      <c r="R395" s="606"/>
      <c r="S395" s="603" t="s">
        <v>62</v>
      </c>
      <c r="T395" s="614">
        <v>45807.0</v>
      </c>
      <c r="U395" s="603" t="s">
        <v>62</v>
      </c>
      <c r="V395" s="614">
        <v>45841.0</v>
      </c>
      <c r="W395" s="605"/>
      <c r="X395" s="606"/>
      <c r="Y395" s="605"/>
      <c r="Z395" s="606"/>
      <c r="AA395" s="611"/>
      <c r="AB395" s="608"/>
    </row>
    <row r="396">
      <c r="A396" s="600">
        <v>1365.0</v>
      </c>
      <c r="B396" s="601">
        <v>45601.0</v>
      </c>
      <c r="C396" s="602" t="s">
        <v>2541</v>
      </c>
      <c r="D396" s="602" t="s">
        <v>29</v>
      </c>
      <c r="E396" s="602" t="s">
        <v>48</v>
      </c>
      <c r="F396" s="528" t="s">
        <v>49</v>
      </c>
      <c r="G396" s="612">
        <v>1.4692115E7</v>
      </c>
      <c r="H396" s="528" t="s">
        <v>51</v>
      </c>
      <c r="I396" s="491" t="s">
        <v>2542</v>
      </c>
      <c r="J396" s="492" t="s">
        <v>2543</v>
      </c>
      <c r="K396" s="525" t="s">
        <v>143</v>
      </c>
      <c r="L396" s="604" t="s">
        <v>2544</v>
      </c>
      <c r="M396" s="603" t="s">
        <v>2545</v>
      </c>
      <c r="N396" s="605"/>
      <c r="O396" s="603" t="s">
        <v>62</v>
      </c>
      <c r="P396" s="614">
        <v>45687.0</v>
      </c>
      <c r="Q396" s="605"/>
      <c r="R396" s="606"/>
      <c r="S396" s="605"/>
      <c r="T396" s="606"/>
      <c r="U396" s="603" t="s">
        <v>62</v>
      </c>
      <c r="V396" s="614">
        <v>45720.0</v>
      </c>
      <c r="W396" s="610"/>
      <c r="X396" s="606"/>
      <c r="Y396" s="605"/>
      <c r="Z396" s="606"/>
      <c r="AA396" s="541" t="s">
        <v>2546</v>
      </c>
      <c r="AB396" s="608"/>
    </row>
    <row r="397">
      <c r="A397" s="600">
        <v>1364.0</v>
      </c>
      <c r="B397" s="601">
        <v>45601.0</v>
      </c>
      <c r="C397" s="602" t="s">
        <v>1646</v>
      </c>
      <c r="D397" s="602" t="s">
        <v>66</v>
      </c>
      <c r="E397" s="602" t="s">
        <v>48</v>
      </c>
      <c r="F397" s="528" t="s">
        <v>49</v>
      </c>
      <c r="G397" s="528">
        <v>1.4692138E7</v>
      </c>
      <c r="H397" s="528" t="s">
        <v>51</v>
      </c>
      <c r="I397" s="491" t="s">
        <v>2547</v>
      </c>
      <c r="J397" s="492" t="s">
        <v>2548</v>
      </c>
      <c r="K397" s="525" t="s">
        <v>143</v>
      </c>
      <c r="L397" s="604" t="s">
        <v>1297</v>
      </c>
      <c r="M397" s="603" t="s">
        <v>610</v>
      </c>
      <c r="N397" s="605"/>
      <c r="O397" s="603" t="s">
        <v>62</v>
      </c>
      <c r="P397" s="614">
        <v>45645.0</v>
      </c>
      <c r="Q397" s="605"/>
      <c r="R397" s="606"/>
      <c r="S397" s="605"/>
      <c r="T397" s="606"/>
      <c r="U397" s="603" t="s">
        <v>62</v>
      </c>
      <c r="V397" s="606"/>
      <c r="W397" s="610"/>
      <c r="X397" s="606"/>
      <c r="Y397" s="605"/>
      <c r="Z397" s="606"/>
      <c r="AA397" s="541" t="s">
        <v>2067</v>
      </c>
      <c r="AB397" s="608"/>
    </row>
    <row r="398">
      <c r="A398" s="600">
        <v>1362.0</v>
      </c>
      <c r="B398" s="601">
        <v>45604.0</v>
      </c>
      <c r="C398" s="602" t="s">
        <v>1932</v>
      </c>
      <c r="D398" s="602" t="s">
        <v>29</v>
      </c>
      <c r="E398" s="602" t="s">
        <v>89</v>
      </c>
      <c r="F398" s="528" t="s">
        <v>2536</v>
      </c>
      <c r="G398" s="612">
        <v>1.583127E7</v>
      </c>
      <c r="H398" s="528" t="s">
        <v>51</v>
      </c>
      <c r="I398" s="491" t="s">
        <v>2549</v>
      </c>
      <c r="J398" s="492" t="s">
        <v>2550</v>
      </c>
      <c r="K398" s="603" t="s">
        <v>92</v>
      </c>
      <c r="L398" s="604" t="s">
        <v>272</v>
      </c>
      <c r="M398" s="603" t="s">
        <v>2551</v>
      </c>
      <c r="N398" s="605"/>
      <c r="O398" s="603" t="s">
        <v>62</v>
      </c>
      <c r="P398" s="614">
        <v>45820.0</v>
      </c>
      <c r="Q398" s="605"/>
      <c r="R398" s="606"/>
      <c r="S398" s="605"/>
      <c r="T398" s="606"/>
      <c r="U398" s="603" t="s">
        <v>62</v>
      </c>
      <c r="V398" s="614">
        <v>45841.0</v>
      </c>
      <c r="W398" s="605"/>
      <c r="X398" s="606"/>
      <c r="Y398" s="605"/>
      <c r="Z398" s="606"/>
      <c r="AA398" s="519">
        <v>2.0250602E7</v>
      </c>
      <c r="AB398" s="608"/>
    </row>
    <row r="399">
      <c r="A399" s="600">
        <v>1360.0</v>
      </c>
      <c r="B399" s="601">
        <v>45603.0</v>
      </c>
      <c r="C399" s="602" t="s">
        <v>2552</v>
      </c>
      <c r="D399" s="521" t="s">
        <v>66</v>
      </c>
      <c r="E399" s="521" t="s">
        <v>2124</v>
      </c>
      <c r="F399" s="521" t="s">
        <v>1652</v>
      </c>
      <c r="G399" s="521" t="s">
        <v>50</v>
      </c>
      <c r="H399" s="521" t="s">
        <v>2462</v>
      </c>
      <c r="I399" s="491" t="s">
        <v>2553</v>
      </c>
      <c r="J399" s="492" t="s">
        <v>2554</v>
      </c>
      <c r="K399" s="615"/>
      <c r="L399" s="616"/>
      <c r="M399" s="615"/>
      <c r="N399" s="605"/>
      <c r="O399" s="605"/>
      <c r="P399" s="606"/>
      <c r="Q399" s="605"/>
      <c r="R399" s="614">
        <v>45625.0</v>
      </c>
      <c r="S399" s="605"/>
      <c r="T399" s="606"/>
      <c r="U399" s="603" t="s">
        <v>1563</v>
      </c>
      <c r="V399" s="614">
        <v>45833.0</v>
      </c>
      <c r="W399" s="605"/>
      <c r="X399" s="606"/>
      <c r="Y399" s="605"/>
      <c r="Z399" s="606"/>
      <c r="AA399" s="545" t="s">
        <v>1879</v>
      </c>
      <c r="AB399" s="608"/>
    </row>
    <row r="400">
      <c r="A400" s="600">
        <v>1359.0</v>
      </c>
      <c r="B400" s="601">
        <v>45603.0</v>
      </c>
      <c r="C400" s="602" t="s">
        <v>2555</v>
      </c>
      <c r="D400" s="602" t="s">
        <v>66</v>
      </c>
      <c r="E400" s="602" t="s">
        <v>830</v>
      </c>
      <c r="F400" s="528" t="s">
        <v>49</v>
      </c>
      <c r="G400" s="528">
        <v>1.9190134E7</v>
      </c>
      <c r="H400" s="528" t="s">
        <v>32</v>
      </c>
      <c r="I400" s="491" t="s">
        <v>2556</v>
      </c>
      <c r="J400" s="524" t="s">
        <v>2557</v>
      </c>
      <c r="K400" s="615"/>
      <c r="L400" s="609"/>
      <c r="M400" s="605"/>
      <c r="N400" s="605"/>
      <c r="O400" s="605"/>
      <c r="P400" s="606"/>
      <c r="Q400" s="603" t="s">
        <v>62</v>
      </c>
      <c r="R400" s="606"/>
      <c r="S400" s="605"/>
      <c r="T400" s="606"/>
      <c r="U400" s="603" t="s">
        <v>62</v>
      </c>
      <c r="V400" s="614">
        <v>45643.0</v>
      </c>
      <c r="W400" s="607"/>
      <c r="X400" s="606"/>
      <c r="Y400" s="605"/>
      <c r="Z400" s="606"/>
      <c r="AA400" s="611"/>
      <c r="AB400" s="608"/>
    </row>
    <row r="401">
      <c r="A401" s="600">
        <v>1357.0</v>
      </c>
      <c r="B401" s="601">
        <v>45601.0</v>
      </c>
      <c r="C401" s="602" t="s">
        <v>2558</v>
      </c>
      <c r="D401" s="602" t="s">
        <v>29</v>
      </c>
      <c r="E401" s="602" t="s">
        <v>48</v>
      </c>
      <c r="F401" s="528" t="s">
        <v>49</v>
      </c>
      <c r="G401" s="528" t="s">
        <v>296</v>
      </c>
      <c r="H401" s="528" t="s">
        <v>51</v>
      </c>
      <c r="I401" s="491" t="s">
        <v>2542</v>
      </c>
      <c r="J401" s="492" t="s">
        <v>2559</v>
      </c>
      <c r="K401" s="525" t="s">
        <v>143</v>
      </c>
      <c r="L401" s="604" t="s">
        <v>2544</v>
      </c>
      <c r="M401" s="603" t="s">
        <v>2545</v>
      </c>
      <c r="N401" s="605"/>
      <c r="O401" s="603" t="s">
        <v>62</v>
      </c>
      <c r="P401" s="614">
        <v>45687.0</v>
      </c>
      <c r="Q401" s="605"/>
      <c r="R401" s="606"/>
      <c r="S401" s="603" t="s">
        <v>62</v>
      </c>
      <c r="T401" s="614">
        <v>45681.0</v>
      </c>
      <c r="U401" s="603" t="s">
        <v>62</v>
      </c>
      <c r="V401" s="614">
        <v>45848.0</v>
      </c>
      <c r="W401" s="610"/>
      <c r="X401" s="606"/>
      <c r="Y401" s="605"/>
      <c r="Z401" s="606"/>
      <c r="AA401" s="541" t="s">
        <v>2067</v>
      </c>
      <c r="AB401" s="545" t="s">
        <v>2560</v>
      </c>
    </row>
    <row r="402">
      <c r="A402" s="586">
        <v>1355.0</v>
      </c>
      <c r="B402" s="576">
        <v>45601.0</v>
      </c>
      <c r="C402" s="489" t="s">
        <v>2561</v>
      </c>
      <c r="D402" s="489" t="s">
        <v>66</v>
      </c>
      <c r="E402" s="489" t="s">
        <v>1312</v>
      </c>
      <c r="F402" s="521" t="s">
        <v>1467</v>
      </c>
      <c r="G402" s="617"/>
      <c r="H402" s="521" t="s">
        <v>200</v>
      </c>
      <c r="I402" s="491" t="s">
        <v>2562</v>
      </c>
      <c r="J402" s="492" t="s">
        <v>2563</v>
      </c>
      <c r="K402" s="618"/>
      <c r="L402" s="619"/>
      <c r="M402" s="618"/>
      <c r="N402" s="618"/>
      <c r="O402" s="618"/>
      <c r="P402" s="620"/>
      <c r="Q402" s="618"/>
      <c r="R402" s="620"/>
      <c r="S402" s="618"/>
      <c r="T402" s="620"/>
      <c r="U402" s="525" t="s">
        <v>62</v>
      </c>
      <c r="V402" s="620"/>
      <c r="W402" s="621"/>
      <c r="X402" s="620"/>
      <c r="Y402" s="618"/>
      <c r="Z402" s="620"/>
      <c r="AA402" s="541" t="s">
        <v>2167</v>
      </c>
      <c r="AB402" s="608"/>
    </row>
    <row r="403">
      <c r="A403" s="586">
        <v>1354.0</v>
      </c>
      <c r="B403" s="576">
        <v>45601.0</v>
      </c>
      <c r="C403" s="489" t="s">
        <v>195</v>
      </c>
      <c r="D403" s="521" t="s">
        <v>66</v>
      </c>
      <c r="E403" s="521" t="s">
        <v>159</v>
      </c>
      <c r="F403" s="521" t="s">
        <v>160</v>
      </c>
      <c r="G403" s="617"/>
      <c r="H403" s="521" t="s">
        <v>120</v>
      </c>
      <c r="I403" s="491" t="s">
        <v>2564</v>
      </c>
      <c r="J403" s="492" t="s">
        <v>2565</v>
      </c>
      <c r="K403" s="622"/>
      <c r="L403" s="619"/>
      <c r="M403" s="618"/>
      <c r="N403" s="618"/>
      <c r="O403" s="618"/>
      <c r="P403" s="620"/>
      <c r="Q403" s="618"/>
      <c r="R403" s="620"/>
      <c r="S403" s="525"/>
      <c r="T403" s="525"/>
      <c r="U403" s="525" t="s">
        <v>62</v>
      </c>
      <c r="V403" s="525" t="s">
        <v>2566</v>
      </c>
      <c r="W403" s="618"/>
      <c r="X403" s="620"/>
      <c r="Y403" s="618"/>
      <c r="Z403" s="620"/>
      <c r="AA403" s="611"/>
      <c r="AB403" s="608"/>
    </row>
    <row r="404">
      <c r="A404" s="327">
        <v>1334.0</v>
      </c>
      <c r="B404" s="328">
        <v>45601.0</v>
      </c>
      <c r="C404" s="329" t="s">
        <v>2567</v>
      </c>
      <c r="D404" s="329" t="s">
        <v>29</v>
      </c>
      <c r="E404" s="329" t="s">
        <v>159</v>
      </c>
      <c r="F404" s="329" t="s">
        <v>160</v>
      </c>
      <c r="G404" s="330">
        <v>1.9170505E7</v>
      </c>
      <c r="H404" s="329" t="s">
        <v>120</v>
      </c>
      <c r="I404" s="562" t="s">
        <v>161</v>
      </c>
      <c r="J404" s="567" t="s">
        <v>2568</v>
      </c>
      <c r="K404" s="333" t="s">
        <v>163</v>
      </c>
      <c r="L404" s="564" t="s">
        <v>164</v>
      </c>
      <c r="M404" s="563"/>
      <c r="N404" s="563"/>
      <c r="O404" s="623" t="s">
        <v>62</v>
      </c>
      <c r="P404" s="624" t="s">
        <v>165</v>
      </c>
      <c r="Q404" s="563"/>
      <c r="R404" s="571"/>
      <c r="S404" s="564" t="s">
        <v>62</v>
      </c>
      <c r="T404" s="624" t="s">
        <v>166</v>
      </c>
      <c r="U404" s="623" t="s">
        <v>62</v>
      </c>
      <c r="V404" s="624" t="s">
        <v>2569</v>
      </c>
      <c r="W404" s="563"/>
      <c r="X404" s="571"/>
      <c r="Y404" s="563"/>
      <c r="Z404" s="571"/>
      <c r="AA404" s="563"/>
      <c r="AB404" s="566"/>
    </row>
    <row r="405">
      <c r="A405" s="327">
        <v>1333.0</v>
      </c>
      <c r="B405" s="328">
        <v>45601.0</v>
      </c>
      <c r="C405" s="329" t="s">
        <v>2567</v>
      </c>
      <c r="D405" s="329" t="s">
        <v>29</v>
      </c>
      <c r="E405" s="329" t="s">
        <v>159</v>
      </c>
      <c r="F405" s="329" t="s">
        <v>160</v>
      </c>
      <c r="G405" s="330">
        <v>1.9170504E7</v>
      </c>
      <c r="H405" s="329" t="s">
        <v>120</v>
      </c>
      <c r="I405" s="562" t="s">
        <v>161</v>
      </c>
      <c r="J405" s="567" t="s">
        <v>2570</v>
      </c>
      <c r="K405" s="333" t="s">
        <v>163</v>
      </c>
      <c r="L405" s="564" t="s">
        <v>164</v>
      </c>
      <c r="M405" s="563"/>
      <c r="N405" s="563"/>
      <c r="O405" s="623" t="s">
        <v>62</v>
      </c>
      <c r="P405" s="624" t="s">
        <v>165</v>
      </c>
      <c r="Q405" s="563"/>
      <c r="R405" s="571"/>
      <c r="S405" s="564" t="s">
        <v>62</v>
      </c>
      <c r="T405" s="624" t="s">
        <v>166</v>
      </c>
      <c r="U405" s="623" t="s">
        <v>62</v>
      </c>
      <c r="V405" s="624" t="s">
        <v>2569</v>
      </c>
      <c r="W405" s="563"/>
      <c r="X405" s="571"/>
      <c r="Y405" s="563"/>
      <c r="Z405" s="571"/>
      <c r="AA405" s="563"/>
      <c r="AB405" s="566"/>
    </row>
    <row r="406">
      <c r="A406" s="586">
        <v>1332.0</v>
      </c>
      <c r="B406" s="576">
        <v>45595.0</v>
      </c>
      <c r="C406" s="489" t="s">
        <v>2571</v>
      </c>
      <c r="D406" s="489" t="s">
        <v>66</v>
      </c>
      <c r="E406" s="489" t="s">
        <v>2572</v>
      </c>
      <c r="F406" s="521" t="s">
        <v>1006</v>
      </c>
      <c r="G406" s="521" t="s">
        <v>50</v>
      </c>
      <c r="H406" s="521" t="s">
        <v>348</v>
      </c>
      <c r="I406" s="491" t="s">
        <v>2573</v>
      </c>
      <c r="J406" s="492" t="s">
        <v>2574</v>
      </c>
      <c r="K406" s="525" t="s">
        <v>1009</v>
      </c>
      <c r="L406" s="619"/>
      <c r="M406" s="618"/>
      <c r="N406" s="618"/>
      <c r="O406" s="618"/>
      <c r="P406" s="620"/>
      <c r="Q406" s="618"/>
      <c r="R406" s="620"/>
      <c r="S406" s="618"/>
      <c r="T406" s="620"/>
      <c r="U406" s="618"/>
      <c r="V406" s="620"/>
      <c r="W406" s="625"/>
      <c r="X406" s="620"/>
      <c r="Y406" s="618"/>
      <c r="Z406" s="620"/>
      <c r="AA406" s="545">
        <v>2.0250213E7</v>
      </c>
      <c r="AB406" s="608"/>
    </row>
    <row r="407">
      <c r="A407" s="586">
        <v>1331.0</v>
      </c>
      <c r="B407" s="576">
        <v>45597.0</v>
      </c>
      <c r="C407" s="489" t="s">
        <v>2552</v>
      </c>
      <c r="D407" s="489" t="s">
        <v>66</v>
      </c>
      <c r="E407" s="489" t="s">
        <v>2575</v>
      </c>
      <c r="F407" s="521" t="s">
        <v>2576</v>
      </c>
      <c r="G407" s="522">
        <v>1.9531443E7</v>
      </c>
      <c r="H407" s="521" t="s">
        <v>200</v>
      </c>
      <c r="I407" s="491" t="s">
        <v>2577</v>
      </c>
      <c r="J407" s="492" t="s">
        <v>2578</v>
      </c>
      <c r="K407" s="618"/>
      <c r="L407" s="619"/>
      <c r="M407" s="618"/>
      <c r="N407" s="618"/>
      <c r="O407" s="618"/>
      <c r="P407" s="620"/>
      <c r="Q407" s="618"/>
      <c r="R407" s="620"/>
      <c r="S407" s="618"/>
      <c r="T407" s="620"/>
      <c r="U407" s="618"/>
      <c r="V407" s="620"/>
      <c r="W407" s="625"/>
      <c r="X407" s="620"/>
      <c r="Y407" s="618"/>
      <c r="Z407" s="620"/>
      <c r="AA407" s="545">
        <v>2.0250213E7</v>
      </c>
      <c r="AB407" s="608"/>
    </row>
    <row r="408" ht="99.75" customHeight="1">
      <c r="A408" s="586">
        <v>1330.0</v>
      </c>
      <c r="B408" s="576">
        <v>45596.0</v>
      </c>
      <c r="C408" s="489" t="s">
        <v>1949</v>
      </c>
      <c r="D408" s="489" t="s">
        <v>66</v>
      </c>
      <c r="E408" s="489" t="s">
        <v>759</v>
      </c>
      <c r="F408" s="521" t="s">
        <v>49</v>
      </c>
      <c r="G408" s="521" t="s">
        <v>2579</v>
      </c>
      <c r="H408" s="521" t="s">
        <v>200</v>
      </c>
      <c r="I408" s="491" t="s">
        <v>2580</v>
      </c>
      <c r="J408" s="492" t="s">
        <v>2581</v>
      </c>
      <c r="K408" s="525" t="s">
        <v>1986</v>
      </c>
      <c r="L408" s="594" t="s">
        <v>2582</v>
      </c>
      <c r="M408" s="595" t="s">
        <v>2583</v>
      </c>
      <c r="N408" s="618"/>
      <c r="O408" s="525" t="s">
        <v>62</v>
      </c>
      <c r="P408" s="626">
        <v>45863.0</v>
      </c>
      <c r="Q408" s="618"/>
      <c r="R408" s="620"/>
      <c r="S408" s="618"/>
      <c r="T408" s="620"/>
      <c r="U408" s="525" t="s">
        <v>1563</v>
      </c>
      <c r="V408" s="626">
        <v>45876.0</v>
      </c>
      <c r="W408" s="618"/>
      <c r="X408" s="620"/>
      <c r="Y408" s="618"/>
      <c r="Z408" s="620"/>
      <c r="AA408" s="541"/>
      <c r="AB408" s="608"/>
    </row>
    <row r="409">
      <c r="A409" s="586">
        <v>1329.0</v>
      </c>
      <c r="B409" s="576">
        <v>45595.0</v>
      </c>
      <c r="C409" s="489" t="s">
        <v>2584</v>
      </c>
      <c r="D409" s="489" t="s">
        <v>66</v>
      </c>
      <c r="E409" s="489" t="s">
        <v>2585</v>
      </c>
      <c r="F409" s="521" t="s">
        <v>2586</v>
      </c>
      <c r="G409" s="522">
        <v>1.6460377E7</v>
      </c>
      <c r="H409" s="521" t="s">
        <v>135</v>
      </c>
      <c r="I409" s="491" t="s">
        <v>2587</v>
      </c>
      <c r="J409" s="492" t="s">
        <v>2588</v>
      </c>
      <c r="K409" s="525" t="s">
        <v>2589</v>
      </c>
      <c r="L409" s="594" t="s">
        <v>2590</v>
      </c>
      <c r="M409" s="618"/>
      <c r="N409" s="618"/>
      <c r="O409" s="627" t="s">
        <v>62</v>
      </c>
      <c r="P409" s="626">
        <v>45727.0</v>
      </c>
      <c r="Q409" s="618"/>
      <c r="R409" s="620"/>
      <c r="S409" s="618"/>
      <c r="T409" s="620"/>
      <c r="U409" s="627" t="s">
        <v>62</v>
      </c>
      <c r="V409" s="620"/>
      <c r="W409" s="621"/>
      <c r="X409" s="620"/>
      <c r="Y409" s="618"/>
      <c r="Z409" s="620"/>
      <c r="AA409" s="611"/>
      <c r="AB409" s="608"/>
    </row>
    <row r="410">
      <c r="A410" s="586">
        <v>1328.0</v>
      </c>
      <c r="B410" s="576">
        <v>45595.0</v>
      </c>
      <c r="C410" s="489" t="s">
        <v>2591</v>
      </c>
      <c r="D410" s="489" t="s">
        <v>66</v>
      </c>
      <c r="E410" s="489" t="s">
        <v>30</v>
      </c>
      <c r="F410" s="521" t="s">
        <v>31</v>
      </c>
      <c r="G410" s="521">
        <v>1.8590053E7</v>
      </c>
      <c r="H410" s="521" t="s">
        <v>32</v>
      </c>
      <c r="I410" s="491" t="s">
        <v>2592</v>
      </c>
      <c r="J410" s="492" t="s">
        <v>2593</v>
      </c>
      <c r="K410" s="525" t="s">
        <v>35</v>
      </c>
      <c r="L410" s="594" t="s">
        <v>36</v>
      </c>
      <c r="M410" s="595" t="s">
        <v>37</v>
      </c>
      <c r="N410" s="618"/>
      <c r="O410" s="525" t="s">
        <v>62</v>
      </c>
      <c r="P410" s="626">
        <v>45694.0</v>
      </c>
      <c r="Q410" s="618"/>
      <c r="R410" s="620"/>
      <c r="S410" s="525"/>
      <c r="T410" s="626"/>
      <c r="U410" s="525" t="s">
        <v>62</v>
      </c>
      <c r="V410" s="626">
        <v>45852.0</v>
      </c>
      <c r="W410" s="621"/>
      <c r="X410" s="620"/>
      <c r="Y410" s="618"/>
      <c r="Z410" s="620"/>
      <c r="AA410" s="545" t="s">
        <v>2594</v>
      </c>
      <c r="AB410" s="608"/>
    </row>
    <row r="411">
      <c r="A411" s="327">
        <v>1326.0</v>
      </c>
      <c r="B411" s="328">
        <v>45594.0</v>
      </c>
      <c r="C411" s="329" t="s">
        <v>65</v>
      </c>
      <c r="D411" s="329" t="s">
        <v>66</v>
      </c>
      <c r="E411" s="329" t="s">
        <v>67</v>
      </c>
      <c r="F411" s="329" t="s">
        <v>2536</v>
      </c>
      <c r="G411" s="329" t="s">
        <v>50</v>
      </c>
      <c r="H411" s="329" t="s">
        <v>42</v>
      </c>
      <c r="I411" s="331" t="s">
        <v>2595</v>
      </c>
      <c r="J411" s="332" t="s">
        <v>2596</v>
      </c>
      <c r="K411" s="623" t="s">
        <v>45</v>
      </c>
      <c r="L411" s="564" t="s">
        <v>2597</v>
      </c>
      <c r="M411" s="564" t="s">
        <v>2598</v>
      </c>
      <c r="N411" s="563"/>
      <c r="O411" s="539"/>
      <c r="P411" s="571"/>
      <c r="Q411" s="563"/>
      <c r="R411" s="571"/>
      <c r="S411" s="564" t="s">
        <v>62</v>
      </c>
      <c r="T411" s="628">
        <v>45740.0</v>
      </c>
      <c r="U411" s="623" t="s">
        <v>62</v>
      </c>
      <c r="V411" s="629">
        <v>45930.0</v>
      </c>
      <c r="W411" s="572"/>
      <c r="X411" s="571"/>
      <c r="Y411" s="563"/>
      <c r="Z411" s="571"/>
      <c r="AA411" s="563"/>
      <c r="AB411" s="566"/>
    </row>
    <row r="412">
      <c r="A412" s="327">
        <v>1325.0</v>
      </c>
      <c r="B412" s="546">
        <v>45593.0</v>
      </c>
      <c r="C412" s="547" t="s">
        <v>2599</v>
      </c>
      <c r="D412" s="547" t="s">
        <v>66</v>
      </c>
      <c r="E412" s="547" t="s">
        <v>2600</v>
      </c>
      <c r="F412" s="547" t="s">
        <v>2601</v>
      </c>
      <c r="G412" s="549">
        <v>1.8510235E7</v>
      </c>
      <c r="H412" s="547" t="s">
        <v>200</v>
      </c>
      <c r="I412" s="550" t="s">
        <v>2602</v>
      </c>
      <c r="J412" s="551" t="s">
        <v>2603</v>
      </c>
      <c r="K412" s="623" t="s">
        <v>2604</v>
      </c>
      <c r="L412" s="564" t="s">
        <v>2605</v>
      </c>
      <c r="M412" s="564" t="s">
        <v>1581</v>
      </c>
      <c r="N412" s="563"/>
      <c r="O412" s="623" t="s">
        <v>1596</v>
      </c>
      <c r="P412" s="571"/>
      <c r="Q412" s="563"/>
      <c r="R412" s="571"/>
      <c r="S412" s="563"/>
      <c r="T412" s="571"/>
      <c r="U412" s="539"/>
      <c r="V412" s="571"/>
      <c r="W412" s="630" t="s">
        <v>150</v>
      </c>
      <c r="X412" s="571"/>
      <c r="Y412" s="563"/>
      <c r="Z412" s="571"/>
      <c r="AA412" s="553" t="s">
        <v>215</v>
      </c>
      <c r="AB412" s="566"/>
    </row>
    <row r="413">
      <c r="A413" s="327">
        <v>1324.0</v>
      </c>
      <c r="B413" s="328">
        <v>45593.0</v>
      </c>
      <c r="C413" s="329" t="s">
        <v>2501</v>
      </c>
      <c r="D413" s="329" t="s">
        <v>66</v>
      </c>
      <c r="E413" s="329" t="s">
        <v>227</v>
      </c>
      <c r="F413" s="329" t="s">
        <v>228</v>
      </c>
      <c r="G413" s="631">
        <v>1.9620288E7</v>
      </c>
      <c r="H413" s="329" t="s">
        <v>135</v>
      </c>
      <c r="I413" s="331" t="s">
        <v>1061</v>
      </c>
      <c r="J413" s="599" t="s">
        <v>2606</v>
      </c>
      <c r="K413" s="623" t="s">
        <v>231</v>
      </c>
      <c r="L413" s="623" t="s">
        <v>2073</v>
      </c>
      <c r="M413" s="623" t="s">
        <v>1065</v>
      </c>
      <c r="N413" s="563"/>
      <c r="O413" s="564" t="s">
        <v>62</v>
      </c>
      <c r="P413" s="628">
        <v>45593.0</v>
      </c>
      <c r="Q413" s="563"/>
      <c r="R413" s="571"/>
      <c r="S413" s="563"/>
      <c r="T413" s="571"/>
      <c r="U413" s="525" t="s">
        <v>62</v>
      </c>
      <c r="V413" s="571"/>
      <c r="W413" s="572"/>
      <c r="X413" s="571"/>
      <c r="Y413" s="563"/>
      <c r="Z413" s="571"/>
      <c r="AA413" s="563"/>
      <c r="AB413" s="566"/>
    </row>
    <row r="414">
      <c r="A414" s="327">
        <v>1323.0</v>
      </c>
      <c r="B414" s="328">
        <v>45593.0</v>
      </c>
      <c r="C414" s="329" t="s">
        <v>2501</v>
      </c>
      <c r="D414" s="329" t="s">
        <v>66</v>
      </c>
      <c r="E414" s="329" t="s">
        <v>227</v>
      </c>
      <c r="F414" s="329" t="s">
        <v>228</v>
      </c>
      <c r="G414" s="631">
        <v>1.9620289E7</v>
      </c>
      <c r="H414" s="329" t="s">
        <v>135</v>
      </c>
      <c r="I414" s="331" t="s">
        <v>1061</v>
      </c>
      <c r="J414" s="599" t="s">
        <v>2606</v>
      </c>
      <c r="K414" s="623" t="s">
        <v>231</v>
      </c>
      <c r="L414" s="623" t="s">
        <v>2073</v>
      </c>
      <c r="M414" s="623" t="s">
        <v>1065</v>
      </c>
      <c r="N414" s="563"/>
      <c r="O414" s="564" t="s">
        <v>62</v>
      </c>
      <c r="P414" s="628">
        <v>45593.0</v>
      </c>
      <c r="Q414" s="563"/>
      <c r="R414" s="571"/>
      <c r="S414" s="563"/>
      <c r="T414" s="571"/>
      <c r="U414" s="525" t="s">
        <v>62</v>
      </c>
      <c r="V414" s="571"/>
      <c r="W414" s="572"/>
      <c r="X414" s="571"/>
      <c r="Y414" s="563"/>
      <c r="Z414" s="571"/>
      <c r="AA414" s="563"/>
      <c r="AB414" s="566"/>
    </row>
    <row r="415">
      <c r="A415" s="586">
        <v>1322.0</v>
      </c>
      <c r="B415" s="576">
        <v>45590.0</v>
      </c>
      <c r="C415" s="489" t="s">
        <v>505</v>
      </c>
      <c r="D415" s="489" t="s">
        <v>66</v>
      </c>
      <c r="E415" s="489" t="s">
        <v>506</v>
      </c>
      <c r="F415" s="521" t="s">
        <v>49</v>
      </c>
      <c r="G415" s="522">
        <v>1.724268E7</v>
      </c>
      <c r="H415" s="521" t="s">
        <v>200</v>
      </c>
      <c r="I415" s="491" t="s">
        <v>2607</v>
      </c>
      <c r="J415" s="492" t="s">
        <v>2608</v>
      </c>
      <c r="K415" s="618"/>
      <c r="L415" s="619"/>
      <c r="M415" s="618"/>
      <c r="N415" s="618"/>
      <c r="O415" s="618"/>
      <c r="P415" s="620"/>
      <c r="Q415" s="618"/>
      <c r="R415" s="620"/>
      <c r="S415" s="618"/>
      <c r="T415" s="620"/>
      <c r="U415" s="525" t="s">
        <v>1563</v>
      </c>
      <c r="V415" s="620"/>
      <c r="W415" s="621"/>
      <c r="X415" s="620"/>
      <c r="Y415" s="618"/>
      <c r="Z415" s="620"/>
      <c r="AA415" s="545"/>
      <c r="AB415" s="608"/>
    </row>
    <row r="416">
      <c r="A416" s="586">
        <v>1321.0</v>
      </c>
      <c r="B416" s="576">
        <v>45590.0</v>
      </c>
      <c r="C416" s="489" t="s">
        <v>505</v>
      </c>
      <c r="D416" s="489" t="s">
        <v>66</v>
      </c>
      <c r="E416" s="489" t="s">
        <v>506</v>
      </c>
      <c r="F416" s="521" t="s">
        <v>49</v>
      </c>
      <c r="G416" s="522">
        <v>1.724269E7</v>
      </c>
      <c r="H416" s="521" t="s">
        <v>200</v>
      </c>
      <c r="I416" s="491" t="s">
        <v>2609</v>
      </c>
      <c r="J416" s="492" t="s">
        <v>2610</v>
      </c>
      <c r="K416" s="525" t="s">
        <v>510</v>
      </c>
      <c r="L416" s="594" t="s">
        <v>511</v>
      </c>
      <c r="M416" s="525" t="s">
        <v>512</v>
      </c>
      <c r="N416" s="618"/>
      <c r="O416" s="525" t="s">
        <v>62</v>
      </c>
      <c r="P416" s="525" t="s">
        <v>2611</v>
      </c>
      <c r="Q416" s="618"/>
      <c r="R416" s="620"/>
      <c r="S416" s="618"/>
      <c r="T416" s="620"/>
      <c r="U416" s="494" t="s">
        <v>62</v>
      </c>
      <c r="V416" s="620"/>
      <c r="W416" s="625"/>
      <c r="X416" s="620"/>
      <c r="Y416" s="618"/>
      <c r="Z416" s="620"/>
      <c r="AA416" s="545">
        <v>2.0250213E7</v>
      </c>
      <c r="AB416" s="608"/>
    </row>
    <row r="417">
      <c r="A417" s="327">
        <v>1320.0</v>
      </c>
      <c r="B417" s="546">
        <v>45589.0</v>
      </c>
      <c r="C417" s="547" t="s">
        <v>2612</v>
      </c>
      <c r="D417" s="547" t="s">
        <v>66</v>
      </c>
      <c r="E417" s="547" t="s">
        <v>1011</v>
      </c>
      <c r="F417" s="547" t="s">
        <v>49</v>
      </c>
      <c r="G417" s="549">
        <v>1.9210115E7</v>
      </c>
      <c r="H417" s="547" t="s">
        <v>32</v>
      </c>
      <c r="I417" s="550" t="s">
        <v>2613</v>
      </c>
      <c r="J417" s="551" t="s">
        <v>2614</v>
      </c>
      <c r="K417" s="623" t="s">
        <v>2615</v>
      </c>
      <c r="L417" s="564" t="s">
        <v>2616</v>
      </c>
      <c r="M417" s="564" t="s">
        <v>2617</v>
      </c>
      <c r="N417" s="563"/>
      <c r="O417" s="539"/>
      <c r="P417" s="571"/>
      <c r="Q417" s="564" t="s">
        <v>174</v>
      </c>
      <c r="R417" s="571"/>
      <c r="S417" s="563"/>
      <c r="T417" s="571"/>
      <c r="U417" s="539"/>
      <c r="V417" s="571"/>
      <c r="W417" s="630" t="s">
        <v>150</v>
      </c>
      <c r="X417" s="571"/>
      <c r="Y417" s="563"/>
      <c r="Z417" s="571"/>
      <c r="AA417" s="553" t="s">
        <v>215</v>
      </c>
      <c r="AB417" s="566"/>
    </row>
    <row r="418">
      <c r="A418" s="327">
        <v>1319.0</v>
      </c>
      <c r="B418" s="328">
        <v>45589.0</v>
      </c>
      <c r="C418" s="329" t="s">
        <v>2618</v>
      </c>
      <c r="D418" s="329" t="s">
        <v>66</v>
      </c>
      <c r="E418" s="329" t="s">
        <v>2619</v>
      </c>
      <c r="F418" s="329" t="s">
        <v>2620</v>
      </c>
      <c r="G418" s="632">
        <v>1.7820193E7</v>
      </c>
      <c r="H418" s="329" t="s">
        <v>135</v>
      </c>
      <c r="I418" s="331" t="s">
        <v>2621</v>
      </c>
      <c r="J418" s="485" t="s">
        <v>2622</v>
      </c>
      <c r="K418" s="539"/>
      <c r="L418" s="563"/>
      <c r="M418" s="563"/>
      <c r="N418" s="563"/>
      <c r="O418" s="539"/>
      <c r="P418" s="571"/>
      <c r="Q418" s="563"/>
      <c r="R418" s="571"/>
      <c r="S418" s="563"/>
      <c r="T418" s="571"/>
      <c r="U418" s="623" t="s">
        <v>62</v>
      </c>
      <c r="V418" s="571"/>
      <c r="W418" s="572"/>
      <c r="X418" s="571"/>
      <c r="Y418" s="563"/>
      <c r="Z418" s="571"/>
      <c r="AA418" s="563"/>
      <c r="AB418" s="566"/>
    </row>
    <row r="419">
      <c r="A419" s="327">
        <v>1318.0</v>
      </c>
      <c r="B419" s="328">
        <v>45588.0</v>
      </c>
      <c r="C419" s="329" t="s">
        <v>2623</v>
      </c>
      <c r="D419" s="329" t="s">
        <v>66</v>
      </c>
      <c r="E419" s="329" t="s">
        <v>417</v>
      </c>
      <c r="F419" s="329" t="s">
        <v>300</v>
      </c>
      <c r="G419" s="330">
        <v>1.6340565E7</v>
      </c>
      <c r="H419" s="329" t="s">
        <v>200</v>
      </c>
      <c r="I419" s="331" t="s">
        <v>2624</v>
      </c>
      <c r="J419" s="332" t="s">
        <v>2625</v>
      </c>
      <c r="K419" s="623" t="s">
        <v>265</v>
      </c>
      <c r="L419" s="564" t="s">
        <v>2626</v>
      </c>
      <c r="M419" s="564" t="s">
        <v>267</v>
      </c>
      <c r="N419" s="563"/>
      <c r="O419" s="623" t="s">
        <v>1563</v>
      </c>
      <c r="P419" s="571"/>
      <c r="Q419" s="563"/>
      <c r="R419" s="571"/>
      <c r="S419" s="563"/>
      <c r="T419" s="571"/>
      <c r="U419" s="623" t="s">
        <v>1563</v>
      </c>
      <c r="V419" s="628">
        <v>45643.0</v>
      </c>
      <c r="W419" s="572"/>
      <c r="X419" s="571"/>
      <c r="Y419" s="563"/>
      <c r="Z419" s="571"/>
      <c r="AA419" s="563"/>
      <c r="AB419" s="566"/>
    </row>
    <row r="420">
      <c r="A420" s="327">
        <v>1317.0</v>
      </c>
      <c r="B420" s="328">
        <v>45587.0</v>
      </c>
      <c r="C420" s="329" t="s">
        <v>1793</v>
      </c>
      <c r="D420" s="329" t="s">
        <v>66</v>
      </c>
      <c r="E420" s="329" t="s">
        <v>1312</v>
      </c>
      <c r="F420" s="329" t="s">
        <v>1459</v>
      </c>
      <c r="G420" s="329" t="s">
        <v>2627</v>
      </c>
      <c r="H420" s="329" t="s">
        <v>200</v>
      </c>
      <c r="I420" s="331" t="s">
        <v>2628</v>
      </c>
      <c r="J420" s="332" t="s">
        <v>2629</v>
      </c>
      <c r="K420" s="539"/>
      <c r="L420" s="563"/>
      <c r="M420" s="563"/>
      <c r="N420" s="563"/>
      <c r="O420" s="539"/>
      <c r="P420" s="571"/>
      <c r="Q420" s="563"/>
      <c r="R420" s="571"/>
      <c r="S420" s="563"/>
      <c r="T420" s="571"/>
      <c r="U420" s="623" t="s">
        <v>2327</v>
      </c>
      <c r="V420" s="628">
        <v>45629.0</v>
      </c>
      <c r="W420" s="572"/>
      <c r="X420" s="571"/>
      <c r="Y420" s="563"/>
      <c r="Z420" s="571"/>
      <c r="AA420" s="563"/>
      <c r="AB420" s="566"/>
    </row>
    <row r="421">
      <c r="A421" s="586">
        <v>1316.0</v>
      </c>
      <c r="B421" s="576">
        <v>45587.0</v>
      </c>
      <c r="C421" s="489" t="s">
        <v>1793</v>
      </c>
      <c r="D421" s="489" t="s">
        <v>66</v>
      </c>
      <c r="E421" s="489" t="s">
        <v>1312</v>
      </c>
      <c r="F421" s="521" t="s">
        <v>1313</v>
      </c>
      <c r="G421" s="522">
        <v>1.3780697E7</v>
      </c>
      <c r="H421" s="521" t="s">
        <v>200</v>
      </c>
      <c r="I421" s="491" t="s">
        <v>2630</v>
      </c>
      <c r="J421" s="492" t="s">
        <v>2631</v>
      </c>
      <c r="K421" s="525" t="s">
        <v>1316</v>
      </c>
      <c r="L421" s="594" t="s">
        <v>2632</v>
      </c>
      <c r="M421" s="525" t="s">
        <v>2019</v>
      </c>
      <c r="N421" s="618"/>
      <c r="O421" s="618"/>
      <c r="P421" s="620"/>
      <c r="Q421" s="618"/>
      <c r="R421" s="620"/>
      <c r="S421" s="618"/>
      <c r="T421" s="620"/>
      <c r="U421" s="618"/>
      <c r="V421" s="620"/>
      <c r="W421" s="625"/>
      <c r="X421" s="620"/>
      <c r="Y421" s="618"/>
      <c r="Z421" s="620"/>
      <c r="AA421" s="545">
        <v>2.0250213E7</v>
      </c>
      <c r="AB421" s="608"/>
    </row>
    <row r="422">
      <c r="A422" s="586">
        <v>1315.0</v>
      </c>
      <c r="B422" s="576">
        <v>45587.0</v>
      </c>
      <c r="C422" s="489" t="s">
        <v>1793</v>
      </c>
      <c r="D422" s="489" t="s">
        <v>66</v>
      </c>
      <c r="E422" s="489" t="s">
        <v>1312</v>
      </c>
      <c r="F422" s="521" t="s">
        <v>1313</v>
      </c>
      <c r="G422" s="522">
        <v>1.3780697E7</v>
      </c>
      <c r="H422" s="521" t="s">
        <v>200</v>
      </c>
      <c r="I422" s="491" t="s">
        <v>2633</v>
      </c>
      <c r="J422" s="492" t="s">
        <v>2634</v>
      </c>
      <c r="K422" s="525" t="s">
        <v>1316</v>
      </c>
      <c r="L422" s="594" t="s">
        <v>2632</v>
      </c>
      <c r="M422" s="525" t="s">
        <v>2019</v>
      </c>
      <c r="N422" s="618"/>
      <c r="O422" s="618"/>
      <c r="P422" s="620"/>
      <c r="Q422" s="618"/>
      <c r="R422" s="620"/>
      <c r="S422" s="618"/>
      <c r="T422" s="620"/>
      <c r="U422" s="618"/>
      <c r="V422" s="620"/>
      <c r="W422" s="625"/>
      <c r="X422" s="620"/>
      <c r="Y422" s="618"/>
      <c r="Z422" s="620"/>
      <c r="AA422" s="545">
        <v>2.0250213E7</v>
      </c>
      <c r="AB422" s="608"/>
    </row>
    <row r="423">
      <c r="A423" s="586">
        <v>1312.0</v>
      </c>
      <c r="B423" s="633">
        <v>45586.0</v>
      </c>
      <c r="C423" s="535" t="s">
        <v>2635</v>
      </c>
      <c r="D423" s="535" t="s">
        <v>66</v>
      </c>
      <c r="E423" s="535" t="s">
        <v>1766</v>
      </c>
      <c r="F423" s="634" t="s">
        <v>1865</v>
      </c>
      <c r="G423" s="635">
        <v>1.6451931E7</v>
      </c>
      <c r="H423" s="634" t="s">
        <v>42</v>
      </c>
      <c r="I423" s="536" t="s">
        <v>2636</v>
      </c>
      <c r="J423" s="537" t="s">
        <v>2637</v>
      </c>
      <c r="K423" s="618"/>
      <c r="L423" s="619"/>
      <c r="M423" s="618"/>
      <c r="N423" s="618"/>
      <c r="O423" s="618"/>
      <c r="P423" s="620"/>
      <c r="Q423" s="618"/>
      <c r="R423" s="620"/>
      <c r="S423" s="618"/>
      <c r="T423" s="620"/>
      <c r="U423" s="618"/>
      <c r="V423" s="620"/>
      <c r="W423" s="636" t="s">
        <v>150</v>
      </c>
      <c r="X423" s="620"/>
      <c r="Y423" s="618"/>
      <c r="Z423" s="620"/>
      <c r="AA423" s="611"/>
      <c r="AB423" s="608"/>
    </row>
    <row r="424">
      <c r="A424" s="586">
        <v>1311.0</v>
      </c>
      <c r="B424" s="576">
        <v>45586.0</v>
      </c>
      <c r="C424" s="489" t="s">
        <v>2638</v>
      </c>
      <c r="D424" s="489" t="s">
        <v>66</v>
      </c>
      <c r="E424" s="489" t="s">
        <v>2639</v>
      </c>
      <c r="F424" s="489" t="s">
        <v>338</v>
      </c>
      <c r="G424" s="521">
        <v>1.8010188E7</v>
      </c>
      <c r="H424" s="521" t="s">
        <v>32</v>
      </c>
      <c r="I424" s="491" t="s">
        <v>2640</v>
      </c>
      <c r="J424" s="492" t="s">
        <v>2641</v>
      </c>
      <c r="K424" s="525" t="s">
        <v>1117</v>
      </c>
      <c r="L424" s="619"/>
      <c r="M424" s="618"/>
      <c r="N424" s="618"/>
      <c r="O424" s="618"/>
      <c r="P424" s="620"/>
      <c r="Q424" s="618"/>
      <c r="R424" s="637">
        <v>45602.0</v>
      </c>
      <c r="S424" s="618"/>
      <c r="T424" s="620"/>
      <c r="U424" s="525" t="s">
        <v>62</v>
      </c>
      <c r="V424" s="626">
        <v>45649.0</v>
      </c>
      <c r="W424" s="621"/>
      <c r="X424" s="620"/>
      <c r="Y424" s="618"/>
      <c r="Z424" s="620"/>
      <c r="AA424" s="545"/>
      <c r="AB424" s="608"/>
    </row>
    <row r="425">
      <c r="A425" s="586">
        <v>1310.0</v>
      </c>
      <c r="B425" s="576">
        <v>45586.0</v>
      </c>
      <c r="C425" s="489" t="s">
        <v>1646</v>
      </c>
      <c r="D425" s="489" t="s">
        <v>66</v>
      </c>
      <c r="E425" s="489" t="s">
        <v>48</v>
      </c>
      <c r="F425" s="521" t="s">
        <v>49</v>
      </c>
      <c r="G425" s="521" t="s">
        <v>50</v>
      </c>
      <c r="H425" s="521" t="s">
        <v>51</v>
      </c>
      <c r="I425" s="491" t="s">
        <v>2642</v>
      </c>
      <c r="J425" s="492" t="s">
        <v>2643</v>
      </c>
      <c r="K425" s="525" t="s">
        <v>143</v>
      </c>
      <c r="L425" s="594" t="s">
        <v>613</v>
      </c>
      <c r="M425" s="525" t="s">
        <v>610</v>
      </c>
      <c r="N425" s="618"/>
      <c r="O425" s="618"/>
      <c r="P425" s="620"/>
      <c r="Q425" s="618"/>
      <c r="R425" s="620"/>
      <c r="S425" s="618"/>
      <c r="T425" s="620"/>
      <c r="U425" s="618"/>
      <c r="V425" s="620"/>
      <c r="W425" s="625"/>
      <c r="X425" s="620"/>
      <c r="Y425" s="618"/>
      <c r="Z425" s="620"/>
      <c r="AA425" s="545">
        <v>2.0250213E7</v>
      </c>
      <c r="AB425" s="608"/>
    </row>
    <row r="426">
      <c r="A426" s="586">
        <v>1308.0</v>
      </c>
      <c r="B426" s="638">
        <v>45581.0</v>
      </c>
      <c r="C426" s="501" t="s">
        <v>2552</v>
      </c>
      <c r="D426" s="501" t="s">
        <v>66</v>
      </c>
      <c r="E426" s="501" t="s">
        <v>2124</v>
      </c>
      <c r="F426" s="639" t="s">
        <v>1652</v>
      </c>
      <c r="G426" s="586">
        <v>1.95315E7</v>
      </c>
      <c r="H426" s="639" t="s">
        <v>200</v>
      </c>
      <c r="I426" s="503" t="s">
        <v>2644</v>
      </c>
      <c r="J426" s="492" t="s">
        <v>2645</v>
      </c>
      <c r="K426" s="525" t="s">
        <v>2098</v>
      </c>
      <c r="L426" s="594" t="s">
        <v>554</v>
      </c>
      <c r="M426" s="525" t="s">
        <v>2646</v>
      </c>
      <c r="N426" s="618"/>
      <c r="O426" s="618"/>
      <c r="P426" s="620"/>
      <c r="Q426" s="618"/>
      <c r="R426" s="620"/>
      <c r="S426" s="525" t="s">
        <v>62</v>
      </c>
      <c r="T426" s="626">
        <v>45674.0</v>
      </c>
      <c r="U426" s="618"/>
      <c r="V426" s="620"/>
      <c r="W426" s="625"/>
      <c r="X426" s="620"/>
      <c r="Y426" s="618"/>
      <c r="Z426" s="620"/>
      <c r="AA426" s="545">
        <v>2.0250213E7</v>
      </c>
      <c r="AB426" s="608"/>
    </row>
    <row r="427">
      <c r="A427" s="327">
        <v>1307.0</v>
      </c>
      <c r="B427" s="328">
        <v>45575.0</v>
      </c>
      <c r="C427" s="329" t="s">
        <v>2623</v>
      </c>
      <c r="D427" s="329" t="s">
        <v>66</v>
      </c>
      <c r="E427" s="329" t="s">
        <v>417</v>
      </c>
      <c r="F427" s="329" t="s">
        <v>300</v>
      </c>
      <c r="G427" s="330">
        <v>1.6340569E7</v>
      </c>
      <c r="H427" s="329" t="s">
        <v>200</v>
      </c>
      <c r="I427" s="331" t="s">
        <v>2647</v>
      </c>
      <c r="J427" s="332" t="s">
        <v>2648</v>
      </c>
      <c r="K427" s="623" t="s">
        <v>265</v>
      </c>
      <c r="L427" s="564" t="s">
        <v>2649</v>
      </c>
      <c r="M427" s="564" t="s">
        <v>267</v>
      </c>
      <c r="N427" s="563"/>
      <c r="O427" s="623" t="s">
        <v>1563</v>
      </c>
      <c r="P427" s="571"/>
      <c r="Q427" s="563"/>
      <c r="R427" s="571"/>
      <c r="S427" s="563"/>
      <c r="T427" s="571"/>
      <c r="U427" s="623" t="s">
        <v>1563</v>
      </c>
      <c r="V427" s="628">
        <v>45678.0</v>
      </c>
      <c r="W427" s="572"/>
      <c r="X427" s="571"/>
      <c r="Y427" s="563"/>
      <c r="Z427" s="571"/>
      <c r="AA427" s="563"/>
      <c r="AB427" s="566"/>
    </row>
    <row r="428">
      <c r="A428" s="327">
        <v>1306.0</v>
      </c>
      <c r="B428" s="328">
        <v>45575.0</v>
      </c>
      <c r="C428" s="329" t="s">
        <v>2623</v>
      </c>
      <c r="D428" s="329" t="s">
        <v>66</v>
      </c>
      <c r="E428" s="329" t="s">
        <v>417</v>
      </c>
      <c r="F428" s="329" t="s">
        <v>300</v>
      </c>
      <c r="G428" s="330">
        <v>1.6340569E7</v>
      </c>
      <c r="H428" s="329" t="s">
        <v>200</v>
      </c>
      <c r="I428" s="331" t="s">
        <v>2650</v>
      </c>
      <c r="J428" s="332" t="s">
        <v>2648</v>
      </c>
      <c r="K428" s="623" t="s">
        <v>265</v>
      </c>
      <c r="L428" s="564" t="s">
        <v>2651</v>
      </c>
      <c r="M428" s="564" t="s">
        <v>267</v>
      </c>
      <c r="N428" s="563"/>
      <c r="O428" s="623" t="s">
        <v>1563</v>
      </c>
      <c r="P428" s="571"/>
      <c r="Q428" s="563"/>
      <c r="R428" s="571"/>
      <c r="S428" s="563"/>
      <c r="T428" s="571"/>
      <c r="U428" s="623" t="s">
        <v>1563</v>
      </c>
      <c r="V428" s="628">
        <v>45678.0</v>
      </c>
      <c r="W428" s="572"/>
      <c r="X428" s="571"/>
      <c r="Y428" s="563"/>
      <c r="Z428" s="571"/>
      <c r="AA428" s="563"/>
      <c r="AB428" s="566"/>
    </row>
    <row r="429">
      <c r="A429" s="586">
        <v>1305.0</v>
      </c>
      <c r="B429" s="576">
        <v>45572.0</v>
      </c>
      <c r="C429" s="489" t="s">
        <v>2623</v>
      </c>
      <c r="D429" s="489" t="s">
        <v>66</v>
      </c>
      <c r="E429" s="489" t="s">
        <v>417</v>
      </c>
      <c r="F429" s="521" t="s">
        <v>300</v>
      </c>
      <c r="G429" s="522">
        <v>1.6340562E7</v>
      </c>
      <c r="H429" s="521" t="s">
        <v>200</v>
      </c>
      <c r="I429" s="491" t="s">
        <v>263</v>
      </c>
      <c r="J429" s="492" t="s">
        <v>2652</v>
      </c>
      <c r="K429" s="525" t="s">
        <v>265</v>
      </c>
      <c r="L429" s="594" t="s">
        <v>266</v>
      </c>
      <c r="M429" s="525" t="s">
        <v>267</v>
      </c>
      <c r="N429" s="618"/>
      <c r="O429" s="525" t="s">
        <v>1563</v>
      </c>
      <c r="P429" s="620"/>
      <c r="Q429" s="618"/>
      <c r="R429" s="620"/>
      <c r="S429" s="618"/>
      <c r="T429" s="620"/>
      <c r="U429" s="525" t="s">
        <v>1563</v>
      </c>
      <c r="V429" s="626">
        <v>45610.0</v>
      </c>
      <c r="W429" s="621"/>
      <c r="X429" s="620"/>
      <c r="Y429" s="618"/>
      <c r="Z429" s="620"/>
      <c r="AA429" s="611"/>
      <c r="AB429" s="608"/>
    </row>
    <row r="430">
      <c r="A430" s="640">
        <v>1304.0</v>
      </c>
      <c r="B430" s="641">
        <v>45572.0</v>
      </c>
      <c r="C430" s="642" t="s">
        <v>2623</v>
      </c>
      <c r="D430" s="643"/>
      <c r="E430" s="642" t="s">
        <v>417</v>
      </c>
      <c r="F430" s="644" t="s">
        <v>300</v>
      </c>
      <c r="G430" s="640">
        <v>1.6340561E7</v>
      </c>
      <c r="H430" s="644" t="s">
        <v>200</v>
      </c>
      <c r="I430" s="645" t="s">
        <v>2653</v>
      </c>
      <c r="J430" s="646" t="s">
        <v>2654</v>
      </c>
      <c r="K430" s="647" t="s">
        <v>265</v>
      </c>
      <c r="L430" s="648" t="s">
        <v>2655</v>
      </c>
      <c r="M430" s="525"/>
      <c r="N430" s="618"/>
      <c r="O430" s="525"/>
      <c r="P430" s="620"/>
      <c r="Q430" s="618"/>
      <c r="R430" s="620"/>
      <c r="S430" s="618"/>
      <c r="T430" s="620"/>
      <c r="U430" s="525"/>
      <c r="V430" s="626"/>
      <c r="W430" s="621"/>
      <c r="X430" s="620"/>
      <c r="Y430" s="618"/>
      <c r="Z430" s="620"/>
      <c r="AA430" s="611"/>
      <c r="AB430" s="608"/>
    </row>
    <row r="431">
      <c r="A431" s="586">
        <v>1303.0</v>
      </c>
      <c r="B431" s="576">
        <v>45572.0</v>
      </c>
      <c r="C431" s="489" t="s">
        <v>1932</v>
      </c>
      <c r="D431" s="489" t="s">
        <v>66</v>
      </c>
      <c r="E431" s="489" t="s">
        <v>89</v>
      </c>
      <c r="F431" s="521" t="s">
        <v>2536</v>
      </c>
      <c r="G431" s="522">
        <v>1.5831253E7</v>
      </c>
      <c r="H431" s="521" t="s">
        <v>51</v>
      </c>
      <c r="I431" s="491" t="s">
        <v>2656</v>
      </c>
      <c r="J431" s="524" t="s">
        <v>2657</v>
      </c>
      <c r="K431" s="525" t="s">
        <v>608</v>
      </c>
      <c r="L431" s="594" t="s">
        <v>1278</v>
      </c>
      <c r="M431" s="525" t="s">
        <v>610</v>
      </c>
      <c r="N431" s="618"/>
      <c r="O431" s="525" t="s">
        <v>62</v>
      </c>
      <c r="P431" s="637">
        <v>45572.0</v>
      </c>
      <c r="Q431" s="618"/>
      <c r="R431" s="620"/>
      <c r="S431" s="618"/>
      <c r="T431" s="620"/>
      <c r="U431" s="525" t="s">
        <v>62</v>
      </c>
      <c r="V431" s="637">
        <v>45580.0</v>
      </c>
      <c r="W431" s="625"/>
      <c r="X431" s="620"/>
      <c r="Y431" s="618"/>
      <c r="Z431" s="620"/>
      <c r="AA431" s="611"/>
      <c r="AB431" s="608"/>
    </row>
    <row r="432">
      <c r="A432" s="586">
        <v>1302.0</v>
      </c>
      <c r="B432" s="633">
        <v>45566.0</v>
      </c>
      <c r="C432" s="535" t="s">
        <v>2658</v>
      </c>
      <c r="D432" s="535"/>
      <c r="E432" s="535" t="s">
        <v>2659</v>
      </c>
      <c r="F432" s="634" t="s">
        <v>347</v>
      </c>
      <c r="G432" s="634" t="s">
        <v>50</v>
      </c>
      <c r="H432" s="634" t="s">
        <v>348</v>
      </c>
      <c r="I432" s="536" t="s">
        <v>2660</v>
      </c>
      <c r="J432" s="537" t="s">
        <v>2661</v>
      </c>
      <c r="K432" s="618"/>
      <c r="L432" s="619"/>
      <c r="M432" s="618"/>
      <c r="N432" s="618"/>
      <c r="O432" s="618"/>
      <c r="P432" s="620"/>
      <c r="Q432" s="618"/>
      <c r="R432" s="620"/>
      <c r="S432" s="618"/>
      <c r="T432" s="620"/>
      <c r="U432" s="618"/>
      <c r="V432" s="620"/>
      <c r="W432" s="649" t="s">
        <v>2662</v>
      </c>
      <c r="X432" s="620"/>
      <c r="Y432" s="618"/>
      <c r="Z432" s="620"/>
      <c r="AA432" s="611"/>
      <c r="AB432" s="608"/>
    </row>
    <row r="433">
      <c r="A433" s="586">
        <v>1300.0</v>
      </c>
      <c r="B433" s="576">
        <v>45567.0</v>
      </c>
      <c r="C433" s="489" t="s">
        <v>2663</v>
      </c>
      <c r="D433" s="489" t="s">
        <v>66</v>
      </c>
      <c r="E433" s="489" t="s">
        <v>2664</v>
      </c>
      <c r="F433" s="521" t="s">
        <v>49</v>
      </c>
      <c r="G433" s="522">
        <v>1.6590682E7</v>
      </c>
      <c r="H433" s="521" t="s">
        <v>51</v>
      </c>
      <c r="I433" s="491" t="s">
        <v>2665</v>
      </c>
      <c r="J433" s="524" t="s">
        <v>2666</v>
      </c>
      <c r="K433" s="384" t="s">
        <v>2667</v>
      </c>
      <c r="L433" s="650" t="s">
        <v>2668</v>
      </c>
      <c r="M433" s="651" t="s">
        <v>2669</v>
      </c>
      <c r="N433" s="618"/>
      <c r="O433" s="525" t="s">
        <v>62</v>
      </c>
      <c r="P433" s="637">
        <v>45568.0</v>
      </c>
      <c r="Q433" s="618"/>
      <c r="R433" s="620"/>
      <c r="S433" s="618"/>
      <c r="T433" s="620"/>
      <c r="U433" s="525" t="s">
        <v>62</v>
      </c>
      <c r="V433" s="637">
        <v>45569.0</v>
      </c>
      <c r="W433" s="625"/>
      <c r="X433" s="620"/>
      <c r="Y433" s="618"/>
      <c r="Z433" s="620"/>
      <c r="AA433" s="611"/>
      <c r="AB433" s="608"/>
    </row>
    <row r="434">
      <c r="A434" s="652">
        <v>1299.0</v>
      </c>
      <c r="B434" s="653">
        <v>45562.0</v>
      </c>
      <c r="C434" s="508" t="s">
        <v>2670</v>
      </c>
      <c r="D434" s="508" t="s">
        <v>66</v>
      </c>
      <c r="E434" s="508" t="s">
        <v>2619</v>
      </c>
      <c r="F434" s="654" t="s">
        <v>2620</v>
      </c>
      <c r="G434" s="655">
        <v>1.78202E7</v>
      </c>
      <c r="H434" s="654" t="s">
        <v>135</v>
      </c>
      <c r="I434" s="509" t="s">
        <v>2671</v>
      </c>
      <c r="J434" s="510" t="s">
        <v>2672</v>
      </c>
      <c r="K434" s="656"/>
      <c r="L434" s="657"/>
      <c r="M434" s="658"/>
      <c r="N434" s="658"/>
      <c r="O434" s="656"/>
      <c r="P434" s="659"/>
      <c r="Q434" s="658"/>
      <c r="R434" s="659"/>
      <c r="S434" s="658"/>
      <c r="T434" s="659"/>
      <c r="U434" s="660" t="s">
        <v>62</v>
      </c>
      <c r="V434" s="661">
        <v>46009.0</v>
      </c>
      <c r="W434" s="658"/>
      <c r="X434" s="659"/>
      <c r="Y434" s="658"/>
      <c r="Z434" s="659"/>
      <c r="AA434" s="658"/>
      <c r="AB434" s="662"/>
    </row>
    <row r="435">
      <c r="A435" s="663">
        <v>1298.0</v>
      </c>
      <c r="B435" s="653">
        <v>45562.0</v>
      </c>
      <c r="C435" s="508" t="s">
        <v>2670</v>
      </c>
      <c r="D435" s="508" t="s">
        <v>66</v>
      </c>
      <c r="E435" s="508" t="s">
        <v>2619</v>
      </c>
      <c r="F435" s="654" t="s">
        <v>2620</v>
      </c>
      <c r="G435" s="655">
        <v>1.7820194E7</v>
      </c>
      <c r="H435" s="654" t="s">
        <v>135</v>
      </c>
      <c r="I435" s="509" t="s">
        <v>2673</v>
      </c>
      <c r="J435" s="510" t="s">
        <v>2674</v>
      </c>
      <c r="K435" s="514"/>
      <c r="L435" s="664"/>
      <c r="M435" s="513"/>
      <c r="N435" s="513"/>
      <c r="O435" s="514"/>
      <c r="P435" s="515"/>
      <c r="Q435" s="513"/>
      <c r="R435" s="515"/>
      <c r="S435" s="513"/>
      <c r="T435" s="515"/>
      <c r="U435" s="665" t="s">
        <v>62</v>
      </c>
      <c r="V435" s="666">
        <v>46009.0</v>
      </c>
      <c r="W435" s="513"/>
      <c r="X435" s="515"/>
      <c r="Y435" s="513"/>
      <c r="Z435" s="515"/>
      <c r="AA435" s="513"/>
      <c r="AB435" s="667"/>
    </row>
    <row r="436">
      <c r="A436" s="586">
        <v>1296.0</v>
      </c>
      <c r="B436" s="576">
        <v>45559.0</v>
      </c>
      <c r="C436" s="489" t="s">
        <v>2675</v>
      </c>
      <c r="D436" s="668" t="s">
        <v>66</v>
      </c>
      <c r="E436" s="489" t="s">
        <v>2676</v>
      </c>
      <c r="F436" s="521" t="s">
        <v>2677</v>
      </c>
      <c r="G436" s="521" t="s">
        <v>50</v>
      </c>
      <c r="H436" s="521" t="s">
        <v>32</v>
      </c>
      <c r="I436" s="491" t="s">
        <v>2678</v>
      </c>
      <c r="J436" s="492" t="s">
        <v>2679</v>
      </c>
      <c r="K436" s="525" t="s">
        <v>2680</v>
      </c>
      <c r="L436" s="594" t="s">
        <v>2681</v>
      </c>
      <c r="M436" s="525" t="s">
        <v>2682</v>
      </c>
      <c r="N436" s="618"/>
      <c r="O436" s="618"/>
      <c r="P436" s="620"/>
      <c r="Q436" s="618"/>
      <c r="R436" s="620"/>
      <c r="S436" s="618"/>
      <c r="T436" s="620"/>
      <c r="U436" s="525" t="s">
        <v>62</v>
      </c>
      <c r="V436" s="626">
        <v>45873.0</v>
      </c>
      <c r="W436" s="618"/>
      <c r="X436" s="620"/>
      <c r="Y436" s="618"/>
      <c r="Z436" s="620"/>
      <c r="AA436" s="669">
        <v>2.025063E7</v>
      </c>
      <c r="AB436" s="608"/>
    </row>
    <row r="437">
      <c r="A437" s="586">
        <v>1294.0</v>
      </c>
      <c r="B437" s="576">
        <v>45559.0</v>
      </c>
      <c r="C437" s="489" t="s">
        <v>2683</v>
      </c>
      <c r="D437" s="489" t="s">
        <v>29</v>
      </c>
      <c r="E437" s="489" t="s">
        <v>393</v>
      </c>
      <c r="F437" s="521" t="s">
        <v>2684</v>
      </c>
      <c r="G437" s="521" t="s">
        <v>50</v>
      </c>
      <c r="H437" s="521" t="s">
        <v>570</v>
      </c>
      <c r="I437" s="491" t="s">
        <v>2685</v>
      </c>
      <c r="J437" s="670" t="s">
        <v>2686</v>
      </c>
      <c r="K437" s="525" t="s">
        <v>398</v>
      </c>
      <c r="L437" s="619"/>
      <c r="M437" s="618"/>
      <c r="N437" s="618"/>
      <c r="O437" s="618"/>
      <c r="P437" s="620"/>
      <c r="Q437" s="618"/>
      <c r="R437" s="620"/>
      <c r="S437" s="525" t="s">
        <v>2327</v>
      </c>
      <c r="T437" s="626">
        <v>45632.0</v>
      </c>
      <c r="U437" s="618"/>
      <c r="V437" s="620"/>
      <c r="W437" s="625"/>
      <c r="X437" s="620"/>
      <c r="Y437" s="618"/>
      <c r="Z437" s="620"/>
      <c r="AA437" s="671" t="s">
        <v>1218</v>
      </c>
      <c r="AB437" s="608"/>
    </row>
    <row r="438">
      <c r="A438" s="586">
        <v>1293.0</v>
      </c>
      <c r="B438" s="576">
        <v>45555.0</v>
      </c>
      <c r="C438" s="489" t="s">
        <v>2687</v>
      </c>
      <c r="D438" s="489" t="s">
        <v>66</v>
      </c>
      <c r="E438" s="489" t="s">
        <v>1411</v>
      </c>
      <c r="F438" s="521" t="s">
        <v>49</v>
      </c>
      <c r="G438" s="521">
        <v>1.562036E7</v>
      </c>
      <c r="H438" s="521" t="s">
        <v>32</v>
      </c>
      <c r="I438" s="491" t="s">
        <v>2688</v>
      </c>
      <c r="J438" s="524" t="s">
        <v>2689</v>
      </c>
      <c r="K438" s="525" t="s">
        <v>2690</v>
      </c>
      <c r="L438" s="594" t="s">
        <v>882</v>
      </c>
      <c r="M438" s="618"/>
      <c r="N438" s="618"/>
      <c r="O438" s="618"/>
      <c r="P438" s="620"/>
      <c r="Q438" s="618"/>
      <c r="R438" s="620"/>
      <c r="S438" s="525" t="s">
        <v>62</v>
      </c>
      <c r="T438" s="626">
        <v>45632.0</v>
      </c>
      <c r="U438" s="525" t="s">
        <v>62</v>
      </c>
      <c r="V438" s="626">
        <v>45632.0</v>
      </c>
      <c r="W438" s="625"/>
      <c r="X438" s="620"/>
      <c r="Y438" s="618"/>
      <c r="Z438" s="620"/>
      <c r="AA438" s="611"/>
      <c r="AB438" s="608"/>
    </row>
    <row r="439">
      <c r="A439" s="586">
        <v>1292.0</v>
      </c>
      <c r="B439" s="633">
        <v>45555.0</v>
      </c>
      <c r="C439" s="535" t="s">
        <v>2501</v>
      </c>
      <c r="D439" s="535" t="s">
        <v>66</v>
      </c>
      <c r="E439" s="535" t="s">
        <v>227</v>
      </c>
      <c r="F439" s="634" t="s">
        <v>228</v>
      </c>
      <c r="G439" s="634">
        <v>1.962031E7</v>
      </c>
      <c r="H439" s="634" t="s">
        <v>135</v>
      </c>
      <c r="I439" s="536" t="s">
        <v>2691</v>
      </c>
      <c r="J439" s="537" t="s">
        <v>2692</v>
      </c>
      <c r="K439" s="618"/>
      <c r="L439" s="619"/>
      <c r="M439" s="618"/>
      <c r="N439" s="618"/>
      <c r="O439" s="618"/>
      <c r="P439" s="620"/>
      <c r="Q439" s="618"/>
      <c r="R439" s="620"/>
      <c r="S439" s="618"/>
      <c r="T439" s="620"/>
      <c r="U439" s="618"/>
      <c r="V439" s="620"/>
      <c r="W439" s="636" t="s">
        <v>150</v>
      </c>
      <c r="X439" s="620"/>
      <c r="Y439" s="618"/>
      <c r="Z439" s="620"/>
      <c r="AA439" s="611"/>
      <c r="AB439" s="608"/>
    </row>
    <row r="440">
      <c r="A440" s="586">
        <v>1291.0</v>
      </c>
      <c r="B440" s="576">
        <v>45555.0</v>
      </c>
      <c r="C440" s="489" t="s">
        <v>2501</v>
      </c>
      <c r="D440" s="489" t="s">
        <v>66</v>
      </c>
      <c r="E440" s="489" t="s">
        <v>227</v>
      </c>
      <c r="F440" s="521" t="s">
        <v>228</v>
      </c>
      <c r="G440" s="522">
        <v>1.962024E7</v>
      </c>
      <c r="H440" s="521" t="s">
        <v>135</v>
      </c>
      <c r="I440" s="491" t="s">
        <v>2691</v>
      </c>
      <c r="J440" s="524" t="s">
        <v>2693</v>
      </c>
      <c r="K440" s="525" t="s">
        <v>231</v>
      </c>
      <c r="L440" s="619"/>
      <c r="M440" s="618"/>
      <c r="N440" s="618"/>
      <c r="O440" s="618"/>
      <c r="P440" s="620"/>
      <c r="Q440" s="618"/>
      <c r="R440" s="620"/>
      <c r="S440" s="618"/>
      <c r="T440" s="620"/>
      <c r="U440" s="525" t="s">
        <v>62</v>
      </c>
      <c r="V440" s="620"/>
      <c r="W440" s="625"/>
      <c r="X440" s="620"/>
      <c r="Y440" s="618"/>
      <c r="Z440" s="620"/>
      <c r="AA440" s="611"/>
      <c r="AB440" s="608"/>
    </row>
    <row r="441">
      <c r="A441" s="586">
        <v>1290.0</v>
      </c>
      <c r="B441" s="576">
        <v>45554.0</v>
      </c>
      <c r="C441" s="489" t="s">
        <v>2501</v>
      </c>
      <c r="D441" s="489" t="s">
        <v>29</v>
      </c>
      <c r="E441" s="489" t="s">
        <v>227</v>
      </c>
      <c r="F441" s="521" t="s">
        <v>228</v>
      </c>
      <c r="G441" s="521">
        <v>1.9620308E7</v>
      </c>
      <c r="H441" s="521" t="s">
        <v>135</v>
      </c>
      <c r="I441" s="491" t="s">
        <v>2694</v>
      </c>
      <c r="J441" s="492" t="s">
        <v>2695</v>
      </c>
      <c r="K441" s="518" t="s">
        <v>231</v>
      </c>
      <c r="L441" s="619"/>
      <c r="M441" s="618"/>
      <c r="N441" s="618"/>
      <c r="O441" s="525" t="s">
        <v>62</v>
      </c>
      <c r="P441" s="626">
        <v>45733.0</v>
      </c>
      <c r="Q441" s="618"/>
      <c r="R441" s="620"/>
      <c r="S441" s="618"/>
      <c r="T441" s="620"/>
      <c r="U441" s="525" t="s">
        <v>62</v>
      </c>
      <c r="V441" s="626">
        <v>45734.0</v>
      </c>
      <c r="W441" s="621"/>
      <c r="X441" s="620"/>
      <c r="Y441" s="618"/>
      <c r="Z441" s="620"/>
      <c r="AA441" s="611"/>
      <c r="AB441" s="608"/>
    </row>
    <row r="442">
      <c r="A442" s="586">
        <v>1289.0</v>
      </c>
      <c r="B442" s="576">
        <v>45553.0</v>
      </c>
      <c r="C442" s="489" t="s">
        <v>1198</v>
      </c>
      <c r="D442" s="489" t="s">
        <v>66</v>
      </c>
      <c r="E442" s="489" t="s">
        <v>2696</v>
      </c>
      <c r="F442" s="617"/>
      <c r="G442" s="521">
        <v>1.9460059E7</v>
      </c>
      <c r="H442" s="521" t="s">
        <v>32</v>
      </c>
      <c r="I442" s="491" t="s">
        <v>2697</v>
      </c>
      <c r="J442" s="492" t="s">
        <v>2698</v>
      </c>
      <c r="K442" s="618"/>
      <c r="L442" s="619"/>
      <c r="M442" s="618"/>
      <c r="N442" s="618"/>
      <c r="O442" s="618"/>
      <c r="P442" s="620"/>
      <c r="Q442" s="618"/>
      <c r="R442" s="620"/>
      <c r="S442" s="618"/>
      <c r="T442" s="620"/>
      <c r="U442" s="525" t="s">
        <v>62</v>
      </c>
      <c r="V442" s="626">
        <v>45649.0</v>
      </c>
      <c r="W442" s="621"/>
      <c r="X442" s="620"/>
      <c r="Y442" s="618"/>
      <c r="Z442" s="620"/>
      <c r="AA442" s="611"/>
      <c r="AB442" s="608"/>
    </row>
    <row r="443" ht="131.25" customHeight="1">
      <c r="A443" s="586">
        <v>1288.0</v>
      </c>
      <c r="B443" s="576">
        <v>45552.0</v>
      </c>
      <c r="C443" s="489" t="s">
        <v>1198</v>
      </c>
      <c r="D443" s="489" t="s">
        <v>66</v>
      </c>
      <c r="E443" s="489" t="s">
        <v>2696</v>
      </c>
      <c r="F443" s="617"/>
      <c r="G443" s="617"/>
      <c r="H443" s="521" t="s">
        <v>32</v>
      </c>
      <c r="I443" s="491" t="s">
        <v>2699</v>
      </c>
      <c r="J443" s="492" t="s">
        <v>2700</v>
      </c>
      <c r="K443" s="618"/>
      <c r="L443" s="619"/>
      <c r="M443" s="618"/>
      <c r="N443" s="618"/>
      <c r="O443" s="618"/>
      <c r="P443" s="620"/>
      <c r="Q443" s="618"/>
      <c r="R443" s="620"/>
      <c r="S443" s="618"/>
      <c r="T443" s="620"/>
      <c r="U443" s="618"/>
      <c r="V443" s="620"/>
      <c r="W443" s="625"/>
      <c r="X443" s="620"/>
      <c r="Y443" s="618"/>
      <c r="Z443" s="620"/>
      <c r="AA443" s="545">
        <v>2.0250213E7</v>
      </c>
      <c r="AB443" s="608"/>
    </row>
    <row r="444">
      <c r="A444" s="586">
        <v>1287.0</v>
      </c>
      <c r="B444" s="576">
        <v>45547.0</v>
      </c>
      <c r="C444" s="489" t="s">
        <v>2701</v>
      </c>
      <c r="D444" s="521" t="s">
        <v>66</v>
      </c>
      <c r="E444" s="521" t="s">
        <v>1059</v>
      </c>
      <c r="F444" s="521" t="s">
        <v>1060</v>
      </c>
      <c r="G444" s="521">
        <v>1.9070448E7</v>
      </c>
      <c r="H444" s="521" t="s">
        <v>135</v>
      </c>
      <c r="I444" s="491" t="s">
        <v>2702</v>
      </c>
      <c r="J444" s="492" t="s">
        <v>2703</v>
      </c>
      <c r="K444" s="525" t="s">
        <v>1063</v>
      </c>
      <c r="L444" s="594" t="s">
        <v>1098</v>
      </c>
      <c r="M444" s="525" t="s">
        <v>1099</v>
      </c>
      <c r="N444" s="618"/>
      <c r="O444" s="525" t="s">
        <v>62</v>
      </c>
      <c r="P444" s="626">
        <v>45559.0</v>
      </c>
      <c r="Q444" s="618"/>
      <c r="R444" s="620"/>
      <c r="S444" s="618"/>
      <c r="T444" s="620"/>
      <c r="U444" s="525" t="s">
        <v>62</v>
      </c>
      <c r="V444" s="620"/>
      <c r="W444" s="625"/>
      <c r="X444" s="620"/>
      <c r="Y444" s="618"/>
      <c r="Z444" s="620"/>
      <c r="AA444" s="545">
        <v>2.0250213E7</v>
      </c>
      <c r="AB444" s="608"/>
    </row>
    <row r="445">
      <c r="A445" s="586">
        <v>1286.0</v>
      </c>
      <c r="B445" s="576">
        <v>45548.0</v>
      </c>
      <c r="C445" s="489" t="s">
        <v>2704</v>
      </c>
      <c r="D445" s="489" t="s">
        <v>66</v>
      </c>
      <c r="E445" s="489" t="s">
        <v>2705</v>
      </c>
      <c r="F445" s="521" t="s">
        <v>1516</v>
      </c>
      <c r="G445" s="521" t="s">
        <v>50</v>
      </c>
      <c r="H445" s="521" t="s">
        <v>348</v>
      </c>
      <c r="I445" s="672" t="s">
        <v>2706</v>
      </c>
      <c r="J445" s="492" t="s">
        <v>2707</v>
      </c>
      <c r="K445" s="525" t="s">
        <v>2708</v>
      </c>
      <c r="L445" s="594" t="s">
        <v>2709</v>
      </c>
      <c r="M445" s="520" t="s">
        <v>2710</v>
      </c>
      <c r="N445" s="618"/>
      <c r="O445" s="618"/>
      <c r="P445" s="620"/>
      <c r="Q445" s="618"/>
      <c r="R445" s="620"/>
      <c r="S445" s="618"/>
      <c r="T445" s="620"/>
      <c r="U445" s="618"/>
      <c r="V445" s="620"/>
      <c r="W445" s="625"/>
      <c r="X445" s="620"/>
      <c r="Y445" s="618"/>
      <c r="Z445" s="620"/>
      <c r="AA445" s="545">
        <v>2.0250213E7</v>
      </c>
      <c r="AB445" s="608"/>
    </row>
    <row r="446">
      <c r="A446" s="327">
        <v>1285.0</v>
      </c>
      <c r="B446" s="328">
        <v>45547.0</v>
      </c>
      <c r="C446" s="329" t="s">
        <v>2683</v>
      </c>
      <c r="D446" s="329" t="s">
        <v>29</v>
      </c>
      <c r="E446" s="329" t="s">
        <v>393</v>
      </c>
      <c r="F446" s="329" t="s">
        <v>2684</v>
      </c>
      <c r="G446" s="329" t="s">
        <v>50</v>
      </c>
      <c r="H446" s="329" t="s">
        <v>570</v>
      </c>
      <c r="I446" s="331" t="s">
        <v>2711</v>
      </c>
      <c r="J446" s="332" t="s">
        <v>2712</v>
      </c>
      <c r="K446" s="623" t="s">
        <v>398</v>
      </c>
      <c r="L446" s="539"/>
      <c r="M446" s="539"/>
      <c r="N446" s="563"/>
      <c r="O446" s="563"/>
      <c r="P446" s="571"/>
      <c r="Q446" s="563"/>
      <c r="R446" s="571"/>
      <c r="S446" s="563"/>
      <c r="T446" s="571"/>
      <c r="U446" s="563"/>
      <c r="V446" s="571"/>
      <c r="W446" s="572"/>
      <c r="X446" s="571"/>
      <c r="Y446" s="563"/>
      <c r="Z446" s="571"/>
      <c r="AA446" s="568" t="s">
        <v>1218</v>
      </c>
      <c r="AB446" s="566"/>
    </row>
    <row r="447">
      <c r="A447" s="327">
        <v>1284.0</v>
      </c>
      <c r="B447" s="328">
        <v>45546.0</v>
      </c>
      <c r="C447" s="329" t="s">
        <v>2683</v>
      </c>
      <c r="D447" s="329" t="s">
        <v>29</v>
      </c>
      <c r="E447" s="329" t="s">
        <v>393</v>
      </c>
      <c r="F447" s="329" t="s">
        <v>2684</v>
      </c>
      <c r="G447" s="329" t="s">
        <v>50</v>
      </c>
      <c r="H447" s="329" t="s">
        <v>570</v>
      </c>
      <c r="I447" s="331" t="s">
        <v>2713</v>
      </c>
      <c r="J447" s="332" t="s">
        <v>2712</v>
      </c>
      <c r="K447" s="623" t="s">
        <v>398</v>
      </c>
      <c r="L447" s="539"/>
      <c r="M447" s="539"/>
      <c r="N447" s="563"/>
      <c r="O447" s="563"/>
      <c r="P447" s="571"/>
      <c r="Q447" s="563"/>
      <c r="R447" s="571"/>
      <c r="S447" s="563"/>
      <c r="T447" s="571"/>
      <c r="U447" s="563"/>
      <c r="V447" s="571"/>
      <c r="W447" s="572"/>
      <c r="X447" s="571"/>
      <c r="Y447" s="563"/>
      <c r="Z447" s="571"/>
      <c r="AA447" s="568" t="s">
        <v>1218</v>
      </c>
      <c r="AB447" s="566"/>
    </row>
    <row r="448">
      <c r="A448" s="586">
        <v>1283.0</v>
      </c>
      <c r="B448" s="576">
        <v>45545.0</v>
      </c>
      <c r="C448" s="489" t="s">
        <v>2498</v>
      </c>
      <c r="D448" s="489" t="s">
        <v>359</v>
      </c>
      <c r="E448" s="489" t="s">
        <v>774</v>
      </c>
      <c r="F448" s="521" t="s">
        <v>2714</v>
      </c>
      <c r="G448" s="521" t="s">
        <v>296</v>
      </c>
      <c r="H448" s="521" t="s">
        <v>42</v>
      </c>
      <c r="I448" s="491" t="s">
        <v>2715</v>
      </c>
      <c r="J448" s="524" t="s">
        <v>2716</v>
      </c>
      <c r="K448" s="618"/>
      <c r="L448" s="619"/>
      <c r="M448" s="618"/>
      <c r="N448" s="618"/>
      <c r="O448" s="618"/>
      <c r="P448" s="620"/>
      <c r="Q448" s="618"/>
      <c r="R448" s="620"/>
      <c r="S448" s="618"/>
      <c r="T448" s="620"/>
      <c r="U448" s="618"/>
      <c r="V448" s="620"/>
      <c r="W448" s="625"/>
      <c r="X448" s="620"/>
      <c r="Y448" s="618"/>
      <c r="Z448" s="620"/>
      <c r="AA448" s="671" t="s">
        <v>1218</v>
      </c>
      <c r="AB448" s="608"/>
    </row>
    <row r="449">
      <c r="A449" s="673">
        <v>1280.0</v>
      </c>
      <c r="B449" s="674">
        <v>45540.0</v>
      </c>
      <c r="C449" s="234" t="s">
        <v>2717</v>
      </c>
      <c r="D449" s="234"/>
      <c r="E449" s="234" t="s">
        <v>382</v>
      </c>
      <c r="F449" s="432" t="s">
        <v>347</v>
      </c>
      <c r="G449" s="432" t="s">
        <v>50</v>
      </c>
      <c r="H449" s="432" t="s">
        <v>348</v>
      </c>
      <c r="I449" s="238" t="s">
        <v>2718</v>
      </c>
      <c r="J449" s="394" t="s">
        <v>2719</v>
      </c>
      <c r="K449" s="618"/>
      <c r="L449" s="619"/>
      <c r="M449" s="618"/>
      <c r="N449" s="618"/>
      <c r="O449" s="618"/>
      <c r="P449" s="620"/>
      <c r="Q449" s="618"/>
      <c r="R449" s="620"/>
      <c r="S449" s="618"/>
      <c r="T449" s="620"/>
      <c r="U449" s="618"/>
      <c r="V449" s="620"/>
      <c r="W449" s="618"/>
      <c r="X449" s="620"/>
      <c r="Y449" s="618"/>
      <c r="Z449" s="620"/>
      <c r="AA449" s="611"/>
      <c r="AB449" s="608"/>
    </row>
    <row r="450">
      <c r="A450" s="586">
        <v>1278.0</v>
      </c>
      <c r="B450" s="576">
        <v>45537.0</v>
      </c>
      <c r="C450" s="489" t="s">
        <v>2720</v>
      </c>
      <c r="D450" s="489"/>
      <c r="E450" s="489" t="s">
        <v>452</v>
      </c>
      <c r="F450" s="521" t="s">
        <v>458</v>
      </c>
      <c r="G450" s="522">
        <v>1.9250142E7</v>
      </c>
      <c r="H450" s="521" t="s">
        <v>348</v>
      </c>
      <c r="I450" s="491" t="s">
        <v>2721</v>
      </c>
      <c r="J450" s="492" t="s">
        <v>2722</v>
      </c>
      <c r="K450" s="525" t="s">
        <v>461</v>
      </c>
      <c r="L450" s="594" t="s">
        <v>462</v>
      </c>
      <c r="M450" s="525" t="s">
        <v>463</v>
      </c>
      <c r="N450" s="618"/>
      <c r="O450" s="618"/>
      <c r="P450" s="620"/>
      <c r="Q450" s="618"/>
      <c r="R450" s="620"/>
      <c r="S450" s="618"/>
      <c r="T450" s="620"/>
      <c r="U450" s="618"/>
      <c r="V450" s="620"/>
      <c r="W450" s="625"/>
      <c r="X450" s="620"/>
      <c r="Y450" s="618"/>
      <c r="Z450" s="620"/>
      <c r="AA450" s="545">
        <v>2.0250213E7</v>
      </c>
      <c r="AB450" s="608"/>
    </row>
    <row r="451">
      <c r="A451" s="586">
        <v>1277.0</v>
      </c>
      <c r="B451" s="576">
        <v>45506.0</v>
      </c>
      <c r="C451" s="489" t="s">
        <v>373</v>
      </c>
      <c r="D451" s="489" t="s">
        <v>2320</v>
      </c>
      <c r="E451" s="489" t="s">
        <v>374</v>
      </c>
      <c r="F451" s="521" t="s">
        <v>458</v>
      </c>
      <c r="G451" s="521" t="s">
        <v>50</v>
      </c>
      <c r="H451" s="521" t="s">
        <v>348</v>
      </c>
      <c r="I451" s="491" t="s">
        <v>2723</v>
      </c>
      <c r="J451" s="492" t="s">
        <v>2724</v>
      </c>
      <c r="K451" s="525" t="s">
        <v>461</v>
      </c>
      <c r="L451" s="594" t="s">
        <v>2725</v>
      </c>
      <c r="M451" s="594" t="s">
        <v>2726</v>
      </c>
      <c r="N451" s="618"/>
      <c r="O451" s="618"/>
      <c r="P451" s="620"/>
      <c r="Q451" s="618"/>
      <c r="R451" s="620"/>
      <c r="S451" s="618"/>
      <c r="T451" s="620"/>
      <c r="U451" s="618"/>
      <c r="V451" s="620"/>
      <c r="W451" s="625"/>
      <c r="X451" s="620"/>
      <c r="Y451" s="618"/>
      <c r="Z451" s="620"/>
      <c r="AA451" s="545">
        <v>2.0250213E7</v>
      </c>
      <c r="AB451" s="608"/>
    </row>
    <row r="452">
      <c r="A452" s="586">
        <v>1275.0</v>
      </c>
      <c r="B452" s="576">
        <v>45537.0</v>
      </c>
      <c r="C452" s="489" t="s">
        <v>2727</v>
      </c>
      <c r="D452" s="489" t="s">
        <v>66</v>
      </c>
      <c r="E452" s="489" t="s">
        <v>205</v>
      </c>
      <c r="F452" s="521" t="s">
        <v>49</v>
      </c>
      <c r="G452" s="521" t="s">
        <v>50</v>
      </c>
      <c r="H452" s="521" t="s">
        <v>51</v>
      </c>
      <c r="I452" s="491" t="s">
        <v>2728</v>
      </c>
      <c r="J452" s="492" t="s">
        <v>2729</v>
      </c>
      <c r="K452" s="525" t="s">
        <v>208</v>
      </c>
      <c r="L452" s="594" t="s">
        <v>2730</v>
      </c>
      <c r="M452" s="594" t="s">
        <v>2731</v>
      </c>
      <c r="N452" s="618"/>
      <c r="O452" s="525" t="s">
        <v>62</v>
      </c>
      <c r="P452" s="626">
        <v>45635.0</v>
      </c>
      <c r="Q452" s="618"/>
      <c r="R452" s="620"/>
      <c r="S452" s="618"/>
      <c r="T452" s="620"/>
      <c r="U452" s="618"/>
      <c r="V452" s="620"/>
      <c r="W452" s="625"/>
      <c r="X452" s="620"/>
      <c r="Y452" s="618"/>
      <c r="Z452" s="620"/>
      <c r="AA452" s="545">
        <v>2.0250213E7</v>
      </c>
      <c r="AB452" s="608"/>
    </row>
    <row r="453">
      <c r="A453" s="327">
        <v>1273.0</v>
      </c>
      <c r="B453" s="546">
        <v>45534.0</v>
      </c>
      <c r="C453" s="547" t="s">
        <v>2732</v>
      </c>
      <c r="D453" s="547" t="s">
        <v>66</v>
      </c>
      <c r="E453" s="547" t="s">
        <v>2733</v>
      </c>
      <c r="F453" s="547" t="s">
        <v>2734</v>
      </c>
      <c r="G453" s="549" t="s">
        <v>2735</v>
      </c>
      <c r="H453" s="547" t="s">
        <v>103</v>
      </c>
      <c r="I453" s="550" t="s">
        <v>2736</v>
      </c>
      <c r="J453" s="551" t="s">
        <v>2737</v>
      </c>
      <c r="K453" s="623" t="s">
        <v>2738</v>
      </c>
      <c r="L453" s="564" t="s">
        <v>2739</v>
      </c>
      <c r="M453" s="564" t="s">
        <v>2740</v>
      </c>
      <c r="N453" s="563"/>
      <c r="O453" s="623" t="s">
        <v>2741</v>
      </c>
      <c r="P453" s="571"/>
      <c r="Q453" s="563"/>
      <c r="R453" s="571"/>
      <c r="S453" s="563"/>
      <c r="T453" s="571"/>
      <c r="U453" s="539"/>
      <c r="V453" s="571"/>
      <c r="W453" s="630" t="s">
        <v>150</v>
      </c>
      <c r="X453" s="571"/>
      <c r="Y453" s="563"/>
      <c r="Z453" s="571"/>
      <c r="AA453" s="553" t="s">
        <v>215</v>
      </c>
      <c r="AB453" s="566"/>
    </row>
    <row r="454">
      <c r="A454" s="586">
        <v>1270.0</v>
      </c>
      <c r="B454" s="638">
        <v>45533.0</v>
      </c>
      <c r="C454" s="501" t="s">
        <v>1407</v>
      </c>
      <c r="D454" s="501" t="s">
        <v>66</v>
      </c>
      <c r="E454" s="501" t="s">
        <v>885</v>
      </c>
      <c r="F454" s="639" t="s">
        <v>49</v>
      </c>
      <c r="G454" s="586">
        <v>40.0</v>
      </c>
      <c r="H454" s="639" t="s">
        <v>32</v>
      </c>
      <c r="I454" s="675"/>
      <c r="J454" s="504" t="s">
        <v>2742</v>
      </c>
      <c r="K454" s="618"/>
      <c r="L454" s="619"/>
      <c r="M454" s="618"/>
      <c r="N454" s="618"/>
      <c r="O454" s="618"/>
      <c r="P454" s="620"/>
      <c r="Q454" s="618"/>
      <c r="R454" s="620"/>
      <c r="S454" s="618"/>
      <c r="T454" s="620"/>
      <c r="U454" s="618"/>
      <c r="V454" s="620"/>
      <c r="W454" s="618"/>
      <c r="X454" s="620"/>
      <c r="Y454" s="618"/>
      <c r="Z454" s="620"/>
      <c r="AA454" s="611"/>
      <c r="AB454" s="545"/>
    </row>
    <row r="455">
      <c r="A455" s="586">
        <v>1269.0</v>
      </c>
      <c r="B455" s="638">
        <v>45533.0</v>
      </c>
      <c r="C455" s="501" t="s">
        <v>1407</v>
      </c>
      <c r="D455" s="501" t="s">
        <v>66</v>
      </c>
      <c r="E455" s="501" t="s">
        <v>885</v>
      </c>
      <c r="F455" s="639" t="s">
        <v>49</v>
      </c>
      <c r="G455" s="676">
        <v>1.5781619E7</v>
      </c>
      <c r="H455" s="639"/>
      <c r="I455" s="503" t="s">
        <v>2743</v>
      </c>
      <c r="J455" s="394" t="s">
        <v>2744</v>
      </c>
      <c r="K455" s="525" t="s">
        <v>1244</v>
      </c>
      <c r="L455" s="594" t="s">
        <v>2745</v>
      </c>
      <c r="M455" s="594" t="s">
        <v>1251</v>
      </c>
      <c r="N455" s="618"/>
      <c r="O455" s="618"/>
      <c r="P455" s="620"/>
      <c r="Q455" s="618"/>
      <c r="R455" s="620"/>
      <c r="S455" s="618"/>
      <c r="T455" s="620"/>
      <c r="U455" s="618"/>
      <c r="V455" s="620"/>
      <c r="W455" s="618"/>
      <c r="X455" s="620"/>
      <c r="Y455" s="618"/>
      <c r="Z455" s="620"/>
      <c r="AA455" s="611"/>
      <c r="AB455" s="608"/>
    </row>
    <row r="456">
      <c r="A456" s="586">
        <v>1268.0</v>
      </c>
      <c r="B456" s="576">
        <v>45533.0</v>
      </c>
      <c r="C456" s="489" t="s">
        <v>1407</v>
      </c>
      <c r="D456" s="489" t="s">
        <v>66</v>
      </c>
      <c r="E456" s="489" t="s">
        <v>885</v>
      </c>
      <c r="F456" s="521" t="s">
        <v>49</v>
      </c>
      <c r="G456" s="522">
        <v>38.0</v>
      </c>
      <c r="H456" s="521" t="s">
        <v>32</v>
      </c>
      <c r="I456" s="677"/>
      <c r="J456" s="492" t="s">
        <v>2746</v>
      </c>
      <c r="K456" s="618"/>
      <c r="L456" s="619"/>
      <c r="M456" s="618"/>
      <c r="N456" s="618"/>
      <c r="O456" s="618"/>
      <c r="P456" s="620"/>
      <c r="Q456" s="618"/>
      <c r="R456" s="620"/>
      <c r="S456" s="618"/>
      <c r="T456" s="620"/>
      <c r="U456" s="618"/>
      <c r="V456" s="620"/>
      <c r="W456" s="625"/>
      <c r="X456" s="620"/>
      <c r="Y456" s="618"/>
      <c r="Z456" s="620"/>
      <c r="AA456" s="545">
        <v>2.0250213E7</v>
      </c>
      <c r="AB456" s="608"/>
    </row>
    <row r="457">
      <c r="A457" s="586">
        <v>1267.0</v>
      </c>
      <c r="B457" s="576">
        <v>45533.0</v>
      </c>
      <c r="C457" s="489" t="s">
        <v>1407</v>
      </c>
      <c r="D457" s="489" t="s">
        <v>66</v>
      </c>
      <c r="E457" s="489" t="s">
        <v>885</v>
      </c>
      <c r="F457" s="521" t="s">
        <v>49</v>
      </c>
      <c r="G457" s="522">
        <v>37.0</v>
      </c>
      <c r="H457" s="521" t="s">
        <v>32</v>
      </c>
      <c r="I457" s="677"/>
      <c r="J457" s="492" t="s">
        <v>2746</v>
      </c>
      <c r="K457" s="618"/>
      <c r="L457" s="619"/>
      <c r="M457" s="618"/>
      <c r="N457" s="618"/>
      <c r="O457" s="618"/>
      <c r="P457" s="620"/>
      <c r="Q457" s="618"/>
      <c r="R457" s="620"/>
      <c r="S457" s="618"/>
      <c r="T457" s="620"/>
      <c r="U457" s="618"/>
      <c r="V457" s="620"/>
      <c r="W457" s="625"/>
      <c r="X457" s="620"/>
      <c r="Y457" s="618"/>
      <c r="Z457" s="620"/>
      <c r="AA457" s="545">
        <v>2.0250213E7</v>
      </c>
      <c r="AB457" s="608"/>
    </row>
    <row r="458">
      <c r="A458" s="586">
        <v>1266.0</v>
      </c>
      <c r="B458" s="576">
        <v>45533.0</v>
      </c>
      <c r="C458" s="489" t="s">
        <v>1407</v>
      </c>
      <c r="D458" s="489" t="s">
        <v>66</v>
      </c>
      <c r="E458" s="489" t="s">
        <v>885</v>
      </c>
      <c r="F458" s="521" t="s">
        <v>49</v>
      </c>
      <c r="G458" s="522">
        <v>36.0</v>
      </c>
      <c r="H458" s="521" t="s">
        <v>32</v>
      </c>
      <c r="I458" s="677"/>
      <c r="J458" s="492" t="s">
        <v>2746</v>
      </c>
      <c r="K458" s="618"/>
      <c r="L458" s="619"/>
      <c r="M458" s="618"/>
      <c r="N458" s="618"/>
      <c r="O458" s="618"/>
      <c r="P458" s="620"/>
      <c r="Q458" s="618"/>
      <c r="R458" s="620"/>
      <c r="S458" s="618"/>
      <c r="T458" s="620"/>
      <c r="U458" s="618"/>
      <c r="V458" s="620"/>
      <c r="W458" s="625"/>
      <c r="X458" s="620"/>
      <c r="Y458" s="618"/>
      <c r="Z458" s="620"/>
      <c r="AA458" s="545">
        <v>2.0250213E7</v>
      </c>
      <c r="AB458" s="608"/>
    </row>
    <row r="459">
      <c r="A459" s="586">
        <v>1265.0</v>
      </c>
      <c r="B459" s="576">
        <v>45533.0</v>
      </c>
      <c r="C459" s="489" t="s">
        <v>1407</v>
      </c>
      <c r="D459" s="489" t="s">
        <v>66</v>
      </c>
      <c r="E459" s="489" t="s">
        <v>885</v>
      </c>
      <c r="F459" s="521" t="s">
        <v>49</v>
      </c>
      <c r="G459" s="522">
        <v>35.0</v>
      </c>
      <c r="H459" s="521" t="s">
        <v>32</v>
      </c>
      <c r="I459" s="677"/>
      <c r="J459" s="492" t="s">
        <v>2746</v>
      </c>
      <c r="K459" s="618"/>
      <c r="L459" s="619"/>
      <c r="M459" s="618"/>
      <c r="N459" s="618"/>
      <c r="O459" s="618"/>
      <c r="P459" s="620"/>
      <c r="Q459" s="618"/>
      <c r="R459" s="620"/>
      <c r="S459" s="618"/>
      <c r="T459" s="620"/>
      <c r="U459" s="618"/>
      <c r="V459" s="620"/>
      <c r="W459" s="625"/>
      <c r="X459" s="620"/>
      <c r="Y459" s="618"/>
      <c r="Z459" s="620"/>
      <c r="AA459" s="545">
        <v>2.0250213E7</v>
      </c>
      <c r="AB459" s="608"/>
    </row>
    <row r="460">
      <c r="A460" s="586">
        <v>1264.0</v>
      </c>
      <c r="B460" s="576">
        <v>45533.0</v>
      </c>
      <c r="C460" s="489" t="s">
        <v>1407</v>
      </c>
      <c r="D460" s="489" t="s">
        <v>66</v>
      </c>
      <c r="E460" s="489" t="s">
        <v>885</v>
      </c>
      <c r="F460" s="521" t="s">
        <v>49</v>
      </c>
      <c r="G460" s="522">
        <v>34.0</v>
      </c>
      <c r="H460" s="521" t="s">
        <v>32</v>
      </c>
      <c r="I460" s="677"/>
      <c r="J460" s="492" t="s">
        <v>2746</v>
      </c>
      <c r="K460" s="618"/>
      <c r="L460" s="619"/>
      <c r="M460" s="618"/>
      <c r="N460" s="618"/>
      <c r="O460" s="618"/>
      <c r="P460" s="620"/>
      <c r="Q460" s="618"/>
      <c r="R460" s="620"/>
      <c r="S460" s="618"/>
      <c r="T460" s="620"/>
      <c r="U460" s="618"/>
      <c r="V460" s="620"/>
      <c r="W460" s="625"/>
      <c r="X460" s="620"/>
      <c r="Y460" s="618"/>
      <c r="Z460" s="620"/>
      <c r="AA460" s="545">
        <v>2.0250213E7</v>
      </c>
      <c r="AB460" s="608"/>
    </row>
    <row r="461">
      <c r="A461" s="586">
        <v>1263.0</v>
      </c>
      <c r="B461" s="576">
        <v>45533.0</v>
      </c>
      <c r="C461" s="489" t="s">
        <v>1407</v>
      </c>
      <c r="D461" s="489" t="s">
        <v>66</v>
      </c>
      <c r="E461" s="489" t="s">
        <v>885</v>
      </c>
      <c r="F461" s="521" t="s">
        <v>49</v>
      </c>
      <c r="G461" s="522">
        <v>33.0</v>
      </c>
      <c r="H461" s="521" t="s">
        <v>32</v>
      </c>
      <c r="I461" s="677"/>
      <c r="J461" s="492" t="s">
        <v>2746</v>
      </c>
      <c r="K461" s="618"/>
      <c r="L461" s="619"/>
      <c r="M461" s="618"/>
      <c r="N461" s="618"/>
      <c r="O461" s="618"/>
      <c r="P461" s="620"/>
      <c r="Q461" s="618"/>
      <c r="R461" s="620"/>
      <c r="S461" s="618"/>
      <c r="T461" s="620"/>
      <c r="U461" s="618"/>
      <c r="V461" s="620"/>
      <c r="W461" s="625"/>
      <c r="X461" s="620"/>
      <c r="Y461" s="618"/>
      <c r="Z461" s="620"/>
      <c r="AA461" s="545">
        <v>2.0250213E7</v>
      </c>
      <c r="AB461" s="608"/>
    </row>
    <row r="462">
      <c r="A462" s="586">
        <v>1262.0</v>
      </c>
      <c r="B462" s="576">
        <v>45533.0</v>
      </c>
      <c r="C462" s="489" t="s">
        <v>1407</v>
      </c>
      <c r="D462" s="489" t="s">
        <v>66</v>
      </c>
      <c r="E462" s="489" t="s">
        <v>885</v>
      </c>
      <c r="F462" s="521" t="s">
        <v>49</v>
      </c>
      <c r="G462" s="522">
        <v>32.0</v>
      </c>
      <c r="H462" s="521" t="s">
        <v>32</v>
      </c>
      <c r="I462" s="677"/>
      <c r="J462" s="492" t="s">
        <v>2746</v>
      </c>
      <c r="K462" s="618"/>
      <c r="L462" s="619"/>
      <c r="M462" s="618"/>
      <c r="N462" s="618"/>
      <c r="O462" s="618"/>
      <c r="P462" s="620"/>
      <c r="Q462" s="618"/>
      <c r="R462" s="620"/>
      <c r="S462" s="618"/>
      <c r="T462" s="620"/>
      <c r="U462" s="618"/>
      <c r="V462" s="620"/>
      <c r="W462" s="625"/>
      <c r="X462" s="620"/>
      <c r="Y462" s="618"/>
      <c r="Z462" s="620"/>
      <c r="AA462" s="545">
        <v>2.0250213E7</v>
      </c>
      <c r="AB462" s="608"/>
    </row>
    <row r="463">
      <c r="A463" s="586">
        <v>1261.0</v>
      </c>
      <c r="B463" s="576">
        <v>45533.0</v>
      </c>
      <c r="C463" s="489" t="s">
        <v>1407</v>
      </c>
      <c r="D463" s="489" t="s">
        <v>66</v>
      </c>
      <c r="E463" s="554" t="s">
        <v>885</v>
      </c>
      <c r="F463" s="521" t="s">
        <v>49</v>
      </c>
      <c r="G463" s="522">
        <v>31.0</v>
      </c>
      <c r="H463" s="521" t="s">
        <v>32</v>
      </c>
      <c r="I463" s="678"/>
      <c r="J463" s="492" t="s">
        <v>2746</v>
      </c>
      <c r="K463" s="618"/>
      <c r="L463" s="619"/>
      <c r="M463" s="618"/>
      <c r="N463" s="618"/>
      <c r="O463" s="618"/>
      <c r="P463" s="620"/>
      <c r="Q463" s="618"/>
      <c r="R463" s="620"/>
      <c r="S463" s="618"/>
      <c r="T463" s="620"/>
      <c r="U463" s="618"/>
      <c r="V463" s="620"/>
      <c r="W463" s="625"/>
      <c r="X463" s="620"/>
      <c r="Y463" s="618"/>
      <c r="Z463" s="620"/>
      <c r="AA463" s="545">
        <v>2.0250213E7</v>
      </c>
      <c r="AB463" s="608"/>
    </row>
    <row r="464">
      <c r="A464" s="586">
        <v>1260.0</v>
      </c>
      <c r="B464" s="576">
        <v>45533.0</v>
      </c>
      <c r="C464" s="489" t="s">
        <v>1407</v>
      </c>
      <c r="D464" s="489" t="s">
        <v>66</v>
      </c>
      <c r="E464" s="489" t="s">
        <v>885</v>
      </c>
      <c r="F464" s="521" t="s">
        <v>49</v>
      </c>
      <c r="G464" s="522">
        <v>30.0</v>
      </c>
      <c r="H464" s="521" t="s">
        <v>32</v>
      </c>
      <c r="I464" s="677"/>
      <c r="J464" s="492" t="s">
        <v>2746</v>
      </c>
      <c r="K464" s="618"/>
      <c r="L464" s="619"/>
      <c r="M464" s="618"/>
      <c r="N464" s="618"/>
      <c r="O464" s="618"/>
      <c r="P464" s="620"/>
      <c r="Q464" s="618"/>
      <c r="R464" s="620"/>
      <c r="S464" s="618"/>
      <c r="T464" s="620"/>
      <c r="U464" s="618"/>
      <c r="V464" s="620"/>
      <c r="W464" s="625"/>
      <c r="X464" s="620"/>
      <c r="Y464" s="618"/>
      <c r="Z464" s="620"/>
      <c r="AA464" s="545">
        <v>2.0250213E7</v>
      </c>
      <c r="AB464" s="608"/>
    </row>
    <row r="465">
      <c r="A465" s="586">
        <v>1259.0</v>
      </c>
      <c r="B465" s="576">
        <v>45533.0</v>
      </c>
      <c r="C465" s="489" t="s">
        <v>1407</v>
      </c>
      <c r="D465" s="489" t="s">
        <v>66</v>
      </c>
      <c r="E465" s="489" t="s">
        <v>885</v>
      </c>
      <c r="F465" s="521" t="s">
        <v>49</v>
      </c>
      <c r="G465" s="522">
        <v>29.0</v>
      </c>
      <c r="H465" s="521" t="s">
        <v>32</v>
      </c>
      <c r="I465" s="677"/>
      <c r="J465" s="492" t="s">
        <v>2746</v>
      </c>
      <c r="K465" s="618"/>
      <c r="L465" s="619"/>
      <c r="M465" s="618"/>
      <c r="N465" s="618"/>
      <c r="O465" s="618"/>
      <c r="P465" s="620"/>
      <c r="Q465" s="618"/>
      <c r="R465" s="620"/>
      <c r="S465" s="618"/>
      <c r="T465" s="620"/>
      <c r="U465" s="618"/>
      <c r="V465" s="620"/>
      <c r="W465" s="625"/>
      <c r="X465" s="620"/>
      <c r="Y465" s="618"/>
      <c r="Z465" s="620"/>
      <c r="AA465" s="545">
        <v>2.0250213E7</v>
      </c>
      <c r="AB465" s="608"/>
    </row>
    <row r="466">
      <c r="A466" s="586">
        <v>1258.0</v>
      </c>
      <c r="B466" s="576">
        <v>45533.0</v>
      </c>
      <c r="C466" s="489" t="s">
        <v>1407</v>
      </c>
      <c r="D466" s="489" t="s">
        <v>66</v>
      </c>
      <c r="E466" s="489" t="s">
        <v>885</v>
      </c>
      <c r="F466" s="521" t="s">
        <v>49</v>
      </c>
      <c r="G466" s="522">
        <v>28.0</v>
      </c>
      <c r="H466" s="521" t="s">
        <v>32</v>
      </c>
      <c r="I466" s="677"/>
      <c r="J466" s="492" t="s">
        <v>2746</v>
      </c>
      <c r="K466" s="618"/>
      <c r="L466" s="619"/>
      <c r="M466" s="618"/>
      <c r="N466" s="618"/>
      <c r="O466" s="618"/>
      <c r="P466" s="620"/>
      <c r="Q466" s="618"/>
      <c r="R466" s="620"/>
      <c r="S466" s="618"/>
      <c r="T466" s="620"/>
      <c r="U466" s="618"/>
      <c r="V466" s="620"/>
      <c r="W466" s="625"/>
      <c r="X466" s="620"/>
      <c r="Y466" s="618"/>
      <c r="Z466" s="620"/>
      <c r="AA466" s="545">
        <v>2.0250213E7</v>
      </c>
      <c r="AB466" s="608"/>
    </row>
    <row r="467">
      <c r="A467" s="586">
        <v>1257.0</v>
      </c>
      <c r="B467" s="576">
        <v>45533.0</v>
      </c>
      <c r="C467" s="489" t="s">
        <v>1407</v>
      </c>
      <c r="D467" s="489" t="s">
        <v>66</v>
      </c>
      <c r="E467" s="489" t="s">
        <v>885</v>
      </c>
      <c r="F467" s="521" t="s">
        <v>49</v>
      </c>
      <c r="G467" s="522">
        <v>27.0</v>
      </c>
      <c r="H467" s="521" t="s">
        <v>32</v>
      </c>
      <c r="I467" s="677"/>
      <c r="J467" s="492" t="s">
        <v>2746</v>
      </c>
      <c r="K467" s="618"/>
      <c r="L467" s="619"/>
      <c r="M467" s="679"/>
      <c r="N467" s="618"/>
      <c r="O467" s="618"/>
      <c r="P467" s="620"/>
      <c r="Q467" s="618"/>
      <c r="R467" s="620"/>
      <c r="S467" s="618"/>
      <c r="T467" s="620"/>
      <c r="U467" s="618"/>
      <c r="V467" s="620"/>
      <c r="W467" s="625"/>
      <c r="X467" s="620"/>
      <c r="Y467" s="618"/>
      <c r="Z467" s="620"/>
      <c r="AA467" s="545">
        <v>2.0250213E7</v>
      </c>
      <c r="AB467" s="608"/>
    </row>
    <row r="468">
      <c r="A468" s="586">
        <v>1256.0</v>
      </c>
      <c r="B468" s="576">
        <v>45533.0</v>
      </c>
      <c r="C468" s="489" t="s">
        <v>1407</v>
      </c>
      <c r="D468" s="489" t="s">
        <v>66</v>
      </c>
      <c r="E468" s="489" t="s">
        <v>885</v>
      </c>
      <c r="F468" s="521" t="s">
        <v>49</v>
      </c>
      <c r="G468" s="522">
        <v>26.0</v>
      </c>
      <c r="H468" s="521" t="s">
        <v>32</v>
      </c>
      <c r="I468" s="677"/>
      <c r="J468" s="492" t="s">
        <v>2746</v>
      </c>
      <c r="K468" s="618"/>
      <c r="L468" s="619"/>
      <c r="M468" s="618"/>
      <c r="N468" s="618"/>
      <c r="O468" s="618"/>
      <c r="P468" s="620"/>
      <c r="Q468" s="618"/>
      <c r="R468" s="620"/>
      <c r="S468" s="618"/>
      <c r="T468" s="620"/>
      <c r="U468" s="618"/>
      <c r="V468" s="620"/>
      <c r="W468" s="625"/>
      <c r="X468" s="620"/>
      <c r="Y468" s="618"/>
      <c r="Z468" s="620"/>
      <c r="AA468" s="545">
        <v>2.0250213E7</v>
      </c>
      <c r="AB468" s="608"/>
    </row>
    <row r="469">
      <c r="A469" s="586">
        <v>1255.0</v>
      </c>
      <c r="B469" s="576">
        <v>45533.0</v>
      </c>
      <c r="C469" s="489" t="s">
        <v>1407</v>
      </c>
      <c r="D469" s="489" t="s">
        <v>66</v>
      </c>
      <c r="E469" s="489" t="s">
        <v>885</v>
      </c>
      <c r="F469" s="521" t="s">
        <v>49</v>
      </c>
      <c r="G469" s="522">
        <v>25.0</v>
      </c>
      <c r="H469" s="521" t="s">
        <v>32</v>
      </c>
      <c r="I469" s="677"/>
      <c r="J469" s="492" t="s">
        <v>2746</v>
      </c>
      <c r="K469" s="618"/>
      <c r="L469" s="619"/>
      <c r="M469" s="618"/>
      <c r="N469" s="618"/>
      <c r="O469" s="618"/>
      <c r="P469" s="620"/>
      <c r="Q469" s="618"/>
      <c r="R469" s="620"/>
      <c r="S469" s="618"/>
      <c r="T469" s="620"/>
      <c r="U469" s="618"/>
      <c r="V469" s="620"/>
      <c r="W469" s="625"/>
      <c r="X469" s="620"/>
      <c r="Y469" s="618"/>
      <c r="Z469" s="620"/>
      <c r="AA469" s="545">
        <v>2.0250213E7</v>
      </c>
      <c r="AB469" s="608"/>
    </row>
    <row r="470">
      <c r="A470" s="586">
        <v>1254.0</v>
      </c>
      <c r="B470" s="576">
        <v>45533.0</v>
      </c>
      <c r="C470" s="489" t="s">
        <v>1407</v>
      </c>
      <c r="D470" s="489" t="s">
        <v>66</v>
      </c>
      <c r="E470" s="489" t="s">
        <v>885</v>
      </c>
      <c r="F470" s="521" t="s">
        <v>49</v>
      </c>
      <c r="G470" s="522">
        <v>24.0</v>
      </c>
      <c r="H470" s="521" t="s">
        <v>32</v>
      </c>
      <c r="I470" s="677"/>
      <c r="J470" s="492" t="s">
        <v>2746</v>
      </c>
      <c r="K470" s="618"/>
      <c r="L470" s="619"/>
      <c r="M470" s="618"/>
      <c r="N470" s="618"/>
      <c r="O470" s="618"/>
      <c r="P470" s="620"/>
      <c r="Q470" s="618"/>
      <c r="R470" s="620"/>
      <c r="S470" s="618"/>
      <c r="T470" s="620"/>
      <c r="U470" s="618"/>
      <c r="V470" s="620"/>
      <c r="W470" s="625"/>
      <c r="X470" s="620"/>
      <c r="Y470" s="618"/>
      <c r="Z470" s="620"/>
      <c r="AA470" s="545">
        <v>2.0250213E7</v>
      </c>
      <c r="AB470" s="608"/>
    </row>
    <row r="471">
      <c r="A471" s="586">
        <v>1253.0</v>
      </c>
      <c r="B471" s="576">
        <v>45533.0</v>
      </c>
      <c r="C471" s="489" t="s">
        <v>1407</v>
      </c>
      <c r="D471" s="489" t="s">
        <v>66</v>
      </c>
      <c r="E471" s="489" t="s">
        <v>885</v>
      </c>
      <c r="F471" s="521" t="s">
        <v>49</v>
      </c>
      <c r="G471" s="522">
        <v>23.0</v>
      </c>
      <c r="H471" s="521" t="s">
        <v>32</v>
      </c>
      <c r="I471" s="677"/>
      <c r="J471" s="492" t="s">
        <v>2746</v>
      </c>
      <c r="K471" s="618"/>
      <c r="L471" s="619"/>
      <c r="M471" s="618"/>
      <c r="N471" s="618"/>
      <c r="O471" s="618"/>
      <c r="P471" s="620"/>
      <c r="Q471" s="618"/>
      <c r="R471" s="620"/>
      <c r="S471" s="618"/>
      <c r="T471" s="620"/>
      <c r="U471" s="618"/>
      <c r="V471" s="620"/>
      <c r="W471" s="625"/>
      <c r="X471" s="620"/>
      <c r="Y471" s="618"/>
      <c r="Z471" s="620"/>
      <c r="AA471" s="545">
        <v>2.0250213E7</v>
      </c>
      <c r="AB471" s="608"/>
    </row>
    <row r="472">
      <c r="A472" s="586">
        <v>1252.0</v>
      </c>
      <c r="B472" s="576">
        <v>45533.0</v>
      </c>
      <c r="C472" s="489" t="s">
        <v>1407</v>
      </c>
      <c r="D472" s="489" t="s">
        <v>66</v>
      </c>
      <c r="E472" s="489" t="s">
        <v>885</v>
      </c>
      <c r="F472" s="521" t="s">
        <v>49</v>
      </c>
      <c r="G472" s="522">
        <v>22.0</v>
      </c>
      <c r="H472" s="521" t="s">
        <v>32</v>
      </c>
      <c r="I472" s="677"/>
      <c r="J472" s="492" t="s">
        <v>2746</v>
      </c>
      <c r="K472" s="618"/>
      <c r="L472" s="619"/>
      <c r="M472" s="680"/>
      <c r="N472" s="618"/>
      <c r="O472" s="618"/>
      <c r="P472" s="620"/>
      <c r="Q472" s="618"/>
      <c r="R472" s="620"/>
      <c r="S472" s="618"/>
      <c r="T472" s="620"/>
      <c r="U472" s="618"/>
      <c r="V472" s="620"/>
      <c r="W472" s="625"/>
      <c r="X472" s="620"/>
      <c r="Y472" s="618"/>
      <c r="Z472" s="620"/>
      <c r="AA472" s="545">
        <v>2.0250213E7</v>
      </c>
      <c r="AB472" s="608"/>
    </row>
    <row r="473">
      <c r="A473" s="586">
        <v>1251.0</v>
      </c>
      <c r="B473" s="576">
        <v>45533.0</v>
      </c>
      <c r="C473" s="489" t="s">
        <v>1407</v>
      </c>
      <c r="D473" s="489" t="s">
        <v>66</v>
      </c>
      <c r="E473" s="489" t="s">
        <v>885</v>
      </c>
      <c r="F473" s="521" t="s">
        <v>49</v>
      </c>
      <c r="G473" s="522">
        <v>21.0</v>
      </c>
      <c r="H473" s="521" t="s">
        <v>32</v>
      </c>
      <c r="I473" s="491"/>
      <c r="J473" s="492" t="s">
        <v>2746</v>
      </c>
      <c r="K473" s="618"/>
      <c r="L473" s="619"/>
      <c r="M473" s="618"/>
      <c r="N473" s="618"/>
      <c r="O473" s="618"/>
      <c r="P473" s="620"/>
      <c r="Q473" s="618"/>
      <c r="R473" s="620"/>
      <c r="S473" s="618"/>
      <c r="T473" s="620"/>
      <c r="U473" s="618"/>
      <c r="V473" s="620"/>
      <c r="W473" s="625"/>
      <c r="X473" s="620"/>
      <c r="Y473" s="618"/>
      <c r="Z473" s="620"/>
      <c r="AA473" s="545">
        <v>2.0250213E7</v>
      </c>
      <c r="AB473" s="608"/>
    </row>
    <row r="474">
      <c r="A474" s="586">
        <v>1250.0</v>
      </c>
      <c r="B474" s="576">
        <v>45533.0</v>
      </c>
      <c r="C474" s="489" t="s">
        <v>1407</v>
      </c>
      <c r="D474" s="489" t="s">
        <v>66</v>
      </c>
      <c r="E474" s="489" t="s">
        <v>885</v>
      </c>
      <c r="F474" s="521" t="s">
        <v>49</v>
      </c>
      <c r="G474" s="522">
        <v>1.5122503E7</v>
      </c>
      <c r="H474" s="521" t="s">
        <v>32</v>
      </c>
      <c r="I474" s="491" t="s">
        <v>2747</v>
      </c>
      <c r="J474" s="492" t="s">
        <v>2748</v>
      </c>
      <c r="K474" s="622"/>
      <c r="L474" s="619"/>
      <c r="M474" s="618"/>
      <c r="N474" s="618"/>
      <c r="O474" s="622"/>
      <c r="P474" s="620"/>
      <c r="Q474" s="618"/>
      <c r="R474" s="620"/>
      <c r="S474" s="618"/>
      <c r="T474" s="620"/>
      <c r="U474" s="622"/>
      <c r="V474" s="620"/>
      <c r="W474" s="625"/>
      <c r="X474" s="620"/>
      <c r="Y474" s="618"/>
      <c r="Z474" s="620"/>
      <c r="AA474" s="545">
        <v>2.0250213E7</v>
      </c>
      <c r="AB474" s="608"/>
    </row>
    <row r="475">
      <c r="A475" s="586">
        <v>1249.0</v>
      </c>
      <c r="B475" s="576">
        <v>45533.0</v>
      </c>
      <c r="C475" s="489" t="s">
        <v>1407</v>
      </c>
      <c r="D475" s="489" t="s">
        <v>66</v>
      </c>
      <c r="E475" s="489" t="s">
        <v>885</v>
      </c>
      <c r="F475" s="521" t="s">
        <v>49</v>
      </c>
      <c r="G475" s="522">
        <v>1.5781612E7</v>
      </c>
      <c r="H475" s="521" t="s">
        <v>32</v>
      </c>
      <c r="I475" s="491" t="s">
        <v>2749</v>
      </c>
      <c r="J475" s="492" t="s">
        <v>2750</v>
      </c>
      <c r="K475" s="622"/>
      <c r="L475" s="619"/>
      <c r="M475" s="618"/>
      <c r="N475" s="618"/>
      <c r="O475" s="622"/>
      <c r="P475" s="620"/>
      <c r="Q475" s="618"/>
      <c r="R475" s="620"/>
      <c r="S475" s="618"/>
      <c r="T475" s="620"/>
      <c r="U475" s="622"/>
      <c r="V475" s="620"/>
      <c r="W475" s="625"/>
      <c r="X475" s="620"/>
      <c r="Y475" s="618"/>
      <c r="Z475" s="620"/>
      <c r="AA475" s="545">
        <v>2.0250213E7</v>
      </c>
      <c r="AB475" s="608"/>
    </row>
    <row r="476">
      <c r="A476" s="586">
        <v>1248.0</v>
      </c>
      <c r="B476" s="576">
        <v>45533.0</v>
      </c>
      <c r="C476" s="489" t="s">
        <v>1407</v>
      </c>
      <c r="D476" s="489" t="s">
        <v>66</v>
      </c>
      <c r="E476" s="489" t="s">
        <v>885</v>
      </c>
      <c r="F476" s="521" t="s">
        <v>49</v>
      </c>
      <c r="G476" s="522">
        <v>1.57816E7</v>
      </c>
      <c r="H476" s="521" t="s">
        <v>32</v>
      </c>
      <c r="I476" s="491" t="s">
        <v>2751</v>
      </c>
      <c r="J476" s="524" t="s">
        <v>2752</v>
      </c>
      <c r="K476" s="525" t="s">
        <v>1244</v>
      </c>
      <c r="L476" s="619"/>
      <c r="M476" s="618"/>
      <c r="N476" s="618"/>
      <c r="O476" s="525" t="s">
        <v>62</v>
      </c>
      <c r="P476" s="637">
        <v>45530.0</v>
      </c>
      <c r="Q476" s="618"/>
      <c r="R476" s="620"/>
      <c r="S476" s="618"/>
      <c r="T476" s="620"/>
      <c r="U476" s="525" t="s">
        <v>62</v>
      </c>
      <c r="V476" s="637">
        <v>45572.0</v>
      </c>
      <c r="W476" s="625"/>
      <c r="X476" s="620"/>
      <c r="Y476" s="618"/>
      <c r="Z476" s="620"/>
      <c r="AA476" s="611"/>
      <c r="AB476" s="608"/>
    </row>
    <row r="477">
      <c r="A477" s="586">
        <v>1247.0</v>
      </c>
      <c r="B477" s="576">
        <v>45533.0</v>
      </c>
      <c r="C477" s="489" t="s">
        <v>1407</v>
      </c>
      <c r="D477" s="489" t="s">
        <v>66</v>
      </c>
      <c r="E477" s="489" t="s">
        <v>885</v>
      </c>
      <c r="F477" s="521" t="s">
        <v>49</v>
      </c>
      <c r="G477" s="522">
        <v>1.5781609E7</v>
      </c>
      <c r="H477" s="521" t="s">
        <v>32</v>
      </c>
      <c r="I477" s="491" t="s">
        <v>2753</v>
      </c>
      <c r="J477" s="492" t="s">
        <v>2754</v>
      </c>
      <c r="K477" s="525" t="s">
        <v>1244</v>
      </c>
      <c r="L477" s="619"/>
      <c r="M477" s="618"/>
      <c r="N477" s="618"/>
      <c r="O477" s="525" t="s">
        <v>62</v>
      </c>
      <c r="P477" s="637">
        <v>45527.0</v>
      </c>
      <c r="Q477" s="618"/>
      <c r="R477" s="620"/>
      <c r="S477" s="618"/>
      <c r="T477" s="620"/>
      <c r="U477" s="618"/>
      <c r="V477" s="620"/>
      <c r="W477" s="625"/>
      <c r="X477" s="620"/>
      <c r="Y477" s="618"/>
      <c r="Z477" s="620"/>
      <c r="AA477" s="545">
        <v>2.0250213E7</v>
      </c>
      <c r="AB477" s="608"/>
    </row>
    <row r="478">
      <c r="A478" s="586">
        <v>1246.0</v>
      </c>
      <c r="B478" s="576">
        <v>45533.0</v>
      </c>
      <c r="C478" s="489" t="s">
        <v>1407</v>
      </c>
      <c r="D478" s="489" t="s">
        <v>66</v>
      </c>
      <c r="E478" s="489" t="s">
        <v>885</v>
      </c>
      <c r="F478" s="521" t="s">
        <v>49</v>
      </c>
      <c r="G478" s="522">
        <v>1.5781608E7</v>
      </c>
      <c r="H478" s="521" t="s">
        <v>32</v>
      </c>
      <c r="I478" s="491" t="s">
        <v>2755</v>
      </c>
      <c r="J478" s="524" t="s">
        <v>2756</v>
      </c>
      <c r="K478" s="525" t="s">
        <v>1244</v>
      </c>
      <c r="L478" s="619"/>
      <c r="M478" s="618"/>
      <c r="N478" s="618"/>
      <c r="O478" s="525" t="s">
        <v>62</v>
      </c>
      <c r="P478" s="637">
        <v>45527.0</v>
      </c>
      <c r="Q478" s="618"/>
      <c r="R478" s="620"/>
      <c r="S478" s="618"/>
      <c r="T478" s="620"/>
      <c r="U478" s="525" t="s">
        <v>62</v>
      </c>
      <c r="V478" s="637">
        <v>45594.0</v>
      </c>
      <c r="W478" s="625"/>
      <c r="X478" s="620"/>
      <c r="Y478" s="618"/>
      <c r="Z478" s="620"/>
      <c r="AA478" s="611"/>
      <c r="AB478" s="608"/>
    </row>
    <row r="479">
      <c r="A479" s="586">
        <v>1245.0</v>
      </c>
      <c r="B479" s="576">
        <v>45533.0</v>
      </c>
      <c r="C479" s="489" t="s">
        <v>1407</v>
      </c>
      <c r="D479" s="489" t="s">
        <v>66</v>
      </c>
      <c r="E479" s="489" t="s">
        <v>885</v>
      </c>
      <c r="F479" s="521" t="s">
        <v>49</v>
      </c>
      <c r="G479" s="522">
        <v>1.5781599E7</v>
      </c>
      <c r="H479" s="521" t="s">
        <v>32</v>
      </c>
      <c r="I479" s="491" t="s">
        <v>2757</v>
      </c>
      <c r="J479" s="524" t="s">
        <v>2758</v>
      </c>
      <c r="K479" s="525" t="s">
        <v>1244</v>
      </c>
      <c r="L479" s="619"/>
      <c r="M479" s="618"/>
      <c r="N479" s="618"/>
      <c r="O479" s="525" t="s">
        <v>62</v>
      </c>
      <c r="P479" s="637">
        <v>45530.0</v>
      </c>
      <c r="Q479" s="618"/>
      <c r="R479" s="620"/>
      <c r="S479" s="618"/>
      <c r="T479" s="620"/>
      <c r="U479" s="525" t="s">
        <v>62</v>
      </c>
      <c r="V479" s="637">
        <v>45572.0</v>
      </c>
      <c r="W479" s="625"/>
      <c r="X479" s="620"/>
      <c r="Y479" s="618"/>
      <c r="Z479" s="620"/>
      <c r="AA479" s="611"/>
      <c r="AB479" s="608"/>
    </row>
    <row r="480">
      <c r="A480" s="586">
        <v>1244.0</v>
      </c>
      <c r="B480" s="576">
        <v>45533.0</v>
      </c>
      <c r="C480" s="489" t="s">
        <v>1407</v>
      </c>
      <c r="D480" s="489" t="s">
        <v>66</v>
      </c>
      <c r="E480" s="489" t="s">
        <v>885</v>
      </c>
      <c r="F480" s="521" t="s">
        <v>49</v>
      </c>
      <c r="G480" s="522">
        <v>1.5781603E7</v>
      </c>
      <c r="H480" s="521" t="s">
        <v>32</v>
      </c>
      <c r="I480" s="491" t="s">
        <v>2759</v>
      </c>
      <c r="J480" s="524" t="s">
        <v>2760</v>
      </c>
      <c r="K480" s="525" t="s">
        <v>1244</v>
      </c>
      <c r="L480" s="619"/>
      <c r="M480" s="618"/>
      <c r="N480" s="618"/>
      <c r="O480" s="525" t="s">
        <v>62</v>
      </c>
      <c r="P480" s="637">
        <v>45530.0</v>
      </c>
      <c r="Q480" s="618"/>
      <c r="R480" s="620"/>
      <c r="S480" s="618"/>
      <c r="T480" s="620"/>
      <c r="U480" s="525" t="s">
        <v>62</v>
      </c>
      <c r="V480" s="637">
        <v>45589.0</v>
      </c>
      <c r="W480" s="625"/>
      <c r="X480" s="620"/>
      <c r="Y480" s="618"/>
      <c r="Z480" s="620"/>
      <c r="AA480" s="611"/>
      <c r="AB480" s="608"/>
    </row>
    <row r="481">
      <c r="A481" s="586">
        <v>1243.0</v>
      </c>
      <c r="B481" s="576">
        <v>45533.0</v>
      </c>
      <c r="C481" s="489" t="s">
        <v>1407</v>
      </c>
      <c r="D481" s="489" t="s">
        <v>66</v>
      </c>
      <c r="E481" s="489" t="s">
        <v>885</v>
      </c>
      <c r="F481" s="521" t="s">
        <v>49</v>
      </c>
      <c r="G481" s="522">
        <v>1.5781611E7</v>
      </c>
      <c r="H481" s="521" t="s">
        <v>32</v>
      </c>
      <c r="I481" s="491" t="s">
        <v>2761</v>
      </c>
      <c r="J481" s="492" t="s">
        <v>2762</v>
      </c>
      <c r="K481" s="525" t="s">
        <v>1244</v>
      </c>
      <c r="L481" s="619"/>
      <c r="M481" s="618"/>
      <c r="N481" s="618"/>
      <c r="O481" s="622"/>
      <c r="P481" s="620"/>
      <c r="Q481" s="618"/>
      <c r="R481" s="620"/>
      <c r="S481" s="618"/>
      <c r="T481" s="620"/>
      <c r="U481" s="622"/>
      <c r="V481" s="620"/>
      <c r="W481" s="625"/>
      <c r="X481" s="620"/>
      <c r="Y481" s="618"/>
      <c r="Z481" s="620"/>
      <c r="AA481" s="545">
        <v>2.0250213E7</v>
      </c>
      <c r="AB481" s="608"/>
    </row>
    <row r="482">
      <c r="A482" s="586">
        <v>1242.0</v>
      </c>
      <c r="B482" s="576">
        <v>45533.0</v>
      </c>
      <c r="C482" s="489" t="s">
        <v>1407</v>
      </c>
      <c r="D482" s="489" t="s">
        <v>66</v>
      </c>
      <c r="E482" s="489" t="s">
        <v>885</v>
      </c>
      <c r="F482" s="521" t="s">
        <v>49</v>
      </c>
      <c r="G482" s="522">
        <v>1.5122497E7</v>
      </c>
      <c r="H482" s="521" t="s">
        <v>32</v>
      </c>
      <c r="I482" s="491" t="s">
        <v>2763</v>
      </c>
      <c r="J482" s="492" t="s">
        <v>2764</v>
      </c>
      <c r="K482" s="525" t="s">
        <v>1244</v>
      </c>
      <c r="L482" s="619"/>
      <c r="M482" s="618"/>
      <c r="N482" s="618"/>
      <c r="O482" s="525" t="s">
        <v>62</v>
      </c>
      <c r="P482" s="637">
        <v>45530.0</v>
      </c>
      <c r="Q482" s="618"/>
      <c r="R482" s="620"/>
      <c r="S482" s="618"/>
      <c r="T482" s="620"/>
      <c r="U482" s="618"/>
      <c r="V482" s="620"/>
      <c r="W482" s="625"/>
      <c r="X482" s="620"/>
      <c r="Y482" s="618"/>
      <c r="Z482" s="620"/>
      <c r="AA482" s="545">
        <v>2.0250213E7</v>
      </c>
      <c r="AB482" s="608"/>
    </row>
    <row r="483">
      <c r="A483" s="586">
        <v>1241.0</v>
      </c>
      <c r="B483" s="576">
        <v>45533.0</v>
      </c>
      <c r="C483" s="489" t="s">
        <v>1407</v>
      </c>
      <c r="D483" s="489" t="s">
        <v>66</v>
      </c>
      <c r="E483" s="489" t="s">
        <v>885</v>
      </c>
      <c r="F483" s="521" t="s">
        <v>49</v>
      </c>
      <c r="G483" s="522">
        <v>1.5781604E7</v>
      </c>
      <c r="H483" s="521" t="s">
        <v>32</v>
      </c>
      <c r="I483" s="491" t="s">
        <v>2765</v>
      </c>
      <c r="J483" s="524" t="s">
        <v>2766</v>
      </c>
      <c r="K483" s="525" t="s">
        <v>1244</v>
      </c>
      <c r="L483" s="619"/>
      <c r="M483" s="618"/>
      <c r="N483" s="618"/>
      <c r="O483" s="525" t="s">
        <v>62</v>
      </c>
      <c r="P483" s="637">
        <v>45530.0</v>
      </c>
      <c r="Q483" s="618"/>
      <c r="R483" s="620"/>
      <c r="S483" s="618"/>
      <c r="T483" s="620"/>
      <c r="U483" s="525" t="s">
        <v>62</v>
      </c>
      <c r="V483" s="637">
        <v>45589.0</v>
      </c>
      <c r="W483" s="625"/>
      <c r="X483" s="620"/>
      <c r="Y483" s="618"/>
      <c r="Z483" s="620"/>
      <c r="AA483" s="611"/>
      <c r="AB483" s="608"/>
    </row>
    <row r="484">
      <c r="A484" s="586">
        <v>1240.0</v>
      </c>
      <c r="B484" s="576">
        <v>45533.0</v>
      </c>
      <c r="C484" s="489" t="s">
        <v>1407</v>
      </c>
      <c r="D484" s="489" t="s">
        <v>66</v>
      </c>
      <c r="E484" s="489" t="s">
        <v>885</v>
      </c>
      <c r="F484" s="521" t="s">
        <v>49</v>
      </c>
      <c r="G484" s="522">
        <v>1.57816007E8</v>
      </c>
      <c r="H484" s="521" t="s">
        <v>32</v>
      </c>
      <c r="I484" s="491" t="s">
        <v>2767</v>
      </c>
      <c r="J484" s="492" t="s">
        <v>2768</v>
      </c>
      <c r="K484" s="525" t="s">
        <v>1244</v>
      </c>
      <c r="L484" s="619"/>
      <c r="M484" s="618"/>
      <c r="N484" s="618"/>
      <c r="O484" s="525" t="s">
        <v>62</v>
      </c>
      <c r="P484" s="637">
        <v>45527.0</v>
      </c>
      <c r="Q484" s="618"/>
      <c r="R484" s="620"/>
      <c r="S484" s="618"/>
      <c r="T484" s="620"/>
      <c r="U484" s="618"/>
      <c r="V484" s="620"/>
      <c r="W484" s="625"/>
      <c r="X484" s="620"/>
      <c r="Y484" s="618"/>
      <c r="Z484" s="620"/>
      <c r="AA484" s="545">
        <v>2.0250213E7</v>
      </c>
      <c r="AB484" s="608"/>
    </row>
    <row r="485">
      <c r="A485" s="586">
        <v>1239.0</v>
      </c>
      <c r="B485" s="638">
        <v>45533.0</v>
      </c>
      <c r="C485" s="501" t="s">
        <v>1407</v>
      </c>
      <c r="D485" s="501" t="s">
        <v>66</v>
      </c>
      <c r="E485" s="501" t="s">
        <v>885</v>
      </c>
      <c r="F485" s="639" t="s">
        <v>49</v>
      </c>
      <c r="G485" s="586">
        <v>9.0</v>
      </c>
      <c r="H485" s="639"/>
      <c r="I485" s="503" t="s">
        <v>2769</v>
      </c>
      <c r="J485" s="504" t="s">
        <v>2770</v>
      </c>
      <c r="K485" s="525" t="s">
        <v>1244</v>
      </c>
      <c r="L485" s="619"/>
      <c r="M485" s="618"/>
      <c r="N485" s="618"/>
      <c r="O485" s="618"/>
      <c r="P485" s="620"/>
      <c r="Q485" s="618"/>
      <c r="R485" s="620"/>
      <c r="S485" s="618"/>
      <c r="T485" s="620"/>
      <c r="U485" s="618"/>
      <c r="V485" s="620"/>
      <c r="W485" s="618"/>
      <c r="X485" s="620"/>
      <c r="Y485" s="618"/>
      <c r="Z485" s="620"/>
      <c r="AA485" s="611"/>
      <c r="AB485" s="608"/>
    </row>
    <row r="486">
      <c r="A486" s="586">
        <v>1238.0</v>
      </c>
      <c r="B486" s="576">
        <v>45533.0</v>
      </c>
      <c r="C486" s="489" t="s">
        <v>1407</v>
      </c>
      <c r="D486" s="489" t="s">
        <v>66</v>
      </c>
      <c r="E486" s="489" t="s">
        <v>885</v>
      </c>
      <c r="F486" s="521" t="s">
        <v>49</v>
      </c>
      <c r="G486" s="522">
        <v>1.5122504E7</v>
      </c>
      <c r="H486" s="521" t="s">
        <v>32</v>
      </c>
      <c r="I486" s="491" t="s">
        <v>2771</v>
      </c>
      <c r="J486" s="492" t="s">
        <v>2772</v>
      </c>
      <c r="K486" s="525" t="s">
        <v>1244</v>
      </c>
      <c r="L486" s="619"/>
      <c r="M486" s="618"/>
      <c r="N486" s="618"/>
      <c r="O486" s="622"/>
      <c r="P486" s="620"/>
      <c r="Q486" s="618"/>
      <c r="R486" s="620"/>
      <c r="S486" s="618"/>
      <c r="T486" s="620"/>
      <c r="U486" s="622"/>
      <c r="V486" s="620"/>
      <c r="W486" s="625"/>
      <c r="X486" s="620"/>
      <c r="Y486" s="618"/>
      <c r="Z486" s="620"/>
      <c r="AA486" s="545">
        <v>2.0250213E7</v>
      </c>
      <c r="AB486" s="608"/>
    </row>
    <row r="487">
      <c r="A487" s="586">
        <v>1237.0</v>
      </c>
      <c r="B487" s="576">
        <v>45533.0</v>
      </c>
      <c r="C487" s="489" t="s">
        <v>1407</v>
      </c>
      <c r="D487" s="489" t="s">
        <v>66</v>
      </c>
      <c r="E487" s="489" t="s">
        <v>885</v>
      </c>
      <c r="F487" s="521" t="s">
        <v>49</v>
      </c>
      <c r="G487" s="522">
        <v>1.5781601E7</v>
      </c>
      <c r="H487" s="521" t="s">
        <v>32</v>
      </c>
      <c r="I487" s="491" t="s">
        <v>2773</v>
      </c>
      <c r="J487" s="524" t="s">
        <v>2774</v>
      </c>
      <c r="K487" s="525" t="s">
        <v>1244</v>
      </c>
      <c r="L487" s="619"/>
      <c r="M487" s="618"/>
      <c r="N487" s="618"/>
      <c r="O487" s="525" t="s">
        <v>62</v>
      </c>
      <c r="P487" s="637">
        <v>45530.0</v>
      </c>
      <c r="Q487" s="618"/>
      <c r="R487" s="620"/>
      <c r="S487" s="618"/>
      <c r="T487" s="620"/>
      <c r="U487" s="525" t="s">
        <v>62</v>
      </c>
      <c r="V487" s="637">
        <v>45589.0</v>
      </c>
      <c r="W487" s="625"/>
      <c r="X487" s="620"/>
      <c r="Y487" s="618"/>
      <c r="Z487" s="620"/>
      <c r="AA487" s="611"/>
      <c r="AB487" s="608"/>
    </row>
    <row r="488">
      <c r="A488" s="586">
        <v>1236.0</v>
      </c>
      <c r="B488" s="638">
        <v>45533.0</v>
      </c>
      <c r="C488" s="501" t="s">
        <v>1407</v>
      </c>
      <c r="D488" s="501" t="s">
        <v>66</v>
      </c>
      <c r="E488" s="501" t="s">
        <v>885</v>
      </c>
      <c r="F488" s="639" t="s">
        <v>49</v>
      </c>
      <c r="G488" s="586">
        <v>6.0</v>
      </c>
      <c r="H488" s="639"/>
      <c r="I488" s="503" t="s">
        <v>2775</v>
      </c>
      <c r="J488" s="504" t="s">
        <v>2776</v>
      </c>
      <c r="K488" s="525" t="s">
        <v>1244</v>
      </c>
      <c r="L488" s="619"/>
      <c r="M488" s="618"/>
      <c r="N488" s="618"/>
      <c r="O488" s="618"/>
      <c r="P488" s="620"/>
      <c r="Q488" s="618"/>
      <c r="R488" s="620"/>
      <c r="S488" s="618"/>
      <c r="T488" s="620"/>
      <c r="U488" s="618"/>
      <c r="V488" s="620"/>
      <c r="W488" s="618"/>
      <c r="X488" s="620"/>
      <c r="Y488" s="618"/>
      <c r="Z488" s="620"/>
      <c r="AA488" s="611"/>
      <c r="AB488" s="608"/>
    </row>
    <row r="489">
      <c r="A489" s="586">
        <v>1235.0</v>
      </c>
      <c r="B489" s="576">
        <v>45533.0</v>
      </c>
      <c r="C489" s="489" t="s">
        <v>1407</v>
      </c>
      <c r="D489" s="489" t="s">
        <v>66</v>
      </c>
      <c r="E489" s="489" t="s">
        <v>885</v>
      </c>
      <c r="F489" s="521" t="s">
        <v>49</v>
      </c>
      <c r="G489" s="522">
        <v>1.5122496E7</v>
      </c>
      <c r="H489" s="521" t="s">
        <v>32</v>
      </c>
      <c r="I489" s="491" t="s">
        <v>2777</v>
      </c>
      <c r="J489" s="492" t="s">
        <v>2778</v>
      </c>
      <c r="K489" s="525" t="s">
        <v>1244</v>
      </c>
      <c r="L489" s="619"/>
      <c r="M489" s="618"/>
      <c r="N489" s="618"/>
      <c r="O489" s="525" t="s">
        <v>62</v>
      </c>
      <c r="P489" s="637">
        <v>45530.0</v>
      </c>
      <c r="Q489" s="618"/>
      <c r="R489" s="620"/>
      <c r="S489" s="618"/>
      <c r="T489" s="620"/>
      <c r="U489" s="618"/>
      <c r="V489" s="620"/>
      <c r="W489" s="625"/>
      <c r="X489" s="620"/>
      <c r="Y489" s="618"/>
      <c r="Z489" s="620"/>
      <c r="AA489" s="545">
        <v>2.0250213E7</v>
      </c>
      <c r="AB489" s="608"/>
    </row>
    <row r="490">
      <c r="A490" s="586">
        <v>1234.0</v>
      </c>
      <c r="B490" s="576">
        <v>45533.0</v>
      </c>
      <c r="C490" s="489" t="s">
        <v>1407</v>
      </c>
      <c r="D490" s="489" t="s">
        <v>66</v>
      </c>
      <c r="E490" s="489" t="s">
        <v>885</v>
      </c>
      <c r="F490" s="521" t="s">
        <v>49</v>
      </c>
      <c r="G490" s="522">
        <v>1.5781598E7</v>
      </c>
      <c r="H490" s="521" t="s">
        <v>32</v>
      </c>
      <c r="I490" s="491" t="s">
        <v>2779</v>
      </c>
      <c r="J490" s="524" t="s">
        <v>2780</v>
      </c>
      <c r="K490" s="525" t="s">
        <v>1244</v>
      </c>
      <c r="L490" s="619"/>
      <c r="M490" s="618"/>
      <c r="N490" s="618"/>
      <c r="O490" s="525" t="s">
        <v>62</v>
      </c>
      <c r="P490" s="637">
        <v>45530.0</v>
      </c>
      <c r="Q490" s="618"/>
      <c r="R490" s="620"/>
      <c r="S490" s="618"/>
      <c r="T490" s="620"/>
      <c r="U490" s="525" t="s">
        <v>62</v>
      </c>
      <c r="V490" s="637">
        <v>45572.0</v>
      </c>
      <c r="W490" s="625"/>
      <c r="X490" s="620"/>
      <c r="Y490" s="618"/>
      <c r="Z490" s="620"/>
      <c r="AA490" s="611"/>
      <c r="AB490" s="608"/>
    </row>
    <row r="491">
      <c r="A491" s="586">
        <v>1233.0</v>
      </c>
      <c r="B491" s="576">
        <v>45533.0</v>
      </c>
      <c r="C491" s="489" t="s">
        <v>1407</v>
      </c>
      <c r="D491" s="489" t="s">
        <v>66</v>
      </c>
      <c r="E491" s="489" t="s">
        <v>885</v>
      </c>
      <c r="F491" s="521" t="s">
        <v>49</v>
      </c>
      <c r="G491" s="522">
        <v>1.5781597E7</v>
      </c>
      <c r="H491" s="521" t="s">
        <v>32</v>
      </c>
      <c r="I491" s="491" t="s">
        <v>2781</v>
      </c>
      <c r="J491" s="524" t="s">
        <v>2782</v>
      </c>
      <c r="K491" s="525" t="s">
        <v>1244</v>
      </c>
      <c r="L491" s="619"/>
      <c r="M491" s="618"/>
      <c r="N491" s="618"/>
      <c r="O491" s="525" t="s">
        <v>62</v>
      </c>
      <c r="P491" s="637">
        <v>45530.0</v>
      </c>
      <c r="Q491" s="618"/>
      <c r="R491" s="620"/>
      <c r="S491" s="618"/>
      <c r="T491" s="620"/>
      <c r="U491" s="525" t="s">
        <v>62</v>
      </c>
      <c r="V491" s="637">
        <v>45572.0</v>
      </c>
      <c r="W491" s="625"/>
      <c r="X491" s="620"/>
      <c r="Y491" s="618"/>
      <c r="Z491" s="620"/>
      <c r="AA491" s="611"/>
      <c r="AB491" s="608"/>
    </row>
    <row r="492">
      <c r="A492" s="586">
        <v>1232.0</v>
      </c>
      <c r="B492" s="576">
        <v>45533.0</v>
      </c>
      <c r="C492" s="489" t="s">
        <v>1407</v>
      </c>
      <c r="D492" s="489" t="s">
        <v>66</v>
      </c>
      <c r="E492" s="489" t="s">
        <v>885</v>
      </c>
      <c r="F492" s="521" t="s">
        <v>49</v>
      </c>
      <c r="G492" s="522">
        <v>1.5781602E7</v>
      </c>
      <c r="H492" s="521" t="s">
        <v>32</v>
      </c>
      <c r="I492" s="491" t="s">
        <v>2783</v>
      </c>
      <c r="J492" s="524" t="s">
        <v>2784</v>
      </c>
      <c r="K492" s="525" t="s">
        <v>1244</v>
      </c>
      <c r="L492" s="619"/>
      <c r="M492" s="618"/>
      <c r="N492" s="618"/>
      <c r="O492" s="525" t="s">
        <v>62</v>
      </c>
      <c r="P492" s="637">
        <v>45530.0</v>
      </c>
      <c r="Q492" s="618"/>
      <c r="R492" s="620"/>
      <c r="S492" s="618"/>
      <c r="T492" s="620"/>
      <c r="U492" s="525" t="s">
        <v>62</v>
      </c>
      <c r="V492" s="637">
        <v>45589.0</v>
      </c>
      <c r="W492" s="625"/>
      <c r="X492" s="620"/>
      <c r="Y492" s="618"/>
      <c r="Z492" s="620"/>
      <c r="AA492" s="611"/>
      <c r="AB492" s="608"/>
    </row>
    <row r="493">
      <c r="A493" s="586">
        <v>1230.0</v>
      </c>
      <c r="B493" s="576">
        <v>45531.0</v>
      </c>
      <c r="C493" s="489" t="s">
        <v>2498</v>
      </c>
      <c r="D493" s="489" t="s">
        <v>359</v>
      </c>
      <c r="E493" s="489" t="s">
        <v>774</v>
      </c>
      <c r="F493" s="521" t="s">
        <v>961</v>
      </c>
      <c r="G493" s="521">
        <v>1.9280197E7</v>
      </c>
      <c r="H493" s="521" t="s">
        <v>42</v>
      </c>
      <c r="I493" s="491" t="s">
        <v>2785</v>
      </c>
      <c r="J493" s="524" t="s">
        <v>2786</v>
      </c>
      <c r="K493" s="622"/>
      <c r="L493" s="619"/>
      <c r="M493" s="618"/>
      <c r="N493" s="618"/>
      <c r="O493" s="618"/>
      <c r="P493" s="620"/>
      <c r="Q493" s="618"/>
      <c r="R493" s="620"/>
      <c r="S493" s="618"/>
      <c r="T493" s="620"/>
      <c r="U493" s="618"/>
      <c r="V493" s="620"/>
      <c r="W493" s="625"/>
      <c r="X493" s="620"/>
      <c r="Y493" s="618"/>
      <c r="Z493" s="620"/>
      <c r="AA493" s="671" t="s">
        <v>1218</v>
      </c>
      <c r="AB493" s="608"/>
    </row>
    <row r="494">
      <c r="A494" s="586">
        <v>1229.0</v>
      </c>
      <c r="B494" s="576">
        <v>45531.0</v>
      </c>
      <c r="C494" s="489" t="s">
        <v>2498</v>
      </c>
      <c r="D494" s="489" t="s">
        <v>29</v>
      </c>
      <c r="E494" s="489" t="s">
        <v>774</v>
      </c>
      <c r="F494" s="521" t="s">
        <v>961</v>
      </c>
      <c r="G494" s="521" t="s">
        <v>50</v>
      </c>
      <c r="H494" s="521" t="s">
        <v>42</v>
      </c>
      <c r="I494" s="491" t="s">
        <v>2785</v>
      </c>
      <c r="J494" s="492" t="s">
        <v>2787</v>
      </c>
      <c r="K494" s="525" t="s">
        <v>2788</v>
      </c>
      <c r="L494" s="594" t="s">
        <v>1717</v>
      </c>
      <c r="M494" s="603" t="s">
        <v>2789</v>
      </c>
      <c r="N494" s="618"/>
      <c r="O494" s="525" t="s">
        <v>62</v>
      </c>
      <c r="P494" s="626">
        <v>45791.0</v>
      </c>
      <c r="Q494" s="618"/>
      <c r="R494" s="620"/>
      <c r="S494" s="618"/>
      <c r="T494" s="620"/>
      <c r="U494" s="525" t="s">
        <v>2790</v>
      </c>
      <c r="V494" s="626">
        <v>45803.0</v>
      </c>
      <c r="W494" s="618"/>
      <c r="X494" s="620"/>
      <c r="Y494" s="618"/>
      <c r="Z494" s="620"/>
      <c r="AA494" s="541">
        <v>2.0250531E7</v>
      </c>
      <c r="AB494" s="545"/>
    </row>
    <row r="495">
      <c r="A495" s="586">
        <v>1228.0</v>
      </c>
      <c r="B495" s="576">
        <v>45532.0</v>
      </c>
      <c r="C495" s="489" t="s">
        <v>2501</v>
      </c>
      <c r="D495" s="489" t="s">
        <v>66</v>
      </c>
      <c r="E495" s="489" t="s">
        <v>227</v>
      </c>
      <c r="F495" s="521" t="s">
        <v>228</v>
      </c>
      <c r="G495" s="521">
        <v>1.962027E7</v>
      </c>
      <c r="H495" s="521" t="s">
        <v>135</v>
      </c>
      <c r="I495" s="491" t="s">
        <v>1061</v>
      </c>
      <c r="J495" s="524" t="s">
        <v>2791</v>
      </c>
      <c r="K495" s="525" t="s">
        <v>231</v>
      </c>
      <c r="L495" s="594" t="s">
        <v>2073</v>
      </c>
      <c r="M495" s="525" t="s">
        <v>1065</v>
      </c>
      <c r="N495" s="525"/>
      <c r="O495" s="525" t="s">
        <v>62</v>
      </c>
      <c r="P495" s="626">
        <v>45528.0</v>
      </c>
      <c r="Q495" s="618"/>
      <c r="R495" s="620"/>
      <c r="S495" s="618"/>
      <c r="T495" s="620"/>
      <c r="U495" s="525" t="s">
        <v>62</v>
      </c>
      <c r="V495" s="620"/>
      <c r="W495" s="625"/>
      <c r="X495" s="620"/>
      <c r="Y495" s="618"/>
      <c r="Z495" s="620"/>
      <c r="AA495" s="611"/>
      <c r="AB495" s="608"/>
    </row>
    <row r="496">
      <c r="A496" s="586">
        <v>1227.0</v>
      </c>
      <c r="B496" s="576">
        <v>45532.0</v>
      </c>
      <c r="C496" s="489" t="s">
        <v>2501</v>
      </c>
      <c r="D496" s="489" t="s">
        <v>66</v>
      </c>
      <c r="E496" s="489" t="s">
        <v>227</v>
      </c>
      <c r="F496" s="521" t="s">
        <v>228</v>
      </c>
      <c r="G496" s="521">
        <v>1.9620269E7</v>
      </c>
      <c r="H496" s="521" t="s">
        <v>135</v>
      </c>
      <c r="I496" s="491" t="s">
        <v>1061</v>
      </c>
      <c r="J496" s="524" t="s">
        <v>2791</v>
      </c>
      <c r="K496" s="525" t="s">
        <v>231</v>
      </c>
      <c r="L496" s="594" t="s">
        <v>2073</v>
      </c>
      <c r="M496" s="525" t="s">
        <v>1065</v>
      </c>
      <c r="N496" s="525"/>
      <c r="O496" s="525" t="s">
        <v>62</v>
      </c>
      <c r="P496" s="626">
        <v>45528.0</v>
      </c>
      <c r="Q496" s="618"/>
      <c r="R496" s="620"/>
      <c r="S496" s="618"/>
      <c r="T496" s="620"/>
      <c r="U496" s="525" t="s">
        <v>62</v>
      </c>
      <c r="V496" s="620"/>
      <c r="W496" s="625"/>
      <c r="X496" s="620"/>
      <c r="Y496" s="618"/>
      <c r="Z496" s="620"/>
      <c r="AA496" s="611"/>
      <c r="AB496" s="608"/>
    </row>
    <row r="497">
      <c r="A497" s="586">
        <v>1226.0</v>
      </c>
      <c r="B497" s="576">
        <v>45532.0</v>
      </c>
      <c r="C497" s="489" t="s">
        <v>2501</v>
      </c>
      <c r="D497" s="489" t="s">
        <v>66</v>
      </c>
      <c r="E497" s="489" t="s">
        <v>227</v>
      </c>
      <c r="F497" s="521" t="s">
        <v>228</v>
      </c>
      <c r="G497" s="521">
        <v>1.9620267E7</v>
      </c>
      <c r="H497" s="521" t="s">
        <v>135</v>
      </c>
      <c r="I497" s="491" t="s">
        <v>1061</v>
      </c>
      <c r="J497" s="524" t="s">
        <v>2791</v>
      </c>
      <c r="K497" s="525" t="s">
        <v>231</v>
      </c>
      <c r="L497" s="594" t="s">
        <v>2073</v>
      </c>
      <c r="M497" s="525" t="s">
        <v>1065</v>
      </c>
      <c r="N497" s="525"/>
      <c r="O497" s="525" t="s">
        <v>62</v>
      </c>
      <c r="P497" s="626">
        <v>45528.0</v>
      </c>
      <c r="Q497" s="618"/>
      <c r="R497" s="620"/>
      <c r="S497" s="618"/>
      <c r="T497" s="620"/>
      <c r="U497" s="525" t="s">
        <v>62</v>
      </c>
      <c r="V497" s="620"/>
      <c r="W497" s="625"/>
      <c r="X497" s="620"/>
      <c r="Y497" s="618"/>
      <c r="Z497" s="620"/>
      <c r="AA497" s="611"/>
      <c r="AB497" s="608"/>
    </row>
    <row r="498">
      <c r="A498" s="586">
        <v>1225.0</v>
      </c>
      <c r="B498" s="576">
        <v>45532.0</v>
      </c>
      <c r="C498" s="489" t="s">
        <v>2501</v>
      </c>
      <c r="D498" s="489" t="s">
        <v>66</v>
      </c>
      <c r="E498" s="489" t="s">
        <v>227</v>
      </c>
      <c r="F498" s="521" t="s">
        <v>228</v>
      </c>
      <c r="G498" s="521">
        <v>1.9620266E7</v>
      </c>
      <c r="H498" s="521" t="s">
        <v>135</v>
      </c>
      <c r="I498" s="491" t="s">
        <v>1061</v>
      </c>
      <c r="J498" s="524" t="s">
        <v>2791</v>
      </c>
      <c r="K498" s="525" t="s">
        <v>231</v>
      </c>
      <c r="L498" s="594" t="s">
        <v>2073</v>
      </c>
      <c r="M498" s="525" t="s">
        <v>1065</v>
      </c>
      <c r="N498" s="525"/>
      <c r="O498" s="525" t="s">
        <v>62</v>
      </c>
      <c r="P498" s="626">
        <v>45532.0</v>
      </c>
      <c r="Q498" s="618"/>
      <c r="R498" s="620"/>
      <c r="S498" s="618"/>
      <c r="T498" s="620"/>
      <c r="U498" s="525" t="s">
        <v>62</v>
      </c>
      <c r="V498" s="620"/>
      <c r="W498" s="625"/>
      <c r="X498" s="620"/>
      <c r="Y498" s="618"/>
      <c r="Z498" s="620"/>
      <c r="AA498" s="611"/>
      <c r="AB498" s="608"/>
    </row>
    <row r="499">
      <c r="A499" s="586">
        <v>1224.0</v>
      </c>
      <c r="B499" s="576">
        <v>45531.0</v>
      </c>
      <c r="C499" s="489" t="s">
        <v>2501</v>
      </c>
      <c r="D499" s="489" t="s">
        <v>66</v>
      </c>
      <c r="E499" s="489" t="s">
        <v>227</v>
      </c>
      <c r="F499" s="521" t="s">
        <v>228</v>
      </c>
      <c r="G499" s="521">
        <v>1.9620268E7</v>
      </c>
      <c r="H499" s="521" t="s">
        <v>135</v>
      </c>
      <c r="I499" s="491" t="s">
        <v>1061</v>
      </c>
      <c r="J499" s="524" t="s">
        <v>2791</v>
      </c>
      <c r="K499" s="525" t="s">
        <v>231</v>
      </c>
      <c r="L499" s="594" t="s">
        <v>2073</v>
      </c>
      <c r="M499" s="525" t="s">
        <v>1065</v>
      </c>
      <c r="N499" s="525"/>
      <c r="O499" s="591" t="s">
        <v>62</v>
      </c>
      <c r="P499" s="626">
        <v>45532.0</v>
      </c>
      <c r="Q499" s="618"/>
      <c r="R499" s="620"/>
      <c r="S499" s="618"/>
      <c r="T499" s="620"/>
      <c r="U499" s="525" t="s">
        <v>62</v>
      </c>
      <c r="V499" s="620"/>
      <c r="W499" s="625"/>
      <c r="X499" s="620"/>
      <c r="Y499" s="618"/>
      <c r="Z499" s="620"/>
      <c r="AA499" s="611"/>
      <c r="AB499" s="608"/>
    </row>
    <row r="500">
      <c r="A500" s="586">
        <v>1223.0</v>
      </c>
      <c r="B500" s="576">
        <v>45526.0</v>
      </c>
      <c r="C500" s="489" t="s">
        <v>2501</v>
      </c>
      <c r="D500" s="489" t="s">
        <v>66</v>
      </c>
      <c r="E500" s="489" t="s">
        <v>2792</v>
      </c>
      <c r="F500" s="521" t="s">
        <v>228</v>
      </c>
      <c r="G500" s="521">
        <v>1.9620307E7</v>
      </c>
      <c r="H500" s="521" t="s">
        <v>135</v>
      </c>
      <c r="I500" s="491" t="s">
        <v>2793</v>
      </c>
      <c r="J500" s="524" t="s">
        <v>2794</v>
      </c>
      <c r="K500" s="525" t="s">
        <v>231</v>
      </c>
      <c r="L500" s="619"/>
      <c r="M500" s="618"/>
      <c r="N500" s="618"/>
      <c r="O500" s="525" t="s">
        <v>62</v>
      </c>
      <c r="P500" s="626">
        <v>45637.0</v>
      </c>
      <c r="Q500" s="618"/>
      <c r="R500" s="620"/>
      <c r="S500" s="618"/>
      <c r="T500" s="620"/>
      <c r="U500" s="525" t="s">
        <v>62</v>
      </c>
      <c r="V500" s="626">
        <v>45637.0</v>
      </c>
      <c r="W500" s="625"/>
      <c r="X500" s="620"/>
      <c r="Y500" s="618"/>
      <c r="Z500" s="620"/>
      <c r="AA500" s="611"/>
      <c r="AB500" s="608"/>
    </row>
    <row r="501">
      <c r="A501" s="586">
        <v>1222.0</v>
      </c>
      <c r="B501" s="576">
        <v>45526.0</v>
      </c>
      <c r="C501" s="489" t="s">
        <v>2498</v>
      </c>
      <c r="D501" s="521" t="s">
        <v>359</v>
      </c>
      <c r="E501" s="521" t="s">
        <v>774</v>
      </c>
      <c r="F501" s="521" t="s">
        <v>589</v>
      </c>
      <c r="G501" s="522">
        <v>1.928027E7</v>
      </c>
      <c r="H501" s="521" t="s">
        <v>112</v>
      </c>
      <c r="I501" s="491" t="s">
        <v>2795</v>
      </c>
      <c r="J501" s="524" t="s">
        <v>2796</v>
      </c>
      <c r="K501" s="618"/>
      <c r="L501" s="619"/>
      <c r="M501" s="618"/>
      <c r="N501" s="618"/>
      <c r="O501" s="618"/>
      <c r="P501" s="620"/>
      <c r="Q501" s="618"/>
      <c r="R501" s="620"/>
      <c r="S501" s="618"/>
      <c r="T501" s="620"/>
      <c r="U501" s="618"/>
      <c r="V501" s="620"/>
      <c r="W501" s="625"/>
      <c r="X501" s="620"/>
      <c r="Y501" s="618"/>
      <c r="Z501" s="620"/>
      <c r="AA501" s="671" t="s">
        <v>1218</v>
      </c>
      <c r="AB501" s="608"/>
    </row>
    <row r="502">
      <c r="A502" s="586">
        <v>1219.0</v>
      </c>
      <c r="B502" s="576">
        <v>45513.0</v>
      </c>
      <c r="C502" s="489" t="s">
        <v>1936</v>
      </c>
      <c r="D502" s="521" t="s">
        <v>66</v>
      </c>
      <c r="E502" s="521" t="s">
        <v>89</v>
      </c>
      <c r="F502" s="521" t="s">
        <v>41</v>
      </c>
      <c r="G502" s="522">
        <v>1.5831231E7</v>
      </c>
      <c r="H502" s="521" t="s">
        <v>51</v>
      </c>
      <c r="I502" s="491" t="s">
        <v>2797</v>
      </c>
      <c r="J502" s="524" t="s">
        <v>2798</v>
      </c>
      <c r="K502" s="525" t="s">
        <v>608</v>
      </c>
      <c r="L502" s="594" t="s">
        <v>1557</v>
      </c>
      <c r="M502" s="525" t="s">
        <v>610</v>
      </c>
      <c r="N502" s="618"/>
      <c r="O502" s="525" t="s">
        <v>62</v>
      </c>
      <c r="P502" s="637">
        <v>45546.0</v>
      </c>
      <c r="Q502" s="618"/>
      <c r="R502" s="620"/>
      <c r="S502" s="618"/>
      <c r="T502" s="620"/>
      <c r="U502" s="525" t="s">
        <v>62</v>
      </c>
      <c r="V502" s="637">
        <v>45568.0</v>
      </c>
      <c r="W502" s="625"/>
      <c r="X502" s="620"/>
      <c r="Y502" s="618"/>
      <c r="Z502" s="620"/>
      <c r="AA502" s="611"/>
      <c r="AB502" s="608"/>
    </row>
    <row r="503">
      <c r="A503" s="586">
        <v>1216.0</v>
      </c>
      <c r="B503" s="633">
        <v>45084.0</v>
      </c>
      <c r="C503" s="535" t="s">
        <v>2799</v>
      </c>
      <c r="D503" s="634" t="s">
        <v>29</v>
      </c>
      <c r="E503" s="634" t="s">
        <v>309</v>
      </c>
      <c r="F503" s="634" t="s">
        <v>49</v>
      </c>
      <c r="G503" s="681" t="s">
        <v>2800</v>
      </c>
      <c r="H503" s="634" t="s">
        <v>103</v>
      </c>
      <c r="I503" s="536" t="s">
        <v>2801</v>
      </c>
      <c r="J503" s="537" t="s">
        <v>2802</v>
      </c>
      <c r="K503" s="618"/>
      <c r="L503" s="619"/>
      <c r="M503" s="682"/>
      <c r="N503" s="618"/>
      <c r="O503" s="618"/>
      <c r="P503" s="620"/>
      <c r="Q503" s="618"/>
      <c r="R503" s="620"/>
      <c r="S503" s="525"/>
      <c r="T503" s="620"/>
      <c r="U503" s="618"/>
      <c r="V503" s="620"/>
      <c r="W503" s="683" t="s">
        <v>150</v>
      </c>
      <c r="X503" s="620"/>
      <c r="Y503" s="618"/>
      <c r="Z503" s="620"/>
      <c r="AA503" s="611"/>
      <c r="AB503" s="608"/>
    </row>
    <row r="504">
      <c r="A504" s="586">
        <v>1215.0</v>
      </c>
      <c r="B504" s="633">
        <v>44970.0</v>
      </c>
      <c r="C504" s="544" t="s">
        <v>2803</v>
      </c>
      <c r="D504" s="634" t="s">
        <v>29</v>
      </c>
      <c r="E504" s="634" t="s">
        <v>2804</v>
      </c>
      <c r="F504" s="634" t="s">
        <v>2218</v>
      </c>
      <c r="G504" s="684">
        <v>1.511138E7</v>
      </c>
      <c r="H504" s="634" t="s">
        <v>103</v>
      </c>
      <c r="I504" s="536" t="s">
        <v>2805</v>
      </c>
      <c r="J504" s="685" t="s">
        <v>2806</v>
      </c>
      <c r="K504" s="618"/>
      <c r="L504" s="619"/>
      <c r="M504" s="682"/>
      <c r="N504" s="618"/>
      <c r="O504" s="618"/>
      <c r="P504" s="620"/>
      <c r="Q504" s="618"/>
      <c r="R504" s="620"/>
      <c r="S504" s="618"/>
      <c r="T504" s="620"/>
      <c r="U504" s="618"/>
      <c r="V504" s="620"/>
      <c r="W504" s="636" t="s">
        <v>150</v>
      </c>
      <c r="X504" s="620"/>
      <c r="Y504" s="618"/>
      <c r="Z504" s="620"/>
      <c r="AA504" s="611"/>
      <c r="AB504" s="608"/>
    </row>
    <row r="505">
      <c r="A505" s="586">
        <v>1212.0</v>
      </c>
      <c r="B505" s="633">
        <v>45184.0</v>
      </c>
      <c r="C505" s="535" t="s">
        <v>2807</v>
      </c>
      <c r="D505" s="634" t="s">
        <v>66</v>
      </c>
      <c r="E505" s="634" t="s">
        <v>728</v>
      </c>
      <c r="F505" s="634" t="s">
        <v>2808</v>
      </c>
      <c r="G505" s="684">
        <v>1.788003E7</v>
      </c>
      <c r="H505" s="634" t="s">
        <v>103</v>
      </c>
      <c r="I505" s="536" t="s">
        <v>2809</v>
      </c>
      <c r="J505" s="537" t="s">
        <v>2810</v>
      </c>
      <c r="K505" s="525" t="s">
        <v>2811</v>
      </c>
      <c r="L505" s="594" t="s">
        <v>2812</v>
      </c>
      <c r="M505" s="525" t="s">
        <v>2813</v>
      </c>
      <c r="N505" s="618"/>
      <c r="O505" s="618"/>
      <c r="P505" s="620"/>
      <c r="Q505" s="618"/>
      <c r="R505" s="620"/>
      <c r="S505" s="618"/>
      <c r="T505" s="620"/>
      <c r="U505" s="618"/>
      <c r="V505" s="620"/>
      <c r="W505" s="636" t="s">
        <v>150</v>
      </c>
      <c r="X505" s="620"/>
      <c r="Y505" s="618"/>
      <c r="Z505" s="620"/>
      <c r="AA505" s="611"/>
      <c r="AB505" s="608"/>
    </row>
    <row r="506">
      <c r="A506" s="522">
        <v>1205.0</v>
      </c>
      <c r="B506" s="576">
        <v>45505.0</v>
      </c>
      <c r="C506" s="489" t="s">
        <v>2814</v>
      </c>
      <c r="D506" s="521" t="s">
        <v>66</v>
      </c>
      <c r="E506" s="521" t="s">
        <v>417</v>
      </c>
      <c r="F506" s="521" t="s">
        <v>300</v>
      </c>
      <c r="G506" s="521" t="s">
        <v>50</v>
      </c>
      <c r="H506" s="521" t="s">
        <v>200</v>
      </c>
      <c r="I506" s="491" t="s">
        <v>2815</v>
      </c>
      <c r="J506" s="524" t="s">
        <v>2816</v>
      </c>
      <c r="K506" s="525" t="s">
        <v>265</v>
      </c>
      <c r="L506" s="525" t="s">
        <v>2817</v>
      </c>
      <c r="M506" s="525" t="s">
        <v>267</v>
      </c>
      <c r="N506" s="618"/>
      <c r="O506" s="618"/>
      <c r="P506" s="620"/>
      <c r="Q506" s="618"/>
      <c r="R506" s="620"/>
      <c r="S506" s="618"/>
      <c r="T506" s="620"/>
      <c r="U506" s="618"/>
      <c r="V506" s="620"/>
      <c r="W506" s="625"/>
      <c r="X506" s="620"/>
      <c r="Y506" s="618"/>
      <c r="Z506" s="620"/>
      <c r="AA506" s="545" t="s">
        <v>1218</v>
      </c>
      <c r="AB506" s="608"/>
    </row>
    <row r="507">
      <c r="A507" s="586">
        <v>1204.0</v>
      </c>
      <c r="B507" s="576">
        <v>45183.0</v>
      </c>
      <c r="C507" s="489" t="s">
        <v>2157</v>
      </c>
      <c r="D507" s="521" t="s">
        <v>66</v>
      </c>
      <c r="E507" s="521" t="s">
        <v>506</v>
      </c>
      <c r="F507" s="521" t="s">
        <v>1530</v>
      </c>
      <c r="G507" s="521" t="s">
        <v>2818</v>
      </c>
      <c r="H507" s="521" t="s">
        <v>200</v>
      </c>
      <c r="I507" s="491" t="s">
        <v>2819</v>
      </c>
      <c r="J507" s="492" t="s">
        <v>2820</v>
      </c>
      <c r="K507" s="525" t="s">
        <v>2174</v>
      </c>
      <c r="L507" s="594" t="s">
        <v>138</v>
      </c>
      <c r="M507" s="525" t="s">
        <v>2212</v>
      </c>
      <c r="N507" s="618"/>
      <c r="O507" s="618"/>
      <c r="P507" s="620"/>
      <c r="Q507" s="618"/>
      <c r="R507" s="620"/>
      <c r="S507" s="618"/>
      <c r="T507" s="620"/>
      <c r="U507" s="618"/>
      <c r="V507" s="620"/>
      <c r="W507" s="625"/>
      <c r="X507" s="620"/>
      <c r="Y507" s="618"/>
      <c r="Z507" s="620"/>
      <c r="AA507" s="545">
        <v>2.0250213E7</v>
      </c>
      <c r="AB507" s="608"/>
    </row>
    <row r="508">
      <c r="A508" s="686">
        <v>1201.0</v>
      </c>
      <c r="B508" s="576">
        <v>45503.0</v>
      </c>
      <c r="C508" s="489" t="s">
        <v>2821</v>
      </c>
      <c r="D508" s="521" t="s">
        <v>66</v>
      </c>
      <c r="E508" s="521" t="s">
        <v>885</v>
      </c>
      <c r="F508" s="521" t="s">
        <v>49</v>
      </c>
      <c r="G508" s="522">
        <v>1.578158E7</v>
      </c>
      <c r="H508" s="521" t="s">
        <v>32</v>
      </c>
      <c r="I508" s="491" t="s">
        <v>2822</v>
      </c>
      <c r="J508" s="524" t="s">
        <v>2823</v>
      </c>
      <c r="K508" s="525" t="s">
        <v>1244</v>
      </c>
      <c r="L508" s="619"/>
      <c r="M508" s="618"/>
      <c r="N508" s="618"/>
      <c r="O508" s="618"/>
      <c r="P508" s="620"/>
      <c r="Q508" s="618"/>
      <c r="R508" s="620"/>
      <c r="S508" s="618"/>
      <c r="T508" s="620"/>
      <c r="U508" s="618"/>
      <c r="V508" s="620"/>
      <c r="W508" s="625"/>
      <c r="X508" s="620"/>
      <c r="Y508" s="618"/>
      <c r="Z508" s="620"/>
      <c r="AA508" s="611"/>
      <c r="AB508" s="608"/>
    </row>
    <row r="509">
      <c r="A509" s="686">
        <v>1199.0</v>
      </c>
      <c r="B509" s="576">
        <v>45503.0</v>
      </c>
      <c r="C509" s="489" t="s">
        <v>2821</v>
      </c>
      <c r="D509" s="521" t="s">
        <v>66</v>
      </c>
      <c r="E509" s="521" t="s">
        <v>885</v>
      </c>
      <c r="F509" s="521" t="s">
        <v>49</v>
      </c>
      <c r="G509" s="522">
        <v>37.0</v>
      </c>
      <c r="H509" s="521" t="s">
        <v>32</v>
      </c>
      <c r="I509" s="491" t="s">
        <v>2824</v>
      </c>
      <c r="J509" s="524" t="s">
        <v>2825</v>
      </c>
      <c r="K509" s="525" t="s">
        <v>1244</v>
      </c>
      <c r="L509" s="619"/>
      <c r="M509" s="618"/>
      <c r="N509" s="618"/>
      <c r="O509" s="618"/>
      <c r="P509" s="620"/>
      <c r="Q509" s="618"/>
      <c r="R509" s="620"/>
      <c r="S509" s="618"/>
      <c r="T509" s="620"/>
      <c r="U509" s="618"/>
      <c r="V509" s="620"/>
      <c r="W509" s="625"/>
      <c r="X509" s="620"/>
      <c r="Y509" s="618"/>
      <c r="Z509" s="620"/>
      <c r="AA509" s="611"/>
      <c r="AB509" s="608"/>
    </row>
    <row r="510">
      <c r="A510" s="686">
        <v>1193.0</v>
      </c>
      <c r="B510" s="576">
        <v>45503.0</v>
      </c>
      <c r="C510" s="489" t="s">
        <v>2821</v>
      </c>
      <c r="D510" s="521" t="s">
        <v>66</v>
      </c>
      <c r="E510" s="521" t="s">
        <v>885</v>
      </c>
      <c r="F510" s="521" t="s">
        <v>49</v>
      </c>
      <c r="G510" s="522">
        <v>31.0</v>
      </c>
      <c r="H510" s="521" t="s">
        <v>32</v>
      </c>
      <c r="I510" s="491" t="s">
        <v>2826</v>
      </c>
      <c r="J510" s="524" t="s">
        <v>2825</v>
      </c>
      <c r="K510" s="525" t="s">
        <v>1244</v>
      </c>
      <c r="L510" s="619"/>
      <c r="M510" s="618"/>
      <c r="N510" s="618"/>
      <c r="O510" s="618"/>
      <c r="P510" s="620"/>
      <c r="Q510" s="618"/>
      <c r="R510" s="620"/>
      <c r="S510" s="618"/>
      <c r="T510" s="620"/>
      <c r="U510" s="618"/>
      <c r="V510" s="620"/>
      <c r="W510" s="625"/>
      <c r="X510" s="620"/>
      <c r="Y510" s="618"/>
      <c r="Z510" s="620"/>
      <c r="AA510" s="611"/>
      <c r="AB510" s="608"/>
    </row>
    <row r="511">
      <c r="A511" s="327">
        <v>1188.0</v>
      </c>
      <c r="B511" s="328">
        <v>45498.0</v>
      </c>
      <c r="C511" s="329" t="s">
        <v>2814</v>
      </c>
      <c r="D511" s="329" t="s">
        <v>29</v>
      </c>
      <c r="E511" s="329" t="s">
        <v>417</v>
      </c>
      <c r="F511" s="329" t="s">
        <v>300</v>
      </c>
      <c r="G511" s="329" t="s">
        <v>50</v>
      </c>
      <c r="H511" s="329" t="s">
        <v>200</v>
      </c>
      <c r="I511" s="331" t="s">
        <v>2827</v>
      </c>
      <c r="J511" s="332" t="s">
        <v>2828</v>
      </c>
      <c r="K511" s="623" t="s">
        <v>420</v>
      </c>
      <c r="L511" s="564" t="s">
        <v>554</v>
      </c>
      <c r="M511" s="564" t="s">
        <v>2829</v>
      </c>
      <c r="N511" s="563"/>
      <c r="O511" s="687" t="s">
        <v>1563</v>
      </c>
      <c r="P511" s="688">
        <v>45743.0</v>
      </c>
      <c r="Q511" s="563"/>
      <c r="R511" s="571"/>
      <c r="S511" s="563"/>
      <c r="T511" s="571"/>
      <c r="U511" s="689" t="s">
        <v>62</v>
      </c>
      <c r="V511" s="690">
        <v>45786.0</v>
      </c>
      <c r="W511" s="691"/>
      <c r="X511" s="571"/>
      <c r="Y511" s="563"/>
      <c r="Z511" s="571"/>
      <c r="AA511" s="563"/>
      <c r="AB511" s="566"/>
    </row>
    <row r="512">
      <c r="A512" s="692">
        <v>1187.0</v>
      </c>
      <c r="B512" s="693">
        <v>45498.0</v>
      </c>
      <c r="C512" s="694" t="s">
        <v>2814</v>
      </c>
      <c r="D512" s="694" t="s">
        <v>29</v>
      </c>
      <c r="E512" s="694" t="s">
        <v>417</v>
      </c>
      <c r="F512" s="694" t="s">
        <v>300</v>
      </c>
      <c r="G512" s="694" t="s">
        <v>50</v>
      </c>
      <c r="H512" s="694" t="s">
        <v>200</v>
      </c>
      <c r="I512" s="695" t="s">
        <v>2830</v>
      </c>
      <c r="J512" s="696" t="s">
        <v>2831</v>
      </c>
      <c r="K512" s="697" t="s">
        <v>2832</v>
      </c>
      <c r="L512" s="698" t="s">
        <v>2833</v>
      </c>
      <c r="M512" s="698" t="s">
        <v>2834</v>
      </c>
      <c r="N512" s="699"/>
      <c r="O512" s="700"/>
      <c r="P512" s="701"/>
      <c r="Q512" s="702" t="s">
        <v>62</v>
      </c>
      <c r="R512" s="701"/>
      <c r="S512" s="699"/>
      <c r="T512" s="701"/>
      <c r="U512" s="703" t="s">
        <v>62</v>
      </c>
      <c r="V512" s="704">
        <v>45786.0</v>
      </c>
      <c r="W512" s="705"/>
      <c r="X512" s="701"/>
      <c r="Y512" s="699"/>
      <c r="Z512" s="701"/>
      <c r="AA512" s="563"/>
      <c r="AB512" s="706"/>
    </row>
    <row r="513">
      <c r="A513" s="522">
        <v>1186.0</v>
      </c>
      <c r="B513" s="576">
        <v>45498.0</v>
      </c>
      <c r="C513" s="489" t="s">
        <v>2814</v>
      </c>
      <c r="D513" s="521" t="s">
        <v>66</v>
      </c>
      <c r="E513" s="521" t="s">
        <v>417</v>
      </c>
      <c r="F513" s="521" t="s">
        <v>1467</v>
      </c>
      <c r="G513" s="521" t="s">
        <v>50</v>
      </c>
      <c r="H513" s="521" t="s">
        <v>200</v>
      </c>
      <c r="I513" s="491" t="s">
        <v>2835</v>
      </c>
      <c r="J513" s="524" t="s">
        <v>2836</v>
      </c>
      <c r="K513" s="525" t="s">
        <v>1435</v>
      </c>
      <c r="L513" s="594" t="s">
        <v>343</v>
      </c>
      <c r="M513" s="525" t="s">
        <v>2078</v>
      </c>
      <c r="N513" s="618"/>
      <c r="O513" s="525" t="s">
        <v>62</v>
      </c>
      <c r="P513" s="637">
        <v>45568.0</v>
      </c>
      <c r="Q513" s="618"/>
      <c r="R513" s="620"/>
      <c r="S513" s="618"/>
      <c r="T513" s="620"/>
      <c r="U513" s="618"/>
      <c r="V513" s="620"/>
      <c r="W513" s="625"/>
      <c r="X513" s="620"/>
      <c r="Y513" s="618"/>
      <c r="Z513" s="620"/>
      <c r="AA513" s="545" t="s">
        <v>1218</v>
      </c>
      <c r="AB513" s="608"/>
    </row>
    <row r="514">
      <c r="A514" s="522">
        <v>1182.0</v>
      </c>
      <c r="B514" s="576">
        <v>45497.0</v>
      </c>
      <c r="C514" s="489" t="s">
        <v>2814</v>
      </c>
      <c r="D514" s="521" t="s">
        <v>66</v>
      </c>
      <c r="E514" s="521" t="s">
        <v>417</v>
      </c>
      <c r="F514" s="521" t="s">
        <v>300</v>
      </c>
      <c r="G514" s="522">
        <v>1.634053E7</v>
      </c>
      <c r="H514" s="521" t="s">
        <v>200</v>
      </c>
      <c r="I514" s="491" t="s">
        <v>2837</v>
      </c>
      <c r="J514" s="524" t="s">
        <v>2838</v>
      </c>
      <c r="K514" s="525" t="s">
        <v>265</v>
      </c>
      <c r="L514" s="525" t="s">
        <v>2817</v>
      </c>
      <c r="M514" s="525" t="s">
        <v>267</v>
      </c>
      <c r="N514" s="618"/>
      <c r="O514" s="618"/>
      <c r="P514" s="620"/>
      <c r="Q514" s="618"/>
      <c r="R514" s="620"/>
      <c r="S514" s="618"/>
      <c r="T514" s="620"/>
      <c r="U514" s="618"/>
      <c r="V514" s="620"/>
      <c r="W514" s="625"/>
      <c r="X514" s="620"/>
      <c r="Y514" s="618"/>
      <c r="Z514" s="620"/>
      <c r="AA514" s="545" t="s">
        <v>1218</v>
      </c>
      <c r="AB514" s="608"/>
    </row>
    <row r="515">
      <c r="A515" s="586">
        <v>1180.0</v>
      </c>
      <c r="B515" s="576">
        <v>45496.0</v>
      </c>
      <c r="C515" s="489" t="s">
        <v>2701</v>
      </c>
      <c r="D515" s="707" t="s">
        <v>66</v>
      </c>
      <c r="E515" s="521" t="s">
        <v>1059</v>
      </c>
      <c r="F515" s="521" t="s">
        <v>1060</v>
      </c>
      <c r="G515" s="521">
        <v>1.907047E7</v>
      </c>
      <c r="H515" s="521" t="s">
        <v>135</v>
      </c>
      <c r="I515" s="491" t="s">
        <v>2839</v>
      </c>
      <c r="J515" s="492" t="s">
        <v>2840</v>
      </c>
      <c r="K515" s="525" t="s">
        <v>1063</v>
      </c>
      <c r="L515" s="594" t="s">
        <v>2841</v>
      </c>
      <c r="M515" s="525" t="s">
        <v>2842</v>
      </c>
      <c r="N515" s="618"/>
      <c r="O515" s="525" t="s">
        <v>62</v>
      </c>
      <c r="P515" s="626">
        <v>45863.0</v>
      </c>
      <c r="Q515" s="618"/>
      <c r="R515" s="620"/>
      <c r="S515" s="618"/>
      <c r="T515" s="620"/>
      <c r="U515" s="525" t="s">
        <v>62</v>
      </c>
      <c r="V515" s="626">
        <v>45889.0</v>
      </c>
      <c r="W515" s="618"/>
      <c r="X515" s="620"/>
      <c r="Y515" s="618"/>
      <c r="Z515" s="620"/>
      <c r="AA515" s="611"/>
      <c r="AB515" s="608"/>
    </row>
    <row r="516">
      <c r="A516" s="586">
        <v>1177.0</v>
      </c>
      <c r="B516" s="638">
        <v>45491.0</v>
      </c>
      <c r="C516" s="501" t="s">
        <v>2552</v>
      </c>
      <c r="D516" s="639" t="s">
        <v>66</v>
      </c>
      <c r="E516" s="639" t="s">
        <v>2124</v>
      </c>
      <c r="F516" s="639" t="s">
        <v>2843</v>
      </c>
      <c r="G516" s="586">
        <v>1.9530924E7</v>
      </c>
      <c r="H516" s="639" t="s">
        <v>200</v>
      </c>
      <c r="I516" s="503" t="s">
        <v>2844</v>
      </c>
      <c r="J516" s="504" t="s">
        <v>2845</v>
      </c>
      <c r="K516" s="622"/>
      <c r="L516" s="619"/>
      <c r="M516" s="618"/>
      <c r="N516" s="618"/>
      <c r="O516" s="618"/>
      <c r="P516" s="620"/>
      <c r="Q516" s="618"/>
      <c r="R516" s="620"/>
      <c r="S516" s="618"/>
      <c r="T516" s="620"/>
      <c r="U516" s="618"/>
      <c r="V516" s="620"/>
      <c r="W516" s="708"/>
      <c r="X516" s="620"/>
      <c r="Y516" s="618"/>
      <c r="Z516" s="620"/>
      <c r="AA516" s="541" t="s">
        <v>2846</v>
      </c>
      <c r="AB516" s="608"/>
    </row>
    <row r="517">
      <c r="A517" s="586">
        <v>1175.0</v>
      </c>
      <c r="B517" s="576">
        <v>45491.0</v>
      </c>
      <c r="C517" s="489" t="s">
        <v>2552</v>
      </c>
      <c r="D517" s="521" t="s">
        <v>66</v>
      </c>
      <c r="E517" s="521" t="s">
        <v>2124</v>
      </c>
      <c r="F517" s="521" t="s">
        <v>1652</v>
      </c>
      <c r="G517" s="522">
        <v>1.9530924E7</v>
      </c>
      <c r="H517" s="521" t="s">
        <v>200</v>
      </c>
      <c r="I517" s="491" t="s">
        <v>2847</v>
      </c>
      <c r="J517" s="492" t="s">
        <v>2848</v>
      </c>
      <c r="K517" s="525" t="s">
        <v>2098</v>
      </c>
      <c r="L517" s="709"/>
      <c r="M517" s="622"/>
      <c r="N517" s="618"/>
      <c r="O517" s="618"/>
      <c r="P517" s="620"/>
      <c r="Q517" s="710">
        <v>45625.0</v>
      </c>
      <c r="R517" s="620"/>
      <c r="S517" s="618"/>
      <c r="T517" s="620"/>
      <c r="U517" s="525" t="s">
        <v>1563</v>
      </c>
      <c r="V517" s="626">
        <v>45833.0</v>
      </c>
      <c r="W517" s="621"/>
      <c r="X517" s="620"/>
      <c r="Y517" s="618"/>
      <c r="Z517" s="620"/>
      <c r="AA517" s="611"/>
      <c r="AB517" s="608"/>
    </row>
    <row r="518">
      <c r="A518" s="586">
        <v>1174.0</v>
      </c>
      <c r="B518" s="576">
        <v>45491.0</v>
      </c>
      <c r="C518" s="489" t="s">
        <v>2561</v>
      </c>
      <c r="D518" s="521" t="s">
        <v>29</v>
      </c>
      <c r="E518" s="521" t="s">
        <v>1312</v>
      </c>
      <c r="F518" s="521" t="s">
        <v>1313</v>
      </c>
      <c r="G518" s="521" t="s">
        <v>50</v>
      </c>
      <c r="H518" s="521" t="s">
        <v>200</v>
      </c>
      <c r="I518" s="491" t="s">
        <v>2849</v>
      </c>
      <c r="J518" s="492" t="s">
        <v>2850</v>
      </c>
      <c r="K518" s="525" t="s">
        <v>1316</v>
      </c>
      <c r="L518" s="594" t="s">
        <v>2851</v>
      </c>
      <c r="M518" s="525" t="s">
        <v>2852</v>
      </c>
      <c r="N518" s="618"/>
      <c r="O518" s="618"/>
      <c r="P518" s="620"/>
      <c r="Q518" s="618"/>
      <c r="R518" s="620"/>
      <c r="S518" s="618"/>
      <c r="T518" s="620"/>
      <c r="U518" s="525" t="s">
        <v>1563</v>
      </c>
      <c r="V518" s="626">
        <v>45552.0</v>
      </c>
      <c r="W518" s="621"/>
      <c r="X518" s="620"/>
      <c r="Y518" s="618"/>
      <c r="Z518" s="620"/>
      <c r="AA518" s="669" t="s">
        <v>2853</v>
      </c>
      <c r="AB518" s="608"/>
    </row>
    <row r="519">
      <c r="A519" s="586">
        <v>1173.0</v>
      </c>
      <c r="B519" s="633">
        <v>45490.0</v>
      </c>
      <c r="C519" s="535" t="s">
        <v>219</v>
      </c>
      <c r="D519" s="634" t="s">
        <v>66</v>
      </c>
      <c r="E519" s="634" t="s">
        <v>220</v>
      </c>
      <c r="F519" s="634" t="s">
        <v>160</v>
      </c>
      <c r="G519" s="634">
        <v>1.918098E7</v>
      </c>
      <c r="H519" s="634" t="s">
        <v>120</v>
      </c>
      <c r="I519" s="536" t="s">
        <v>2854</v>
      </c>
      <c r="J519" s="537" t="s">
        <v>2855</v>
      </c>
      <c r="K519" s="618"/>
      <c r="L519" s="619"/>
      <c r="M519" s="618"/>
      <c r="N519" s="618"/>
      <c r="O519" s="618"/>
      <c r="P519" s="620"/>
      <c r="Q519" s="618"/>
      <c r="R519" s="620"/>
      <c r="S519" s="618"/>
      <c r="T519" s="620"/>
      <c r="U519" s="618"/>
      <c r="V519" s="620"/>
      <c r="W519" s="636" t="s">
        <v>150</v>
      </c>
      <c r="X519" s="620"/>
      <c r="Y519" s="618"/>
      <c r="Z519" s="620"/>
      <c r="AA519" s="611"/>
      <c r="AB519" s="608"/>
    </row>
    <row r="520">
      <c r="A520" s="586">
        <v>1170.0</v>
      </c>
      <c r="B520" s="576">
        <v>45183.0</v>
      </c>
      <c r="C520" s="489" t="s">
        <v>2856</v>
      </c>
      <c r="D520" s="521" t="s">
        <v>2857</v>
      </c>
      <c r="E520" s="521" t="s">
        <v>2858</v>
      </c>
      <c r="F520" s="521" t="s">
        <v>49</v>
      </c>
      <c r="G520" s="521">
        <v>1.5781623E7</v>
      </c>
      <c r="H520" s="521" t="s">
        <v>32</v>
      </c>
      <c r="I520" s="491" t="s">
        <v>2859</v>
      </c>
      <c r="J520" s="492" t="s">
        <v>2860</v>
      </c>
      <c r="K520" s="525" t="s">
        <v>1244</v>
      </c>
      <c r="L520" s="594" t="s">
        <v>2534</v>
      </c>
      <c r="M520" s="618"/>
      <c r="N520" s="618"/>
      <c r="O520" s="618"/>
      <c r="P520" s="620"/>
      <c r="Q520" s="618"/>
      <c r="R520" s="620"/>
      <c r="S520" s="618"/>
      <c r="T520" s="620"/>
      <c r="U520" s="525" t="s">
        <v>62</v>
      </c>
      <c r="V520" s="626">
        <v>45706.0</v>
      </c>
      <c r="W520" s="621"/>
      <c r="X520" s="620"/>
      <c r="Y520" s="618"/>
      <c r="Z520" s="620"/>
      <c r="AA520" s="669"/>
      <c r="AB520" s="608"/>
    </row>
    <row r="521">
      <c r="A521" s="522">
        <v>1168.0</v>
      </c>
      <c r="B521" s="576">
        <v>45478.0</v>
      </c>
      <c r="C521" s="489" t="s">
        <v>2861</v>
      </c>
      <c r="D521" s="521" t="s">
        <v>66</v>
      </c>
      <c r="E521" s="521" t="s">
        <v>2862</v>
      </c>
      <c r="F521" s="521" t="s">
        <v>2863</v>
      </c>
      <c r="G521" s="522">
        <v>1.7010019E7</v>
      </c>
      <c r="H521" s="521" t="s">
        <v>32</v>
      </c>
      <c r="I521" s="491" t="s">
        <v>2864</v>
      </c>
      <c r="J521" s="524" t="s">
        <v>2865</v>
      </c>
      <c r="K521" s="618"/>
      <c r="L521" s="619"/>
      <c r="M521" s="618"/>
      <c r="N521" s="618"/>
      <c r="O521" s="618"/>
      <c r="P521" s="620"/>
      <c r="Q521" s="618"/>
      <c r="R521" s="620"/>
      <c r="S521" s="618"/>
      <c r="T521" s="620"/>
      <c r="U521" s="618"/>
      <c r="V521" s="620"/>
      <c r="W521" s="625"/>
      <c r="X521" s="620"/>
      <c r="Y521" s="618"/>
      <c r="Z521" s="620"/>
      <c r="AA521" s="611"/>
      <c r="AB521" s="608"/>
    </row>
    <row r="522">
      <c r="A522" s="586">
        <v>1162.0</v>
      </c>
      <c r="B522" s="633">
        <v>45471.0</v>
      </c>
      <c r="C522" s="711" t="s">
        <v>2866</v>
      </c>
      <c r="D522" s="634" t="s">
        <v>66</v>
      </c>
      <c r="E522" s="634" t="s">
        <v>337</v>
      </c>
      <c r="F522" s="634" t="s">
        <v>2867</v>
      </c>
      <c r="G522" s="634">
        <v>1.90407E7</v>
      </c>
      <c r="H522" s="535" t="s">
        <v>570</v>
      </c>
      <c r="I522" s="536" t="s">
        <v>2868</v>
      </c>
      <c r="J522" s="537" t="s">
        <v>2869</v>
      </c>
      <c r="K522" s="618"/>
      <c r="L522" s="619"/>
      <c r="M522" s="618"/>
      <c r="N522" s="618"/>
      <c r="O522" s="618"/>
      <c r="P522" s="620"/>
      <c r="Q522" s="618"/>
      <c r="R522" s="620"/>
      <c r="S522" s="618"/>
      <c r="T522" s="620"/>
      <c r="U522" s="618"/>
      <c r="V522" s="620"/>
      <c r="W522" s="636" t="s">
        <v>150</v>
      </c>
      <c r="X522" s="620"/>
      <c r="Y522" s="618"/>
      <c r="Z522" s="620"/>
      <c r="AA522" s="611"/>
      <c r="AB522" s="608"/>
    </row>
    <row r="523">
      <c r="A523" s="686">
        <v>1160.0</v>
      </c>
      <c r="B523" s="576">
        <v>45470.0</v>
      </c>
      <c r="C523" s="489" t="s">
        <v>2821</v>
      </c>
      <c r="D523" s="521" t="s">
        <v>66</v>
      </c>
      <c r="E523" s="521" t="s">
        <v>885</v>
      </c>
      <c r="F523" s="521" t="s">
        <v>49</v>
      </c>
      <c r="G523" s="522">
        <v>30.0</v>
      </c>
      <c r="H523" s="521" t="s">
        <v>32</v>
      </c>
      <c r="I523" s="491" t="s">
        <v>2870</v>
      </c>
      <c r="J523" s="524" t="s">
        <v>2871</v>
      </c>
      <c r="K523" s="525" t="s">
        <v>1244</v>
      </c>
      <c r="L523" s="594" t="s">
        <v>2872</v>
      </c>
      <c r="M523" s="525" t="s">
        <v>610</v>
      </c>
      <c r="N523" s="618"/>
      <c r="O523" s="618"/>
      <c r="P523" s="620"/>
      <c r="Q523" s="618"/>
      <c r="R523" s="620"/>
      <c r="S523" s="618"/>
      <c r="T523" s="620"/>
      <c r="U523" s="618"/>
      <c r="V523" s="620"/>
      <c r="W523" s="625"/>
      <c r="X523" s="620"/>
      <c r="Y523" s="618"/>
      <c r="Z523" s="620"/>
      <c r="AA523" s="611"/>
      <c r="AB523" s="608"/>
    </row>
    <row r="524">
      <c r="A524" s="686">
        <v>1159.0</v>
      </c>
      <c r="B524" s="576">
        <v>45470.0</v>
      </c>
      <c r="C524" s="489" t="s">
        <v>2821</v>
      </c>
      <c r="D524" s="521" t="s">
        <v>66</v>
      </c>
      <c r="E524" s="521" t="s">
        <v>885</v>
      </c>
      <c r="F524" s="521" t="s">
        <v>49</v>
      </c>
      <c r="G524" s="712">
        <v>29.0</v>
      </c>
      <c r="H524" s="521" t="s">
        <v>32</v>
      </c>
      <c r="I524" s="491" t="s">
        <v>2870</v>
      </c>
      <c r="J524" s="524" t="s">
        <v>2871</v>
      </c>
      <c r="K524" s="525" t="s">
        <v>1244</v>
      </c>
      <c r="L524" s="594" t="s">
        <v>2873</v>
      </c>
      <c r="M524" s="594" t="s">
        <v>2874</v>
      </c>
      <c r="N524" s="618"/>
      <c r="O524" s="618"/>
      <c r="P524" s="620"/>
      <c r="Q524" s="618"/>
      <c r="R524" s="620"/>
      <c r="S524" s="618"/>
      <c r="T524" s="620"/>
      <c r="U524" s="618"/>
      <c r="V524" s="620"/>
      <c r="W524" s="625"/>
      <c r="X524" s="620"/>
      <c r="Y524" s="618"/>
      <c r="Z524" s="620"/>
      <c r="AA524" s="611"/>
      <c r="AB524" s="608"/>
    </row>
    <row r="525">
      <c r="A525" s="686">
        <v>1156.0</v>
      </c>
      <c r="B525" s="576">
        <v>45470.0</v>
      </c>
      <c r="C525" s="489" t="s">
        <v>2821</v>
      </c>
      <c r="D525" s="521" t="s">
        <v>66</v>
      </c>
      <c r="E525" s="521" t="s">
        <v>885</v>
      </c>
      <c r="F525" s="521" t="s">
        <v>49</v>
      </c>
      <c r="G525" s="712">
        <v>26.0</v>
      </c>
      <c r="H525" s="521" t="s">
        <v>32</v>
      </c>
      <c r="I525" s="491" t="s">
        <v>2870</v>
      </c>
      <c r="J525" s="524" t="s">
        <v>2875</v>
      </c>
      <c r="K525" s="525" t="s">
        <v>1244</v>
      </c>
      <c r="L525" s="594" t="s">
        <v>2876</v>
      </c>
      <c r="M525" s="525" t="s">
        <v>610</v>
      </c>
      <c r="N525" s="618"/>
      <c r="O525" s="618"/>
      <c r="P525" s="620"/>
      <c r="Q525" s="618"/>
      <c r="R525" s="620"/>
      <c r="S525" s="618"/>
      <c r="T525" s="620"/>
      <c r="U525" s="618"/>
      <c r="V525" s="620"/>
      <c r="W525" s="625"/>
      <c r="X525" s="620"/>
      <c r="Y525" s="618"/>
      <c r="Z525" s="620"/>
      <c r="AA525" s="611"/>
      <c r="AB525" s="608"/>
    </row>
    <row r="526">
      <c r="A526" s="686">
        <v>1150.0</v>
      </c>
      <c r="B526" s="576">
        <v>45470.0</v>
      </c>
      <c r="C526" s="489" t="s">
        <v>2821</v>
      </c>
      <c r="D526" s="521" t="s">
        <v>66</v>
      </c>
      <c r="E526" s="521" t="s">
        <v>885</v>
      </c>
      <c r="F526" s="521" t="s">
        <v>49</v>
      </c>
      <c r="G526" s="522">
        <v>20.0</v>
      </c>
      <c r="H526" s="521" t="s">
        <v>32</v>
      </c>
      <c r="I526" s="491" t="s">
        <v>2870</v>
      </c>
      <c r="J526" s="524" t="s">
        <v>2871</v>
      </c>
      <c r="K526" s="525" t="s">
        <v>1244</v>
      </c>
      <c r="L526" s="594" t="s">
        <v>2872</v>
      </c>
      <c r="M526" s="525" t="s">
        <v>610</v>
      </c>
      <c r="N526" s="618"/>
      <c r="O526" s="618"/>
      <c r="P526" s="620"/>
      <c r="Q526" s="618"/>
      <c r="R526" s="620"/>
      <c r="S526" s="618"/>
      <c r="T526" s="620"/>
      <c r="U526" s="618"/>
      <c r="V526" s="620"/>
      <c r="W526" s="625"/>
      <c r="X526" s="620"/>
      <c r="Y526" s="618"/>
      <c r="Z526" s="620"/>
      <c r="AA526" s="611"/>
      <c r="AB526" s="608"/>
    </row>
    <row r="527">
      <c r="A527" s="686">
        <v>1144.0</v>
      </c>
      <c r="B527" s="576">
        <v>45470.0</v>
      </c>
      <c r="C527" s="489" t="s">
        <v>2821</v>
      </c>
      <c r="D527" s="521" t="s">
        <v>66</v>
      </c>
      <c r="E527" s="521" t="s">
        <v>885</v>
      </c>
      <c r="F527" s="521" t="s">
        <v>49</v>
      </c>
      <c r="G527" s="522">
        <v>14.0</v>
      </c>
      <c r="H527" s="521" t="s">
        <v>32</v>
      </c>
      <c r="I527" s="491" t="s">
        <v>2870</v>
      </c>
      <c r="J527" s="524" t="s">
        <v>2871</v>
      </c>
      <c r="K527" s="525" t="s">
        <v>1244</v>
      </c>
      <c r="L527" s="594" t="s">
        <v>2877</v>
      </c>
      <c r="M527" s="525" t="s">
        <v>610</v>
      </c>
      <c r="N527" s="618"/>
      <c r="O527" s="618"/>
      <c r="P527" s="620"/>
      <c r="Q527" s="618"/>
      <c r="R527" s="620"/>
      <c r="S527" s="618"/>
      <c r="T527" s="620"/>
      <c r="U527" s="618"/>
      <c r="V527" s="620"/>
      <c r="W527" s="625"/>
      <c r="X527" s="620"/>
      <c r="Y527" s="618"/>
      <c r="Z527" s="620"/>
      <c r="AA527" s="611"/>
      <c r="AB527" s="608"/>
    </row>
    <row r="528">
      <c r="A528" s="686">
        <v>1143.0</v>
      </c>
      <c r="B528" s="576">
        <v>45470.0</v>
      </c>
      <c r="C528" s="489" t="s">
        <v>2821</v>
      </c>
      <c r="D528" s="521" t="s">
        <v>66</v>
      </c>
      <c r="E528" s="521" t="s">
        <v>885</v>
      </c>
      <c r="F528" s="521" t="s">
        <v>49</v>
      </c>
      <c r="G528" s="522">
        <v>13.0</v>
      </c>
      <c r="H528" s="521" t="s">
        <v>32</v>
      </c>
      <c r="I528" s="491" t="s">
        <v>2870</v>
      </c>
      <c r="J528" s="524" t="s">
        <v>2871</v>
      </c>
      <c r="K528" s="525" t="s">
        <v>1244</v>
      </c>
      <c r="L528" s="594" t="s">
        <v>2878</v>
      </c>
      <c r="M528" s="594" t="s">
        <v>2874</v>
      </c>
      <c r="N528" s="618"/>
      <c r="O528" s="618"/>
      <c r="P528" s="620"/>
      <c r="Q528" s="618"/>
      <c r="R528" s="620"/>
      <c r="S528" s="618"/>
      <c r="T528" s="620"/>
      <c r="U528" s="618"/>
      <c r="V528" s="620"/>
      <c r="W528" s="625"/>
      <c r="X528" s="620"/>
      <c r="Y528" s="618"/>
      <c r="Z528" s="620"/>
      <c r="AA528" s="611"/>
      <c r="AB528" s="608"/>
    </row>
    <row r="529">
      <c r="A529" s="686">
        <v>1142.0</v>
      </c>
      <c r="B529" s="576">
        <v>45470.0</v>
      </c>
      <c r="C529" s="489" t="s">
        <v>2821</v>
      </c>
      <c r="D529" s="521" t="s">
        <v>66</v>
      </c>
      <c r="E529" s="521" t="s">
        <v>885</v>
      </c>
      <c r="F529" s="521" t="s">
        <v>49</v>
      </c>
      <c r="G529" s="522">
        <v>12.0</v>
      </c>
      <c r="H529" s="521" t="s">
        <v>32</v>
      </c>
      <c r="I529" s="491" t="s">
        <v>2870</v>
      </c>
      <c r="J529" s="524" t="s">
        <v>2871</v>
      </c>
      <c r="K529" s="525" t="s">
        <v>1244</v>
      </c>
      <c r="L529" s="594" t="s">
        <v>2872</v>
      </c>
      <c r="M529" s="525" t="s">
        <v>610</v>
      </c>
      <c r="N529" s="618"/>
      <c r="O529" s="618"/>
      <c r="P529" s="620"/>
      <c r="Q529" s="618"/>
      <c r="R529" s="620"/>
      <c r="S529" s="618"/>
      <c r="T529" s="620"/>
      <c r="U529" s="618"/>
      <c r="V529" s="620"/>
      <c r="W529" s="625"/>
      <c r="X529" s="620"/>
      <c r="Y529" s="618"/>
      <c r="Z529" s="620"/>
      <c r="AA529" s="611"/>
      <c r="AB529" s="608"/>
    </row>
    <row r="530">
      <c r="A530" s="686">
        <v>1141.0</v>
      </c>
      <c r="B530" s="576">
        <v>45470.0</v>
      </c>
      <c r="C530" s="489" t="s">
        <v>2821</v>
      </c>
      <c r="D530" s="521" t="s">
        <v>66</v>
      </c>
      <c r="E530" s="521" t="s">
        <v>885</v>
      </c>
      <c r="F530" s="521" t="s">
        <v>49</v>
      </c>
      <c r="G530" s="522">
        <v>11.0</v>
      </c>
      <c r="H530" s="521" t="s">
        <v>32</v>
      </c>
      <c r="I530" s="491" t="s">
        <v>2870</v>
      </c>
      <c r="J530" s="524" t="s">
        <v>2871</v>
      </c>
      <c r="K530" s="525" t="s">
        <v>1244</v>
      </c>
      <c r="L530" s="594" t="s">
        <v>2879</v>
      </c>
      <c r="M530" s="594" t="s">
        <v>2874</v>
      </c>
      <c r="N530" s="618"/>
      <c r="O530" s="618"/>
      <c r="P530" s="620"/>
      <c r="Q530" s="618"/>
      <c r="R530" s="620"/>
      <c r="S530" s="618"/>
      <c r="T530" s="620"/>
      <c r="U530" s="618"/>
      <c r="V530" s="620"/>
      <c r="W530" s="625"/>
      <c r="X530" s="620"/>
      <c r="Y530" s="618"/>
      <c r="Z530" s="620"/>
      <c r="AA530" s="611"/>
      <c r="AB530" s="608"/>
    </row>
    <row r="531">
      <c r="A531" s="586">
        <v>1139.0</v>
      </c>
      <c r="B531" s="576">
        <v>45470.0</v>
      </c>
      <c r="C531" s="489" t="s">
        <v>1760</v>
      </c>
      <c r="D531" s="521" t="s">
        <v>66</v>
      </c>
      <c r="E531" s="521" t="s">
        <v>768</v>
      </c>
      <c r="F531" s="521" t="s">
        <v>1380</v>
      </c>
      <c r="G531" s="521" t="s">
        <v>50</v>
      </c>
      <c r="H531" s="521" t="s">
        <v>32</v>
      </c>
      <c r="I531" s="491" t="s">
        <v>2880</v>
      </c>
      <c r="J531" s="492" t="s">
        <v>2881</v>
      </c>
      <c r="K531" s="525" t="s">
        <v>2882</v>
      </c>
      <c r="L531" s="525" t="s">
        <v>2883</v>
      </c>
      <c r="M531" s="525" t="s">
        <v>2884</v>
      </c>
      <c r="N531" s="618"/>
      <c r="O531" s="618"/>
      <c r="P531" s="620"/>
      <c r="Q531" s="618"/>
      <c r="R531" s="620"/>
      <c r="S531" s="618"/>
      <c r="T531" s="620"/>
      <c r="U531" s="525" t="s">
        <v>1563</v>
      </c>
      <c r="V531" s="525" t="s">
        <v>258</v>
      </c>
      <c r="W531" s="621"/>
      <c r="X531" s="620"/>
      <c r="Y531" s="618"/>
      <c r="Z531" s="620"/>
      <c r="AA531" s="611"/>
      <c r="AB531" s="608"/>
    </row>
    <row r="532">
      <c r="A532" s="586">
        <v>1136.0</v>
      </c>
      <c r="B532" s="576">
        <v>45469.0</v>
      </c>
      <c r="C532" s="489" t="s">
        <v>2885</v>
      </c>
      <c r="D532" s="521" t="s">
        <v>66</v>
      </c>
      <c r="E532" s="521" t="s">
        <v>1386</v>
      </c>
      <c r="F532" s="521" t="s">
        <v>1467</v>
      </c>
      <c r="G532" s="522">
        <v>1.5800315E7</v>
      </c>
      <c r="H532" s="521" t="s">
        <v>200</v>
      </c>
      <c r="I532" s="491" t="s">
        <v>2886</v>
      </c>
      <c r="J532" s="492" t="s">
        <v>2887</v>
      </c>
      <c r="K532" s="525" t="s">
        <v>1561</v>
      </c>
      <c r="L532" s="525" t="s">
        <v>2411</v>
      </c>
      <c r="M532" s="525" t="s">
        <v>2888</v>
      </c>
      <c r="N532" s="618"/>
      <c r="O532" s="713" t="s">
        <v>62</v>
      </c>
      <c r="P532" s="626">
        <v>45713.0</v>
      </c>
      <c r="Q532" s="618"/>
      <c r="R532" s="620"/>
      <c r="S532" s="618"/>
      <c r="T532" s="620"/>
      <c r="U532" s="713" t="s">
        <v>1563</v>
      </c>
      <c r="V532" s="626">
        <v>45737.0</v>
      </c>
      <c r="W532" s="621"/>
      <c r="X532" s="620"/>
      <c r="Y532" s="618"/>
      <c r="Z532" s="620"/>
      <c r="AA532" s="714" t="s">
        <v>2889</v>
      </c>
      <c r="AB532" s="608"/>
    </row>
    <row r="533">
      <c r="A533" s="522">
        <v>1134.0</v>
      </c>
      <c r="B533" s="576">
        <v>45402.0</v>
      </c>
      <c r="C533" s="489" t="s">
        <v>727</v>
      </c>
      <c r="D533" s="521" t="s">
        <v>359</v>
      </c>
      <c r="E533" s="521" t="s">
        <v>728</v>
      </c>
      <c r="F533" s="521" t="s">
        <v>2890</v>
      </c>
      <c r="G533" s="521" t="s">
        <v>2891</v>
      </c>
      <c r="H533" s="521" t="s">
        <v>103</v>
      </c>
      <c r="I533" s="491" t="s">
        <v>2892</v>
      </c>
      <c r="J533" s="524" t="s">
        <v>2893</v>
      </c>
      <c r="K533" s="618"/>
      <c r="L533" s="618"/>
      <c r="M533" s="618"/>
      <c r="N533" s="618"/>
      <c r="O533" s="618"/>
      <c r="P533" s="620"/>
      <c r="Q533" s="618"/>
      <c r="R533" s="620"/>
      <c r="S533" s="594" t="s">
        <v>2327</v>
      </c>
      <c r="T533" s="620"/>
      <c r="U533" s="618"/>
      <c r="V533" s="620"/>
      <c r="W533" s="625"/>
      <c r="X533" s="620"/>
      <c r="Y533" s="618"/>
      <c r="Z533" s="620"/>
      <c r="AA533" s="611"/>
      <c r="AB533" s="608"/>
    </row>
    <row r="534">
      <c r="A534" s="686">
        <v>1129.0</v>
      </c>
      <c r="B534" s="576">
        <v>45463.0</v>
      </c>
      <c r="C534" s="489" t="s">
        <v>2821</v>
      </c>
      <c r="D534" s="521" t="s">
        <v>66</v>
      </c>
      <c r="E534" s="521" t="s">
        <v>885</v>
      </c>
      <c r="F534" s="521" t="s">
        <v>49</v>
      </c>
      <c r="G534" s="522">
        <v>7.0</v>
      </c>
      <c r="H534" s="521" t="s">
        <v>32</v>
      </c>
      <c r="I534" s="491" t="s">
        <v>2870</v>
      </c>
      <c r="J534" s="524" t="s">
        <v>2894</v>
      </c>
      <c r="K534" s="525" t="s">
        <v>1244</v>
      </c>
      <c r="L534" s="594" t="s">
        <v>2895</v>
      </c>
      <c r="M534" s="525" t="s">
        <v>610</v>
      </c>
      <c r="N534" s="618"/>
      <c r="O534" s="618"/>
      <c r="P534" s="620"/>
      <c r="Q534" s="618"/>
      <c r="R534" s="620"/>
      <c r="S534" s="525" t="s">
        <v>150</v>
      </c>
      <c r="T534" s="620"/>
      <c r="U534" s="618"/>
      <c r="V534" s="620"/>
      <c r="W534" s="625"/>
      <c r="X534" s="620"/>
      <c r="Y534" s="618"/>
      <c r="Z534" s="620"/>
      <c r="AA534" s="611"/>
      <c r="AB534" s="608"/>
    </row>
    <row r="535">
      <c r="A535" s="686">
        <v>1128.0</v>
      </c>
      <c r="B535" s="576">
        <v>45463.0</v>
      </c>
      <c r="C535" s="489" t="s">
        <v>2821</v>
      </c>
      <c r="D535" s="521" t="s">
        <v>66</v>
      </c>
      <c r="E535" s="521" t="s">
        <v>885</v>
      </c>
      <c r="F535" s="521" t="s">
        <v>49</v>
      </c>
      <c r="G535" s="522">
        <v>8.0</v>
      </c>
      <c r="H535" s="521" t="s">
        <v>32</v>
      </c>
      <c r="I535" s="491" t="s">
        <v>2870</v>
      </c>
      <c r="J535" s="524" t="s">
        <v>2896</v>
      </c>
      <c r="K535" s="525" t="s">
        <v>1244</v>
      </c>
      <c r="L535" s="594" t="s">
        <v>2895</v>
      </c>
      <c r="M535" s="525" t="s">
        <v>610</v>
      </c>
      <c r="N535" s="618"/>
      <c r="O535" s="618"/>
      <c r="P535" s="620"/>
      <c r="Q535" s="618"/>
      <c r="R535" s="620"/>
      <c r="S535" s="525" t="s">
        <v>150</v>
      </c>
      <c r="T535" s="620"/>
      <c r="U535" s="618"/>
      <c r="V535" s="620"/>
      <c r="W535" s="625"/>
      <c r="X535" s="620"/>
      <c r="Y535" s="618"/>
      <c r="Z535" s="620"/>
      <c r="AA535" s="611"/>
      <c r="AB535" s="608"/>
    </row>
    <row r="536">
      <c r="A536" s="686">
        <v>1127.0</v>
      </c>
      <c r="B536" s="576">
        <v>45463.0</v>
      </c>
      <c r="C536" s="489" t="s">
        <v>2821</v>
      </c>
      <c r="D536" s="521" t="s">
        <v>66</v>
      </c>
      <c r="E536" s="521" t="s">
        <v>885</v>
      </c>
      <c r="F536" s="521" t="s">
        <v>49</v>
      </c>
      <c r="G536" s="522">
        <v>10.0</v>
      </c>
      <c r="H536" s="521" t="s">
        <v>32</v>
      </c>
      <c r="I536" s="491" t="s">
        <v>2870</v>
      </c>
      <c r="J536" s="524" t="s">
        <v>2897</v>
      </c>
      <c r="K536" s="525" t="s">
        <v>1244</v>
      </c>
      <c r="L536" s="594" t="s">
        <v>2895</v>
      </c>
      <c r="M536" s="594" t="s">
        <v>2874</v>
      </c>
      <c r="N536" s="618"/>
      <c r="O536" s="618"/>
      <c r="P536" s="620"/>
      <c r="Q536" s="618"/>
      <c r="R536" s="620"/>
      <c r="S536" s="525" t="s">
        <v>150</v>
      </c>
      <c r="T536" s="620"/>
      <c r="U536" s="618"/>
      <c r="V536" s="620"/>
      <c r="W536" s="625"/>
      <c r="X536" s="620"/>
      <c r="Y536" s="618"/>
      <c r="Z536" s="620"/>
      <c r="AA536" s="611"/>
      <c r="AB536" s="608"/>
    </row>
    <row r="537">
      <c r="A537" s="686">
        <v>1126.0</v>
      </c>
      <c r="B537" s="576">
        <v>45463.0</v>
      </c>
      <c r="C537" s="489" t="s">
        <v>2821</v>
      </c>
      <c r="D537" s="521" t="s">
        <v>66</v>
      </c>
      <c r="E537" s="521" t="s">
        <v>885</v>
      </c>
      <c r="F537" s="521" t="s">
        <v>49</v>
      </c>
      <c r="G537" s="522">
        <v>5.0</v>
      </c>
      <c r="H537" s="521" t="s">
        <v>32</v>
      </c>
      <c r="I537" s="491" t="s">
        <v>2870</v>
      </c>
      <c r="J537" s="524" t="s">
        <v>2898</v>
      </c>
      <c r="K537" s="525" t="s">
        <v>1244</v>
      </c>
      <c r="L537" s="594" t="s">
        <v>2899</v>
      </c>
      <c r="M537" s="525" t="s">
        <v>610</v>
      </c>
      <c r="N537" s="618"/>
      <c r="O537" s="618"/>
      <c r="P537" s="620"/>
      <c r="Q537" s="618"/>
      <c r="R537" s="620"/>
      <c r="S537" s="525" t="s">
        <v>150</v>
      </c>
      <c r="T537" s="620"/>
      <c r="U537" s="618"/>
      <c r="V537" s="620"/>
      <c r="W537" s="625"/>
      <c r="X537" s="620"/>
      <c r="Y537" s="618"/>
      <c r="Z537" s="620"/>
      <c r="AA537" s="611"/>
      <c r="AB537" s="608"/>
    </row>
    <row r="538">
      <c r="A538" s="686">
        <v>1125.0</v>
      </c>
      <c r="B538" s="576">
        <v>45463.0</v>
      </c>
      <c r="C538" s="489" t="s">
        <v>2821</v>
      </c>
      <c r="D538" s="521" t="s">
        <v>66</v>
      </c>
      <c r="E538" s="521" t="s">
        <v>885</v>
      </c>
      <c r="F538" s="521" t="s">
        <v>49</v>
      </c>
      <c r="G538" s="522">
        <v>2.0</v>
      </c>
      <c r="H538" s="521" t="s">
        <v>32</v>
      </c>
      <c r="I538" s="491" t="s">
        <v>2870</v>
      </c>
      <c r="J538" s="524" t="s">
        <v>2900</v>
      </c>
      <c r="K538" s="525" t="s">
        <v>1244</v>
      </c>
      <c r="L538" s="594" t="s">
        <v>2901</v>
      </c>
      <c r="M538" s="525" t="s">
        <v>610</v>
      </c>
      <c r="N538" s="618"/>
      <c r="O538" s="618"/>
      <c r="P538" s="620"/>
      <c r="Q538" s="618"/>
      <c r="R538" s="620"/>
      <c r="S538" s="525" t="s">
        <v>150</v>
      </c>
      <c r="T538" s="620"/>
      <c r="U538" s="618"/>
      <c r="V538" s="620"/>
      <c r="W538" s="625"/>
      <c r="X538" s="620"/>
      <c r="Y538" s="618"/>
      <c r="Z538" s="620"/>
      <c r="AA538" s="611"/>
      <c r="AB538" s="608"/>
    </row>
    <row r="539">
      <c r="A539" s="652">
        <v>1123.0</v>
      </c>
      <c r="B539" s="653">
        <v>45462.0</v>
      </c>
      <c r="C539" s="508" t="s">
        <v>2902</v>
      </c>
      <c r="D539" s="715" t="s">
        <v>29</v>
      </c>
      <c r="E539" s="654" t="s">
        <v>48</v>
      </c>
      <c r="F539" s="654" t="s">
        <v>49</v>
      </c>
      <c r="G539" s="654" t="s">
        <v>50</v>
      </c>
      <c r="H539" s="654" t="s">
        <v>51</v>
      </c>
      <c r="I539" s="509" t="s">
        <v>2903</v>
      </c>
      <c r="J539" s="510" t="s">
        <v>2904</v>
      </c>
      <c r="K539" s="660" t="s">
        <v>143</v>
      </c>
      <c r="L539" s="716" t="s">
        <v>2905</v>
      </c>
      <c r="M539" s="716" t="s">
        <v>2906</v>
      </c>
      <c r="N539" s="658"/>
      <c r="O539" s="656"/>
      <c r="P539" s="659"/>
      <c r="Q539" s="658"/>
      <c r="R539" s="659"/>
      <c r="S539" s="716" t="s">
        <v>62</v>
      </c>
      <c r="T539" s="661">
        <v>45982.0</v>
      </c>
      <c r="U539" s="660" t="s">
        <v>62</v>
      </c>
      <c r="V539" s="661">
        <v>46002.0</v>
      </c>
      <c r="W539" s="658"/>
      <c r="X539" s="659"/>
      <c r="Y539" s="658"/>
      <c r="Z539" s="659"/>
      <c r="AA539" s="717" t="s">
        <v>46</v>
      </c>
      <c r="AB539" s="718" t="s">
        <v>144</v>
      </c>
    </row>
    <row r="540">
      <c r="A540" s="586">
        <v>1122.0</v>
      </c>
      <c r="B540" s="638">
        <v>45462.0</v>
      </c>
      <c r="C540" s="501" t="s">
        <v>118</v>
      </c>
      <c r="D540" s="639" t="s">
        <v>66</v>
      </c>
      <c r="E540" s="639" t="s">
        <v>119</v>
      </c>
      <c r="F540" s="639" t="s">
        <v>49</v>
      </c>
      <c r="G540" s="639" t="s">
        <v>50</v>
      </c>
      <c r="H540" s="639" t="s">
        <v>120</v>
      </c>
      <c r="I540" s="503" t="s">
        <v>2907</v>
      </c>
      <c r="J540" s="492" t="s">
        <v>2908</v>
      </c>
      <c r="K540" s="525" t="s">
        <v>123</v>
      </c>
      <c r="L540" s="525" t="s">
        <v>124</v>
      </c>
      <c r="M540" s="520" t="s">
        <v>125</v>
      </c>
      <c r="N540" s="618"/>
      <c r="O540" s="618"/>
      <c r="P540" s="620"/>
      <c r="Q540" s="618"/>
      <c r="R540" s="620"/>
      <c r="S540" s="618"/>
      <c r="T540" s="620"/>
      <c r="U540" s="618"/>
      <c r="V540" s="620"/>
      <c r="W540" s="621"/>
      <c r="X540" s="620"/>
      <c r="Y540" s="618"/>
      <c r="Z540" s="620"/>
      <c r="AA540" s="611"/>
      <c r="AB540" s="545" t="s">
        <v>2909</v>
      </c>
    </row>
    <row r="541">
      <c r="A541" s="327">
        <v>1113.0</v>
      </c>
      <c r="B541" s="546">
        <v>45450.0</v>
      </c>
      <c r="C541" s="547" t="s">
        <v>2910</v>
      </c>
      <c r="D541" s="547" t="s">
        <v>66</v>
      </c>
      <c r="E541" s="547" t="s">
        <v>588</v>
      </c>
      <c r="F541" s="547"/>
      <c r="G541" s="549">
        <v>1.9500043E7</v>
      </c>
      <c r="H541" s="547" t="s">
        <v>51</v>
      </c>
      <c r="I541" s="550" t="s">
        <v>2911</v>
      </c>
      <c r="J541" s="551" t="s">
        <v>2912</v>
      </c>
      <c r="K541" s="539"/>
      <c r="L541" s="563"/>
      <c r="M541" s="563"/>
      <c r="N541" s="563"/>
      <c r="O541" s="539"/>
      <c r="P541" s="571"/>
      <c r="Q541" s="563"/>
      <c r="R541" s="571"/>
      <c r="S541" s="563"/>
      <c r="T541" s="571"/>
      <c r="U541" s="539"/>
      <c r="V541" s="571"/>
      <c r="W541" s="630" t="s">
        <v>150</v>
      </c>
      <c r="X541" s="571"/>
      <c r="Y541" s="563"/>
      <c r="Z541" s="571"/>
      <c r="AA541" s="553" t="s">
        <v>2913</v>
      </c>
      <c r="AB541" s="568" t="s">
        <v>2914</v>
      </c>
    </row>
    <row r="542">
      <c r="A542" s="586">
        <v>1112.0</v>
      </c>
      <c r="B542" s="576">
        <v>45450.0</v>
      </c>
      <c r="C542" s="489" t="s">
        <v>1629</v>
      </c>
      <c r="D542" s="521" t="s">
        <v>66</v>
      </c>
      <c r="E542" s="521" t="s">
        <v>67</v>
      </c>
      <c r="F542" s="521" t="s">
        <v>49</v>
      </c>
      <c r="G542" s="521" t="s">
        <v>50</v>
      </c>
      <c r="H542" s="521" t="s">
        <v>42</v>
      </c>
      <c r="I542" s="491" t="s">
        <v>2915</v>
      </c>
      <c r="J542" s="492" t="s">
        <v>2916</v>
      </c>
      <c r="K542" s="525" t="s">
        <v>129</v>
      </c>
      <c r="L542" s="525" t="s">
        <v>585</v>
      </c>
      <c r="M542" s="525" t="s">
        <v>586</v>
      </c>
      <c r="N542" s="618"/>
      <c r="O542" s="525" t="s">
        <v>2917</v>
      </c>
      <c r="P542" s="626">
        <v>45846.0</v>
      </c>
      <c r="Q542" s="618"/>
      <c r="R542" s="620"/>
      <c r="S542" s="618"/>
      <c r="T542" s="620"/>
      <c r="U542" s="525" t="s">
        <v>2917</v>
      </c>
      <c r="V542" s="626">
        <v>45846.0</v>
      </c>
      <c r="W542" s="618"/>
      <c r="X542" s="620"/>
      <c r="Y542" s="618"/>
      <c r="Z542" s="620"/>
      <c r="AA542" s="541" t="s">
        <v>2067</v>
      </c>
      <c r="AB542" s="545" t="s">
        <v>2918</v>
      </c>
    </row>
    <row r="543">
      <c r="A543" s="719">
        <v>1110.0</v>
      </c>
      <c r="B543" s="576">
        <v>45448.0</v>
      </c>
      <c r="C543" s="720" t="s">
        <v>2919</v>
      </c>
      <c r="D543" s="521" t="s">
        <v>66</v>
      </c>
      <c r="E543" s="521" t="s">
        <v>499</v>
      </c>
      <c r="F543" s="521" t="s">
        <v>2920</v>
      </c>
      <c r="G543" s="522">
        <v>1.7160345E7</v>
      </c>
      <c r="H543" s="521" t="s">
        <v>348</v>
      </c>
      <c r="I543" s="491" t="s">
        <v>2921</v>
      </c>
      <c r="J543" s="524" t="s">
        <v>2922</v>
      </c>
      <c r="K543" s="525" t="s">
        <v>2923</v>
      </c>
      <c r="L543" s="525" t="s">
        <v>2924</v>
      </c>
      <c r="M543" s="525" t="s">
        <v>2925</v>
      </c>
      <c r="N543" s="618"/>
      <c r="O543" s="525" t="s">
        <v>62</v>
      </c>
      <c r="P543" s="637">
        <v>45569.0</v>
      </c>
      <c r="Q543" s="618"/>
      <c r="R543" s="620"/>
      <c r="S543" s="618"/>
      <c r="T543" s="620"/>
      <c r="U543" s="525" t="s">
        <v>62</v>
      </c>
      <c r="V543" s="637">
        <v>45580.0</v>
      </c>
      <c r="W543" s="625"/>
      <c r="X543" s="620"/>
      <c r="Y543" s="618"/>
      <c r="Z543" s="620"/>
      <c r="AA543" s="611"/>
      <c r="AB543" s="608"/>
    </row>
    <row r="544">
      <c r="A544" s="586">
        <v>1106.0</v>
      </c>
      <c r="B544" s="576">
        <v>45392.0</v>
      </c>
      <c r="C544" s="489" t="s">
        <v>100</v>
      </c>
      <c r="D544" s="521" t="s">
        <v>66</v>
      </c>
      <c r="E544" s="521" t="s">
        <v>101</v>
      </c>
      <c r="F544" s="521" t="s">
        <v>102</v>
      </c>
      <c r="G544" s="721">
        <v>1.7860025E7</v>
      </c>
      <c r="H544" s="521" t="s">
        <v>103</v>
      </c>
      <c r="I544" s="491" t="s">
        <v>2926</v>
      </c>
      <c r="J544" s="492" t="s">
        <v>2927</v>
      </c>
      <c r="K544" s="618"/>
      <c r="L544" s="618"/>
      <c r="M544" s="618"/>
      <c r="N544" s="618"/>
      <c r="O544" s="618"/>
      <c r="P544" s="620"/>
      <c r="Q544" s="618"/>
      <c r="R544" s="620"/>
      <c r="S544" s="618"/>
      <c r="T544" s="620"/>
      <c r="U544" s="525" t="s">
        <v>150</v>
      </c>
      <c r="V544" s="620"/>
      <c r="W544" s="722"/>
      <c r="X544" s="620"/>
      <c r="Y544" s="618"/>
      <c r="Z544" s="620"/>
      <c r="AA544" s="611"/>
      <c r="AB544" s="545" t="s">
        <v>2928</v>
      </c>
    </row>
    <row r="545">
      <c r="A545" s="586">
        <v>1102.0</v>
      </c>
      <c r="B545" s="576">
        <v>45436.0</v>
      </c>
      <c r="C545" s="489" t="s">
        <v>2929</v>
      </c>
      <c r="D545" s="521" t="s">
        <v>29</v>
      </c>
      <c r="E545" s="521" t="s">
        <v>1312</v>
      </c>
      <c r="F545" s="521" t="s">
        <v>1313</v>
      </c>
      <c r="G545" s="522">
        <v>1.3780635E7</v>
      </c>
      <c r="H545" s="521" t="s">
        <v>200</v>
      </c>
      <c r="I545" s="491" t="s">
        <v>2930</v>
      </c>
      <c r="J545" s="492" t="s">
        <v>2931</v>
      </c>
      <c r="K545" s="525" t="s">
        <v>2932</v>
      </c>
      <c r="L545" s="618"/>
      <c r="M545" s="618"/>
      <c r="N545" s="618"/>
      <c r="O545" s="713" t="s">
        <v>62</v>
      </c>
      <c r="P545" s="626">
        <v>45769.0</v>
      </c>
      <c r="Q545" s="713" t="s">
        <v>62</v>
      </c>
      <c r="R545" s="626">
        <v>45769.0</v>
      </c>
      <c r="S545" s="618"/>
      <c r="T545" s="620"/>
      <c r="U545" s="525" t="s">
        <v>62</v>
      </c>
      <c r="V545" s="626">
        <v>45800.0</v>
      </c>
      <c r="W545" s="621"/>
      <c r="X545" s="620"/>
      <c r="Y545" s="618"/>
      <c r="Z545" s="620"/>
      <c r="AA545" s="541" t="s">
        <v>2933</v>
      </c>
      <c r="AB545" s="608"/>
    </row>
    <row r="546">
      <c r="A546" s="327">
        <v>1098.0</v>
      </c>
      <c r="B546" s="328">
        <v>45433.0</v>
      </c>
      <c r="C546" s="329" t="s">
        <v>2250</v>
      </c>
      <c r="D546" s="329" t="s">
        <v>50</v>
      </c>
      <c r="E546" s="329" t="s">
        <v>588</v>
      </c>
      <c r="F546" s="329"/>
      <c r="G546" s="330">
        <v>1.9500039E7</v>
      </c>
      <c r="H546" s="329" t="s">
        <v>51</v>
      </c>
      <c r="I546" s="331" t="s">
        <v>2934</v>
      </c>
      <c r="J546" s="485" t="s">
        <v>2935</v>
      </c>
      <c r="K546" s="623" t="s">
        <v>50</v>
      </c>
      <c r="L546" s="564" t="s">
        <v>50</v>
      </c>
      <c r="M546" s="564" t="s">
        <v>50</v>
      </c>
      <c r="N546" s="563"/>
      <c r="O546" s="539"/>
      <c r="P546" s="571"/>
      <c r="Q546" s="563"/>
      <c r="R546" s="571"/>
      <c r="S546" s="563"/>
      <c r="T546" s="571"/>
      <c r="U546" s="623" t="s">
        <v>62</v>
      </c>
      <c r="V546" s="628">
        <v>45757.0</v>
      </c>
      <c r="W546" s="572"/>
      <c r="X546" s="571"/>
      <c r="Y546" s="563"/>
      <c r="Z546" s="571"/>
      <c r="AA546" s="563"/>
      <c r="AB546" s="566"/>
    </row>
    <row r="547">
      <c r="A547" s="327">
        <v>1097.0</v>
      </c>
      <c r="B547" s="546">
        <v>45433.0</v>
      </c>
      <c r="C547" s="547" t="s">
        <v>2910</v>
      </c>
      <c r="D547" s="548" t="s">
        <v>66</v>
      </c>
      <c r="E547" s="547" t="s">
        <v>588</v>
      </c>
      <c r="F547" s="547" t="s">
        <v>1479</v>
      </c>
      <c r="G547" s="549">
        <v>1.9500037E7</v>
      </c>
      <c r="H547" s="547" t="s">
        <v>51</v>
      </c>
      <c r="I547" s="550" t="s">
        <v>2936</v>
      </c>
      <c r="J547" s="723" t="s">
        <v>2937</v>
      </c>
      <c r="K547" s="623" t="s">
        <v>592</v>
      </c>
      <c r="L547" s="563"/>
      <c r="M547" s="563"/>
      <c r="N547" s="563"/>
      <c r="O547" s="539"/>
      <c r="P547" s="571"/>
      <c r="Q547" s="563"/>
      <c r="R547" s="571"/>
      <c r="S547" s="563"/>
      <c r="T547" s="571"/>
      <c r="U547" s="539"/>
      <c r="V547" s="571"/>
      <c r="W547" s="630" t="s">
        <v>150</v>
      </c>
      <c r="X547" s="571"/>
      <c r="Y547" s="563"/>
      <c r="Z547" s="571"/>
      <c r="AA547" s="553" t="s">
        <v>215</v>
      </c>
      <c r="AB547" s="566"/>
    </row>
    <row r="548">
      <c r="A548" s="586">
        <v>1088.0</v>
      </c>
      <c r="B548" s="576">
        <v>45391.0</v>
      </c>
      <c r="C548" s="489" t="s">
        <v>2938</v>
      </c>
      <c r="D548" s="521" t="s">
        <v>66</v>
      </c>
      <c r="E548" s="521" t="s">
        <v>2939</v>
      </c>
      <c r="F548" s="617"/>
      <c r="G548" s="522">
        <v>1.4810233E7</v>
      </c>
      <c r="H548" s="521" t="s">
        <v>200</v>
      </c>
      <c r="I548" s="491" t="s">
        <v>2940</v>
      </c>
      <c r="J548" s="492" t="s">
        <v>2941</v>
      </c>
      <c r="K548" s="525" t="s">
        <v>2942</v>
      </c>
      <c r="L548" s="525" t="s">
        <v>2943</v>
      </c>
      <c r="M548" s="525" t="s">
        <v>2944</v>
      </c>
      <c r="N548" s="618"/>
      <c r="O548" s="525" t="s">
        <v>1563</v>
      </c>
      <c r="P548" s="620"/>
      <c r="Q548" s="618"/>
      <c r="R548" s="620"/>
      <c r="S548" s="618"/>
      <c r="T548" s="620"/>
      <c r="U548" s="525" t="s">
        <v>1563</v>
      </c>
      <c r="V548" s="626">
        <v>45456.0</v>
      </c>
      <c r="W548" s="621"/>
      <c r="X548" s="620"/>
      <c r="Y548" s="618"/>
      <c r="Z548" s="620"/>
      <c r="AA548" s="611"/>
      <c r="AB548" s="608"/>
    </row>
    <row r="549">
      <c r="A549" s="586">
        <v>1086.0</v>
      </c>
      <c r="B549" s="576">
        <v>45349.0</v>
      </c>
      <c r="C549" s="489" t="s">
        <v>2945</v>
      </c>
      <c r="D549" s="521" t="s">
        <v>66</v>
      </c>
      <c r="E549" s="521" t="s">
        <v>1394</v>
      </c>
      <c r="F549" s="521" t="s">
        <v>49</v>
      </c>
      <c r="G549" s="522">
        <v>1.8170156E7</v>
      </c>
      <c r="H549" s="521" t="s">
        <v>200</v>
      </c>
      <c r="I549" s="491" t="s">
        <v>2946</v>
      </c>
      <c r="J549" s="492" t="s">
        <v>2947</v>
      </c>
      <c r="K549" s="525" t="s">
        <v>1397</v>
      </c>
      <c r="L549" s="525" t="s">
        <v>491</v>
      </c>
      <c r="M549" s="520" t="s">
        <v>2948</v>
      </c>
      <c r="N549" s="618"/>
      <c r="O549" s="525" t="s">
        <v>62</v>
      </c>
      <c r="P549" s="626">
        <v>45706.0</v>
      </c>
      <c r="Q549" s="618"/>
      <c r="R549" s="620"/>
      <c r="S549" s="618"/>
      <c r="T549" s="620"/>
      <c r="U549" s="525" t="s">
        <v>1563</v>
      </c>
      <c r="V549" s="620"/>
      <c r="W549" s="621"/>
      <c r="X549" s="620"/>
      <c r="Y549" s="618"/>
      <c r="Z549" s="620"/>
      <c r="AA549" s="611"/>
      <c r="AB549" s="608"/>
    </row>
    <row r="550">
      <c r="A550" s="586">
        <v>1085.0</v>
      </c>
      <c r="B550" s="576">
        <v>45390.0</v>
      </c>
      <c r="C550" s="489" t="s">
        <v>2949</v>
      </c>
      <c r="D550" s="707" t="s">
        <v>66</v>
      </c>
      <c r="E550" s="521" t="s">
        <v>2950</v>
      </c>
      <c r="F550" s="521" t="s">
        <v>721</v>
      </c>
      <c r="G550" s="522">
        <v>1.8210108E7</v>
      </c>
      <c r="H550" s="521" t="s">
        <v>200</v>
      </c>
      <c r="I550" s="491" t="s">
        <v>2951</v>
      </c>
      <c r="J550" s="492" t="s">
        <v>2952</v>
      </c>
      <c r="K550" s="618"/>
      <c r="L550" s="618"/>
      <c r="M550" s="618"/>
      <c r="N550" s="618"/>
      <c r="O550" s="618"/>
      <c r="P550" s="626">
        <v>45765.0</v>
      </c>
      <c r="Q550" s="618"/>
      <c r="R550" s="620"/>
      <c r="S550" s="618"/>
      <c r="T550" s="620"/>
      <c r="U550" s="525" t="s">
        <v>62</v>
      </c>
      <c r="V550" s="626">
        <v>45901.0</v>
      </c>
      <c r="W550" s="621"/>
      <c r="X550" s="620"/>
      <c r="Y550" s="618"/>
      <c r="Z550" s="620"/>
      <c r="AA550" s="541" t="s">
        <v>2953</v>
      </c>
      <c r="AB550" s="608"/>
    </row>
    <row r="551">
      <c r="A551" s="586">
        <v>1083.0</v>
      </c>
      <c r="B551" s="576">
        <v>45390.0</v>
      </c>
      <c r="C551" s="489" t="s">
        <v>2284</v>
      </c>
      <c r="D551" s="521" t="s">
        <v>66</v>
      </c>
      <c r="E551" s="521" t="s">
        <v>227</v>
      </c>
      <c r="F551" s="521" t="s">
        <v>228</v>
      </c>
      <c r="G551" s="521">
        <v>1.9620178E7</v>
      </c>
      <c r="H551" s="521" t="s">
        <v>135</v>
      </c>
      <c r="I551" s="491" t="s">
        <v>1061</v>
      </c>
      <c r="J551" s="524" t="s">
        <v>2954</v>
      </c>
      <c r="K551" s="525" t="s">
        <v>231</v>
      </c>
      <c r="L551" s="525" t="s">
        <v>2073</v>
      </c>
      <c r="M551" s="525" t="s">
        <v>1065</v>
      </c>
      <c r="N551" s="618"/>
      <c r="O551" s="525" t="s">
        <v>62</v>
      </c>
      <c r="P551" s="626">
        <v>45390.0</v>
      </c>
      <c r="Q551" s="618"/>
      <c r="R551" s="620"/>
      <c r="S551" s="618"/>
      <c r="T551" s="620"/>
      <c r="U551" s="525" t="s">
        <v>62</v>
      </c>
      <c r="V551" s="620"/>
      <c r="W551" s="625"/>
      <c r="X551" s="620"/>
      <c r="Y551" s="618"/>
      <c r="Z551" s="620"/>
      <c r="AA551" s="611"/>
      <c r="AB551" s="608"/>
    </row>
    <row r="552">
      <c r="A552" s="586">
        <v>1062.0</v>
      </c>
      <c r="B552" s="576">
        <v>45386.0</v>
      </c>
      <c r="C552" s="489" t="s">
        <v>2955</v>
      </c>
      <c r="D552" s="521" t="s">
        <v>66</v>
      </c>
      <c r="E552" s="521" t="s">
        <v>1979</v>
      </c>
      <c r="F552" s="521" t="s">
        <v>49</v>
      </c>
      <c r="G552" s="521" t="s">
        <v>2956</v>
      </c>
      <c r="H552" s="521" t="s">
        <v>32</v>
      </c>
      <c r="I552" s="491" t="s">
        <v>2957</v>
      </c>
      <c r="J552" s="492" t="s">
        <v>2958</v>
      </c>
      <c r="K552" s="525" t="s">
        <v>1244</v>
      </c>
      <c r="L552" s="525" t="s">
        <v>2959</v>
      </c>
      <c r="M552" s="594" t="s">
        <v>2960</v>
      </c>
      <c r="N552" s="618"/>
      <c r="O552" s="525" t="s">
        <v>2961</v>
      </c>
      <c r="P552" s="525" t="s">
        <v>2962</v>
      </c>
      <c r="Q552" s="618"/>
      <c r="R552" s="620"/>
      <c r="S552" s="525" t="s">
        <v>62</v>
      </c>
      <c r="T552" s="626">
        <v>45700.0</v>
      </c>
      <c r="U552" s="525" t="s">
        <v>62</v>
      </c>
      <c r="V552" s="626">
        <v>45719.0</v>
      </c>
      <c r="W552" s="621"/>
      <c r="X552" s="620"/>
      <c r="Y552" s="618"/>
      <c r="Z552" s="620"/>
      <c r="AA552" s="545">
        <v>2.0250304E7</v>
      </c>
      <c r="AB552" s="608"/>
    </row>
    <row r="553">
      <c r="A553" s="586">
        <v>1057.0</v>
      </c>
      <c r="B553" s="576">
        <v>45384.0</v>
      </c>
      <c r="C553" s="489" t="s">
        <v>2963</v>
      </c>
      <c r="D553" s="521" t="s">
        <v>66</v>
      </c>
      <c r="E553" s="521" t="s">
        <v>2964</v>
      </c>
      <c r="F553" s="521" t="s">
        <v>261</v>
      </c>
      <c r="G553" s="522">
        <v>1.7940233E7</v>
      </c>
      <c r="H553" s="521" t="s">
        <v>200</v>
      </c>
      <c r="I553" s="491" t="s">
        <v>2965</v>
      </c>
      <c r="J553" s="492" t="s">
        <v>2966</v>
      </c>
      <c r="K553" s="525" t="s">
        <v>2967</v>
      </c>
      <c r="L553" s="525" t="s">
        <v>2968</v>
      </c>
      <c r="M553" s="525" t="s">
        <v>280</v>
      </c>
      <c r="N553" s="618"/>
      <c r="O553" s="525" t="s">
        <v>1563</v>
      </c>
      <c r="P553" s="620"/>
      <c r="Q553" s="618"/>
      <c r="R553" s="620"/>
      <c r="S553" s="618"/>
      <c r="T553" s="620"/>
      <c r="U553" s="525" t="s">
        <v>1563</v>
      </c>
      <c r="V553" s="626">
        <v>45595.0</v>
      </c>
      <c r="W553" s="621"/>
      <c r="X553" s="620"/>
      <c r="Y553" s="618"/>
      <c r="Z553" s="620"/>
      <c r="AA553" s="611"/>
      <c r="AB553" s="608"/>
    </row>
    <row r="554">
      <c r="A554" s="586">
        <v>1056.0</v>
      </c>
      <c r="B554" s="576">
        <v>45384.0</v>
      </c>
      <c r="C554" s="489" t="s">
        <v>2963</v>
      </c>
      <c r="D554" s="521" t="s">
        <v>66</v>
      </c>
      <c r="E554" s="521" t="s">
        <v>2964</v>
      </c>
      <c r="F554" s="521" t="s">
        <v>1467</v>
      </c>
      <c r="G554" s="522">
        <v>1.7940225E7</v>
      </c>
      <c r="H554" s="521" t="s">
        <v>200</v>
      </c>
      <c r="I554" s="491" t="s">
        <v>2969</v>
      </c>
      <c r="J554" s="492" t="s">
        <v>2970</v>
      </c>
      <c r="K554" s="525" t="s">
        <v>2971</v>
      </c>
      <c r="L554" s="525" t="s">
        <v>343</v>
      </c>
      <c r="M554" s="525" t="s">
        <v>2078</v>
      </c>
      <c r="N554" s="618"/>
      <c r="O554" s="525" t="s">
        <v>1563</v>
      </c>
      <c r="P554" s="620"/>
      <c r="Q554" s="618"/>
      <c r="R554" s="620"/>
      <c r="S554" s="618"/>
      <c r="T554" s="620"/>
      <c r="U554" s="525" t="s">
        <v>1563</v>
      </c>
      <c r="V554" s="626">
        <v>45397.0</v>
      </c>
      <c r="W554" s="621"/>
      <c r="X554" s="620"/>
      <c r="Y554" s="618"/>
      <c r="Z554" s="620"/>
      <c r="AA554" s="611"/>
      <c r="AB554" s="608"/>
    </row>
    <row r="555">
      <c r="A555" s="586">
        <v>1055.0</v>
      </c>
      <c r="B555" s="576">
        <v>45384.0</v>
      </c>
      <c r="C555" s="489" t="s">
        <v>2963</v>
      </c>
      <c r="D555" s="521" t="s">
        <v>66</v>
      </c>
      <c r="E555" s="521" t="s">
        <v>2964</v>
      </c>
      <c r="F555" s="521" t="s">
        <v>1467</v>
      </c>
      <c r="G555" s="522">
        <v>1.7940225E7</v>
      </c>
      <c r="H555" s="521" t="s">
        <v>200</v>
      </c>
      <c r="I555" s="491" t="s">
        <v>2969</v>
      </c>
      <c r="J555" s="492" t="s">
        <v>2970</v>
      </c>
      <c r="K555" s="525" t="s">
        <v>2971</v>
      </c>
      <c r="L555" s="525" t="s">
        <v>343</v>
      </c>
      <c r="M555" s="525" t="s">
        <v>2078</v>
      </c>
      <c r="N555" s="618"/>
      <c r="O555" s="525" t="s">
        <v>1563</v>
      </c>
      <c r="P555" s="620"/>
      <c r="Q555" s="618"/>
      <c r="R555" s="620"/>
      <c r="S555" s="618"/>
      <c r="T555" s="620"/>
      <c r="U555" s="525" t="s">
        <v>1563</v>
      </c>
      <c r="V555" s="626">
        <v>45397.0</v>
      </c>
      <c r="W555" s="621"/>
      <c r="X555" s="620"/>
      <c r="Y555" s="618"/>
      <c r="Z555" s="620"/>
      <c r="AA555" s="611"/>
      <c r="AB555" s="608"/>
    </row>
    <row r="556">
      <c r="A556" s="586">
        <v>1054.0</v>
      </c>
      <c r="B556" s="576">
        <v>45384.0</v>
      </c>
      <c r="C556" s="489" t="s">
        <v>2963</v>
      </c>
      <c r="D556" s="521" t="s">
        <v>66</v>
      </c>
      <c r="E556" s="521" t="s">
        <v>2964</v>
      </c>
      <c r="F556" s="521" t="s">
        <v>1467</v>
      </c>
      <c r="G556" s="522">
        <v>1.7940222E7</v>
      </c>
      <c r="H556" s="521" t="s">
        <v>200</v>
      </c>
      <c r="I556" s="491" t="s">
        <v>2969</v>
      </c>
      <c r="J556" s="492" t="s">
        <v>2970</v>
      </c>
      <c r="K556" s="525" t="s">
        <v>2971</v>
      </c>
      <c r="L556" s="724" t="s">
        <v>343</v>
      </c>
      <c r="M556" s="384" t="s">
        <v>2078</v>
      </c>
      <c r="N556" s="725"/>
      <c r="O556" s="525" t="s">
        <v>1563</v>
      </c>
      <c r="P556" s="620"/>
      <c r="Q556" s="618"/>
      <c r="R556" s="620"/>
      <c r="S556" s="618"/>
      <c r="T556" s="620"/>
      <c r="U556" s="525" t="s">
        <v>1563</v>
      </c>
      <c r="V556" s="626">
        <v>45397.0</v>
      </c>
      <c r="W556" s="621"/>
      <c r="X556" s="620"/>
      <c r="Y556" s="618"/>
      <c r="Z556" s="620"/>
      <c r="AA556" s="611"/>
      <c r="AB556" s="608"/>
    </row>
    <row r="557">
      <c r="A557" s="586">
        <v>1053.0</v>
      </c>
      <c r="B557" s="576">
        <v>45384.0</v>
      </c>
      <c r="C557" s="489" t="s">
        <v>2284</v>
      </c>
      <c r="D557" s="521" t="s">
        <v>66</v>
      </c>
      <c r="E557" s="521" t="s">
        <v>227</v>
      </c>
      <c r="F557" s="521" t="s">
        <v>228</v>
      </c>
      <c r="G557" s="521">
        <v>1.9620166E7</v>
      </c>
      <c r="H557" s="521" t="s">
        <v>135</v>
      </c>
      <c r="I557" s="491" t="s">
        <v>2972</v>
      </c>
      <c r="J557" s="524" t="s">
        <v>2973</v>
      </c>
      <c r="K557" s="525" t="s">
        <v>231</v>
      </c>
      <c r="L557" s="525" t="s">
        <v>2073</v>
      </c>
      <c r="M557" s="525" t="s">
        <v>1065</v>
      </c>
      <c r="N557" s="618"/>
      <c r="O557" s="525" t="s">
        <v>62</v>
      </c>
      <c r="P557" s="726">
        <v>45384.0</v>
      </c>
      <c r="Q557" s="618"/>
      <c r="R557" s="620"/>
      <c r="S557" s="618"/>
      <c r="T557" s="620"/>
      <c r="U557" s="525" t="s">
        <v>62</v>
      </c>
      <c r="V557" s="620"/>
      <c r="W557" s="625"/>
      <c r="X557" s="620"/>
      <c r="Y557" s="618"/>
      <c r="Z557" s="620"/>
      <c r="AA557" s="611"/>
      <c r="AB557" s="608"/>
    </row>
    <row r="558">
      <c r="A558" s="586">
        <v>1052.0</v>
      </c>
      <c r="B558" s="633">
        <v>45383.0</v>
      </c>
      <c r="C558" s="535" t="s">
        <v>2974</v>
      </c>
      <c r="D558" s="634" t="s">
        <v>29</v>
      </c>
      <c r="E558" s="634" t="s">
        <v>2975</v>
      </c>
      <c r="F558" s="727"/>
      <c r="G558" s="635">
        <v>1.4432276E7</v>
      </c>
      <c r="H558" s="634" t="s">
        <v>51</v>
      </c>
      <c r="I558" s="536" t="s">
        <v>2976</v>
      </c>
      <c r="J558" s="537" t="s">
        <v>2977</v>
      </c>
      <c r="K558" s="618"/>
      <c r="L558" s="618"/>
      <c r="M558" s="618"/>
      <c r="N558" s="618"/>
      <c r="O558" s="618"/>
      <c r="P558" s="620"/>
      <c r="Q558" s="618"/>
      <c r="R558" s="620"/>
      <c r="S558" s="618"/>
      <c r="T558" s="620"/>
      <c r="U558" s="618"/>
      <c r="V558" s="620"/>
      <c r="W558" s="636" t="s">
        <v>150</v>
      </c>
      <c r="X558" s="620"/>
      <c r="Y558" s="618"/>
      <c r="Z558" s="620"/>
      <c r="AA558" s="611"/>
      <c r="AB558" s="608"/>
    </row>
    <row r="559">
      <c r="A559" s="586">
        <v>1048.0</v>
      </c>
      <c r="B559" s="576">
        <v>45376.0</v>
      </c>
      <c r="C559" s="489" t="s">
        <v>2978</v>
      </c>
      <c r="D559" s="521" t="s">
        <v>66</v>
      </c>
      <c r="E559" s="521" t="s">
        <v>133</v>
      </c>
      <c r="F559" s="521" t="s">
        <v>134</v>
      </c>
      <c r="G559" s="521">
        <v>1.4962141E7</v>
      </c>
      <c r="H559" s="521" t="s">
        <v>135</v>
      </c>
      <c r="I559" s="491" t="s">
        <v>2979</v>
      </c>
      <c r="J559" s="524" t="s">
        <v>2980</v>
      </c>
      <c r="K559" s="618"/>
      <c r="L559" s="618"/>
      <c r="M559" s="618"/>
      <c r="N559" s="618"/>
      <c r="O559" s="525" t="s">
        <v>62</v>
      </c>
      <c r="P559" s="626">
        <v>45419.0</v>
      </c>
      <c r="Q559" s="618"/>
      <c r="R559" s="620"/>
      <c r="S559" s="618"/>
      <c r="T559" s="620"/>
      <c r="U559" s="525" t="s">
        <v>62</v>
      </c>
      <c r="V559" s="620"/>
      <c r="W559" s="625"/>
      <c r="X559" s="620"/>
      <c r="Y559" s="618"/>
      <c r="Z559" s="620"/>
      <c r="AA559" s="611"/>
      <c r="AB559" s="608"/>
    </row>
    <row r="560">
      <c r="A560" s="586">
        <v>1043.0</v>
      </c>
      <c r="B560" s="576">
        <v>45373.0</v>
      </c>
      <c r="C560" s="489" t="s">
        <v>1450</v>
      </c>
      <c r="D560" s="521" t="s">
        <v>29</v>
      </c>
      <c r="E560" s="521" t="s">
        <v>89</v>
      </c>
      <c r="F560" s="521" t="s">
        <v>41</v>
      </c>
      <c r="G560" s="522">
        <v>1.5831191E7</v>
      </c>
      <c r="H560" s="521" t="s">
        <v>51</v>
      </c>
      <c r="I560" s="491" t="s">
        <v>2981</v>
      </c>
      <c r="J560" s="492" t="s">
        <v>2982</v>
      </c>
      <c r="K560" s="525" t="s">
        <v>92</v>
      </c>
      <c r="L560" s="525" t="s">
        <v>2983</v>
      </c>
      <c r="M560" s="525" t="s">
        <v>2984</v>
      </c>
      <c r="N560" s="618"/>
      <c r="O560" s="618"/>
      <c r="P560" s="620"/>
      <c r="Q560" s="618"/>
      <c r="R560" s="620"/>
      <c r="S560" s="525" t="s">
        <v>62</v>
      </c>
      <c r="T560" s="626">
        <v>45842.0</v>
      </c>
      <c r="U560" s="525" t="s">
        <v>62</v>
      </c>
      <c r="V560" s="626">
        <v>45854.0</v>
      </c>
      <c r="W560" s="621"/>
      <c r="X560" s="620"/>
      <c r="Y560" s="618"/>
      <c r="Z560" s="620"/>
      <c r="AA560" s="519">
        <v>2.0250602E7</v>
      </c>
      <c r="AB560" s="608"/>
    </row>
    <row r="561">
      <c r="A561" s="586">
        <v>1041.0</v>
      </c>
      <c r="B561" s="576">
        <v>45372.0</v>
      </c>
      <c r="C561" s="489" t="s">
        <v>2985</v>
      </c>
      <c r="D561" s="521" t="s">
        <v>66</v>
      </c>
      <c r="E561" s="521" t="s">
        <v>198</v>
      </c>
      <c r="F561" s="521" t="s">
        <v>295</v>
      </c>
      <c r="G561" s="522">
        <v>1.5540119E7</v>
      </c>
      <c r="H561" s="521" t="s">
        <v>200</v>
      </c>
      <c r="I561" s="491" t="s">
        <v>2986</v>
      </c>
      <c r="J561" s="492" t="s">
        <v>2987</v>
      </c>
      <c r="K561" s="618"/>
      <c r="L561" s="618"/>
      <c r="M561" s="618"/>
      <c r="N561" s="618"/>
      <c r="O561" s="618"/>
      <c r="P561" s="620"/>
      <c r="Q561" s="618"/>
      <c r="R561" s="620"/>
      <c r="S561" s="618"/>
      <c r="T561" s="620"/>
      <c r="U561" s="525" t="s">
        <v>1563</v>
      </c>
      <c r="V561" s="620"/>
      <c r="W561" s="621"/>
      <c r="X561" s="620"/>
      <c r="Y561" s="618"/>
      <c r="Z561" s="620"/>
      <c r="AA561" s="611"/>
      <c r="AB561" s="608"/>
    </row>
    <row r="562">
      <c r="A562" s="586">
        <v>1034.0</v>
      </c>
      <c r="B562" s="576">
        <v>45371.0</v>
      </c>
      <c r="C562" s="489" t="s">
        <v>100</v>
      </c>
      <c r="D562" s="521" t="s">
        <v>66</v>
      </c>
      <c r="E562" s="521" t="s">
        <v>101</v>
      </c>
      <c r="F562" s="521" t="s">
        <v>1028</v>
      </c>
      <c r="G562" s="521" t="s">
        <v>50</v>
      </c>
      <c r="H562" s="521" t="s">
        <v>103</v>
      </c>
      <c r="I562" s="491" t="s">
        <v>2988</v>
      </c>
      <c r="J562" s="492" t="s">
        <v>2989</v>
      </c>
      <c r="K562" s="618"/>
      <c r="L562" s="618"/>
      <c r="M562" s="618"/>
      <c r="N562" s="618"/>
      <c r="O562" s="618"/>
      <c r="P562" s="620"/>
      <c r="Q562" s="618"/>
      <c r="R562" s="620"/>
      <c r="S562" s="618"/>
      <c r="T562" s="620"/>
      <c r="U562" s="525" t="s">
        <v>150</v>
      </c>
      <c r="V562" s="620"/>
      <c r="W562" s="621"/>
      <c r="X562" s="620"/>
      <c r="Y562" s="618"/>
      <c r="Z562" s="620"/>
      <c r="AA562" s="611"/>
      <c r="AB562" s="545" t="s">
        <v>2990</v>
      </c>
    </row>
    <row r="563">
      <c r="A563" s="728">
        <v>1028.0</v>
      </c>
      <c r="B563" s="328">
        <v>45370.0</v>
      </c>
      <c r="C563" s="329" t="s">
        <v>1450</v>
      </c>
      <c r="D563" s="329" t="s">
        <v>29</v>
      </c>
      <c r="E563" s="329" t="s">
        <v>89</v>
      </c>
      <c r="F563" s="329" t="s">
        <v>2536</v>
      </c>
      <c r="G563" s="330">
        <v>1.5831185E7</v>
      </c>
      <c r="H563" s="329" t="s">
        <v>51</v>
      </c>
      <c r="I563" s="331" t="s">
        <v>2991</v>
      </c>
      <c r="J563" s="332" t="s">
        <v>2992</v>
      </c>
      <c r="K563" s="623" t="s">
        <v>92</v>
      </c>
      <c r="L563" s="564" t="s">
        <v>93</v>
      </c>
      <c r="M563" s="564" t="s">
        <v>2984</v>
      </c>
      <c r="N563" s="563"/>
      <c r="O563" s="539"/>
      <c r="P563" s="571"/>
      <c r="Q563" s="563"/>
      <c r="R563" s="571"/>
      <c r="S563" s="564" t="s">
        <v>62</v>
      </c>
      <c r="T563" s="628">
        <v>45933.0</v>
      </c>
      <c r="U563" s="623" t="s">
        <v>62</v>
      </c>
      <c r="V563" s="628">
        <v>45966.0</v>
      </c>
      <c r="W563" s="563"/>
      <c r="X563" s="571"/>
      <c r="Y563" s="563"/>
      <c r="Z563" s="571"/>
      <c r="AA563" s="566"/>
      <c r="AB563" s="566"/>
    </row>
    <row r="564">
      <c r="A564" s="586">
        <v>1015.0</v>
      </c>
      <c r="B564" s="576">
        <v>45363.0</v>
      </c>
      <c r="C564" s="489" t="s">
        <v>2157</v>
      </c>
      <c r="D564" s="521" t="s">
        <v>29</v>
      </c>
      <c r="E564" s="521" t="s">
        <v>506</v>
      </c>
      <c r="F564" s="617"/>
      <c r="G564" s="522" t="s">
        <v>2993</v>
      </c>
      <c r="H564" s="521" t="s">
        <v>200</v>
      </c>
      <c r="I564" s="729" t="s">
        <v>1428</v>
      </c>
      <c r="J564" s="730" t="s">
        <v>2994</v>
      </c>
      <c r="K564" s="525" t="s">
        <v>811</v>
      </c>
      <c r="L564" s="525" t="s">
        <v>554</v>
      </c>
      <c r="M564" s="618"/>
      <c r="N564" s="618"/>
      <c r="O564" s="713" t="s">
        <v>62</v>
      </c>
      <c r="P564" s="731">
        <v>45741.0</v>
      </c>
      <c r="Q564" s="618"/>
      <c r="R564" s="620"/>
      <c r="S564" s="618"/>
      <c r="T564" s="620"/>
      <c r="U564" s="713" t="s">
        <v>62</v>
      </c>
      <c r="V564" s="731">
        <v>45763.0</v>
      </c>
      <c r="W564" s="732"/>
      <c r="X564" s="620"/>
      <c r="Y564" s="618"/>
      <c r="Z564" s="620"/>
      <c r="AA564" s="541"/>
      <c r="AB564" s="608"/>
    </row>
    <row r="565">
      <c r="A565" s="728">
        <v>1013.0</v>
      </c>
      <c r="B565" s="328">
        <v>45364.0</v>
      </c>
      <c r="C565" s="329" t="s">
        <v>1450</v>
      </c>
      <c r="D565" s="329" t="s">
        <v>29</v>
      </c>
      <c r="E565" s="329" t="s">
        <v>89</v>
      </c>
      <c r="F565" s="329" t="s">
        <v>2536</v>
      </c>
      <c r="G565" s="330">
        <v>1.5831167E7</v>
      </c>
      <c r="H565" s="329" t="s">
        <v>51</v>
      </c>
      <c r="I565" s="733" t="s">
        <v>2995</v>
      </c>
      <c r="J565" s="734" t="s">
        <v>2996</v>
      </c>
      <c r="K565" s="623" t="s">
        <v>608</v>
      </c>
      <c r="L565" s="564" t="s">
        <v>2997</v>
      </c>
      <c r="M565" s="564" t="s">
        <v>2998</v>
      </c>
      <c r="N565" s="563"/>
      <c r="O565" s="539"/>
      <c r="P565" s="571"/>
      <c r="Q565" s="563"/>
      <c r="R565" s="571"/>
      <c r="S565" s="564" t="s">
        <v>62</v>
      </c>
      <c r="T565" s="628">
        <v>45908.0</v>
      </c>
      <c r="U565" s="623" t="s">
        <v>62</v>
      </c>
      <c r="V565" s="628">
        <v>45924.0</v>
      </c>
      <c r="W565" s="571"/>
      <c r="X565" s="571"/>
      <c r="Y565" s="563"/>
      <c r="Z565" s="571"/>
      <c r="AA565" s="566"/>
      <c r="AB565" s="566"/>
    </row>
    <row r="566">
      <c r="A566" s="586">
        <v>1009.0</v>
      </c>
      <c r="B566" s="576">
        <v>45363.0</v>
      </c>
      <c r="C566" s="489" t="s">
        <v>1450</v>
      </c>
      <c r="D566" s="521" t="s">
        <v>29</v>
      </c>
      <c r="E566" s="521" t="s">
        <v>89</v>
      </c>
      <c r="F566" s="521" t="s">
        <v>41</v>
      </c>
      <c r="G566" s="522">
        <v>1.5831155E7</v>
      </c>
      <c r="H566" s="521" t="s">
        <v>51</v>
      </c>
      <c r="I566" s="491" t="s">
        <v>2999</v>
      </c>
      <c r="J566" s="492" t="s">
        <v>3000</v>
      </c>
      <c r="K566" s="525" t="s">
        <v>608</v>
      </c>
      <c r="L566" s="525" t="s">
        <v>3001</v>
      </c>
      <c r="M566" s="520" t="s">
        <v>3002</v>
      </c>
      <c r="N566" s="618"/>
      <c r="O566" s="525" t="s">
        <v>62</v>
      </c>
      <c r="P566" s="626">
        <v>45819.0</v>
      </c>
      <c r="Q566" s="618"/>
      <c r="R566" s="620"/>
      <c r="S566" s="618"/>
      <c r="T566" s="620"/>
      <c r="U566" s="525" t="s">
        <v>62</v>
      </c>
      <c r="V566" s="626">
        <v>45841.0</v>
      </c>
      <c r="W566" s="618"/>
      <c r="X566" s="620"/>
      <c r="Y566" s="618"/>
      <c r="Z566" s="620"/>
      <c r="AA566" s="519">
        <v>2.0250602E7</v>
      </c>
      <c r="AB566" s="608"/>
    </row>
    <row r="567">
      <c r="A567" s="586">
        <v>1008.0</v>
      </c>
      <c r="B567" s="576">
        <v>45363.0</v>
      </c>
      <c r="C567" s="489" t="s">
        <v>3003</v>
      </c>
      <c r="D567" s="521" t="s">
        <v>66</v>
      </c>
      <c r="E567" s="521" t="s">
        <v>857</v>
      </c>
      <c r="F567" s="521" t="s">
        <v>3004</v>
      </c>
      <c r="G567" s="522">
        <v>1620317.0</v>
      </c>
      <c r="H567" s="521" t="s">
        <v>103</v>
      </c>
      <c r="I567" s="491" t="s">
        <v>3005</v>
      </c>
      <c r="J567" s="524" t="s">
        <v>3006</v>
      </c>
      <c r="K567" s="525" t="s">
        <v>3007</v>
      </c>
      <c r="L567" s="525" t="s">
        <v>3008</v>
      </c>
      <c r="M567" s="525" t="s">
        <v>3009</v>
      </c>
      <c r="N567" s="618"/>
      <c r="O567" s="525" t="s">
        <v>62</v>
      </c>
      <c r="P567" s="620"/>
      <c r="Q567" s="618"/>
      <c r="R567" s="620"/>
      <c r="S567" s="618"/>
      <c r="T567" s="620"/>
      <c r="U567" s="525" t="s">
        <v>62</v>
      </c>
      <c r="V567" s="637">
        <v>45386.0</v>
      </c>
      <c r="W567" s="625"/>
      <c r="X567" s="620"/>
      <c r="Y567" s="618"/>
      <c r="Z567" s="620"/>
      <c r="AA567" s="611"/>
      <c r="AB567" s="608"/>
    </row>
    <row r="568">
      <c r="A568" s="586">
        <v>1006.0</v>
      </c>
      <c r="B568" s="638">
        <v>45363.0</v>
      </c>
      <c r="C568" s="535" t="s">
        <v>2250</v>
      </c>
      <c r="D568" s="634" t="s">
        <v>66</v>
      </c>
      <c r="E568" s="634" t="s">
        <v>588</v>
      </c>
      <c r="F568" s="634" t="s">
        <v>2256</v>
      </c>
      <c r="G568" s="634">
        <v>1.950008E7</v>
      </c>
      <c r="H568" s="634" t="s">
        <v>51</v>
      </c>
      <c r="I568" s="536" t="s">
        <v>3010</v>
      </c>
      <c r="J568" s="537" t="s">
        <v>3011</v>
      </c>
      <c r="K568" s="618"/>
      <c r="L568" s="618"/>
      <c r="M568" s="618"/>
      <c r="N568" s="618"/>
      <c r="O568" s="618"/>
      <c r="P568" s="620"/>
      <c r="Q568" s="618"/>
      <c r="R568" s="620"/>
      <c r="S568" s="618"/>
      <c r="T568" s="620"/>
      <c r="U568" s="618"/>
      <c r="V568" s="620"/>
      <c r="W568" s="636" t="s">
        <v>150</v>
      </c>
      <c r="X568" s="620"/>
      <c r="Y568" s="618"/>
      <c r="Z568" s="620"/>
      <c r="AA568" s="735"/>
      <c r="AB568" s="608"/>
    </row>
    <row r="569">
      <c r="A569" s="586">
        <v>1003.0</v>
      </c>
      <c r="B569" s="736">
        <v>45362.0</v>
      </c>
      <c r="C569" s="737" t="s">
        <v>825</v>
      </c>
      <c r="D569" s="738" t="s">
        <v>66</v>
      </c>
      <c r="E569" s="738" t="s">
        <v>239</v>
      </c>
      <c r="F569" s="738" t="s">
        <v>559</v>
      </c>
      <c r="G569" s="738" t="s">
        <v>50</v>
      </c>
      <c r="H569" s="738" t="s">
        <v>103</v>
      </c>
      <c r="I569" s="739" t="s">
        <v>3012</v>
      </c>
      <c r="J569" s="740" t="s">
        <v>3013</v>
      </c>
      <c r="K569" s="618"/>
      <c r="L569" s="618"/>
      <c r="M569" s="618"/>
      <c r="N569" s="618"/>
      <c r="O569" s="618"/>
      <c r="P569" s="620"/>
      <c r="Q569" s="618"/>
      <c r="R569" s="620"/>
      <c r="S569" s="618"/>
      <c r="T569" s="620"/>
      <c r="U569" s="618"/>
      <c r="V569" s="620"/>
      <c r="W569" s="741" t="s">
        <v>3014</v>
      </c>
      <c r="X569" s="620"/>
      <c r="Y569" s="618"/>
      <c r="Z569" s="620"/>
      <c r="AA569" s="545">
        <v>2.0250213E7</v>
      </c>
      <c r="AB569" s="608"/>
    </row>
    <row r="570">
      <c r="A570" s="586">
        <v>1000.0</v>
      </c>
      <c r="B570" s="576">
        <v>45359.0</v>
      </c>
      <c r="C570" s="489" t="s">
        <v>2250</v>
      </c>
      <c r="D570" s="521" t="s">
        <v>66</v>
      </c>
      <c r="E570" s="521" t="s">
        <v>588</v>
      </c>
      <c r="F570" s="521" t="s">
        <v>2256</v>
      </c>
      <c r="G570" s="521" t="s">
        <v>50</v>
      </c>
      <c r="H570" s="521" t="s">
        <v>51</v>
      </c>
      <c r="I570" s="491" t="s">
        <v>3015</v>
      </c>
      <c r="J570" s="492" t="s">
        <v>3016</v>
      </c>
      <c r="K570" s="525" t="s">
        <v>1746</v>
      </c>
      <c r="L570" s="525" t="s">
        <v>3017</v>
      </c>
      <c r="M570" s="525" t="s">
        <v>1748</v>
      </c>
      <c r="N570" s="618"/>
      <c r="O570" s="525" t="s">
        <v>62</v>
      </c>
      <c r="P570" s="626">
        <v>45765.0</v>
      </c>
      <c r="Q570" s="618"/>
      <c r="R570" s="620"/>
      <c r="S570" s="618"/>
      <c r="T570" s="620"/>
      <c r="U570" s="525" t="s">
        <v>62</v>
      </c>
      <c r="V570" s="626">
        <v>45810.0</v>
      </c>
      <c r="W570" s="621"/>
      <c r="X570" s="620"/>
      <c r="Y570" s="618"/>
      <c r="Z570" s="620"/>
      <c r="AA570" s="541" t="s">
        <v>2067</v>
      </c>
      <c r="AB570" s="541"/>
    </row>
    <row r="571">
      <c r="A571" s="327">
        <v>999.0</v>
      </c>
      <c r="B571" s="546">
        <v>45359.0</v>
      </c>
      <c r="C571" s="547" t="s">
        <v>2910</v>
      </c>
      <c r="D571" s="547" t="s">
        <v>66</v>
      </c>
      <c r="E571" s="547" t="s">
        <v>588</v>
      </c>
      <c r="F571" s="547" t="s">
        <v>961</v>
      </c>
      <c r="G571" s="547" t="s">
        <v>50</v>
      </c>
      <c r="H571" s="547" t="s">
        <v>51</v>
      </c>
      <c r="I571" s="550" t="s">
        <v>3018</v>
      </c>
      <c r="J571" s="551" t="s">
        <v>3019</v>
      </c>
      <c r="K571" s="539"/>
      <c r="L571" s="563"/>
      <c r="M571" s="563"/>
      <c r="N571" s="563"/>
      <c r="O571" s="539"/>
      <c r="P571" s="571"/>
      <c r="Q571" s="563"/>
      <c r="R571" s="571"/>
      <c r="S571" s="563"/>
      <c r="T571" s="571"/>
      <c r="U571" s="539"/>
      <c r="V571" s="571"/>
      <c r="W571" s="630" t="s">
        <v>150</v>
      </c>
      <c r="X571" s="571"/>
      <c r="Y571" s="563"/>
      <c r="Z571" s="571"/>
      <c r="AA571" s="553" t="s">
        <v>2913</v>
      </c>
      <c r="AB571" s="566"/>
    </row>
    <row r="572">
      <c r="A572" s="586">
        <v>998.0</v>
      </c>
      <c r="B572" s="638">
        <v>45358.0</v>
      </c>
      <c r="C572" s="501" t="s">
        <v>3020</v>
      </c>
      <c r="D572" s="639" t="s">
        <v>66</v>
      </c>
      <c r="E572" s="639" t="s">
        <v>3021</v>
      </c>
      <c r="F572" s="639" t="s">
        <v>3022</v>
      </c>
      <c r="G572" s="635">
        <v>1.534037E7</v>
      </c>
      <c r="H572" s="639" t="s">
        <v>200</v>
      </c>
      <c r="I572" s="503" t="s">
        <v>3023</v>
      </c>
      <c r="J572" s="504" t="s">
        <v>3024</v>
      </c>
      <c r="K572" s="525" t="s">
        <v>2340</v>
      </c>
      <c r="L572" s="618"/>
      <c r="M572" s="618"/>
      <c r="N572" s="618"/>
      <c r="O572" s="618"/>
      <c r="P572" s="620"/>
      <c r="Q572" s="618"/>
      <c r="R572" s="620"/>
      <c r="S572" s="618"/>
      <c r="T572" s="620"/>
      <c r="U572" s="618"/>
      <c r="V572" s="620"/>
      <c r="W572" s="708"/>
      <c r="X572" s="620"/>
      <c r="Y572" s="618"/>
      <c r="Z572" s="620"/>
      <c r="AA572" s="541" t="s">
        <v>3025</v>
      </c>
      <c r="AB572" s="608"/>
    </row>
    <row r="573">
      <c r="A573" s="586">
        <v>997.0</v>
      </c>
      <c r="B573" s="576">
        <v>45358.0</v>
      </c>
      <c r="C573" s="489" t="s">
        <v>3020</v>
      </c>
      <c r="D573" s="521" t="s">
        <v>66</v>
      </c>
      <c r="E573" s="521" t="s">
        <v>3021</v>
      </c>
      <c r="F573" s="521" t="s">
        <v>3022</v>
      </c>
      <c r="G573" s="522">
        <v>1.534037E7</v>
      </c>
      <c r="H573" s="521" t="s">
        <v>200</v>
      </c>
      <c r="I573" s="491" t="s">
        <v>3023</v>
      </c>
      <c r="J573" s="492" t="s">
        <v>3026</v>
      </c>
      <c r="K573" s="525" t="s">
        <v>2340</v>
      </c>
      <c r="L573" s="618"/>
      <c r="M573" s="618"/>
      <c r="N573" s="618"/>
      <c r="O573" s="618"/>
      <c r="P573" s="620"/>
      <c r="Q573" s="618"/>
      <c r="R573" s="620"/>
      <c r="S573" s="618"/>
      <c r="T573" s="620"/>
      <c r="U573" s="494" t="s">
        <v>62</v>
      </c>
      <c r="V573" s="620"/>
      <c r="W573" s="621"/>
      <c r="X573" s="620"/>
      <c r="Y573" s="618"/>
      <c r="Z573" s="620"/>
      <c r="AA573" s="541" t="s">
        <v>3027</v>
      </c>
      <c r="AB573" s="608"/>
    </row>
    <row r="574">
      <c r="A574" s="586">
        <v>992.0</v>
      </c>
      <c r="B574" s="576">
        <v>45357.0</v>
      </c>
      <c r="C574" s="489" t="s">
        <v>2127</v>
      </c>
      <c r="D574" s="521" t="s">
        <v>66</v>
      </c>
      <c r="E574" s="521" t="s">
        <v>2124</v>
      </c>
      <c r="F574" s="521" t="s">
        <v>1652</v>
      </c>
      <c r="G574" s="521" t="s">
        <v>50</v>
      </c>
      <c r="H574" s="521" t="s">
        <v>32</v>
      </c>
      <c r="I574" s="491" t="s">
        <v>3028</v>
      </c>
      <c r="J574" s="492" t="s">
        <v>3029</v>
      </c>
      <c r="K574" s="525" t="s">
        <v>2098</v>
      </c>
      <c r="L574" s="525" t="s">
        <v>554</v>
      </c>
      <c r="M574" s="525" t="s">
        <v>2646</v>
      </c>
      <c r="N574" s="618"/>
      <c r="O574" s="618"/>
      <c r="P574" s="620"/>
      <c r="Q574" s="618"/>
      <c r="R574" s="620"/>
      <c r="S574" s="525" t="s">
        <v>62</v>
      </c>
      <c r="T574" s="626">
        <v>45674.0</v>
      </c>
      <c r="U574" s="618"/>
      <c r="V574" s="620"/>
      <c r="W574" s="625"/>
      <c r="X574" s="620"/>
      <c r="Y574" s="618"/>
      <c r="Z574" s="620"/>
      <c r="AA574" s="545" t="s">
        <v>3030</v>
      </c>
      <c r="AB574" s="608"/>
    </row>
    <row r="575">
      <c r="A575" s="586">
        <v>955.0</v>
      </c>
      <c r="B575" s="576">
        <v>45350.0</v>
      </c>
      <c r="C575" s="489" t="s">
        <v>3031</v>
      </c>
      <c r="D575" s="521" t="s">
        <v>29</v>
      </c>
      <c r="E575" s="521" t="s">
        <v>3032</v>
      </c>
      <c r="F575" s="521" t="s">
        <v>924</v>
      </c>
      <c r="G575" s="522">
        <v>1.9440165E7</v>
      </c>
      <c r="H575" s="521" t="s">
        <v>200</v>
      </c>
      <c r="I575" s="491" t="s">
        <v>3033</v>
      </c>
      <c r="J575" s="492" t="s">
        <v>3034</v>
      </c>
      <c r="K575" s="618"/>
      <c r="L575" s="525" t="s">
        <v>3035</v>
      </c>
      <c r="M575" s="525" t="s">
        <v>3036</v>
      </c>
      <c r="N575" s="618"/>
      <c r="O575" s="525" t="s">
        <v>3037</v>
      </c>
      <c r="P575" s="626"/>
      <c r="Q575" s="618"/>
      <c r="R575" s="620"/>
      <c r="S575" s="618"/>
      <c r="T575" s="620"/>
      <c r="U575" s="525" t="s">
        <v>1563</v>
      </c>
      <c r="V575" s="626">
        <v>45820.0</v>
      </c>
      <c r="W575" s="742"/>
      <c r="X575" s="620"/>
      <c r="Y575" s="618"/>
      <c r="Z575" s="620"/>
      <c r="AA575" s="541" t="s">
        <v>3038</v>
      </c>
      <c r="AB575" s="608"/>
    </row>
    <row r="576">
      <c r="A576" s="743">
        <v>952.0</v>
      </c>
      <c r="B576" s="744">
        <v>45349.0</v>
      </c>
      <c r="C576" s="745" t="s">
        <v>2367</v>
      </c>
      <c r="D576" s="745" t="s">
        <v>66</v>
      </c>
      <c r="E576" s="745" t="s">
        <v>714</v>
      </c>
      <c r="F576" s="745" t="s">
        <v>49</v>
      </c>
      <c r="G576" s="745" t="s">
        <v>50</v>
      </c>
      <c r="H576" s="746" t="s">
        <v>103</v>
      </c>
      <c r="I576" s="747" t="s">
        <v>3039</v>
      </c>
      <c r="J576" s="748" t="s">
        <v>3040</v>
      </c>
      <c r="K576" s="647" t="s">
        <v>377</v>
      </c>
      <c r="L576" s="647" t="s">
        <v>378</v>
      </c>
      <c r="M576" s="647" t="s">
        <v>1162</v>
      </c>
      <c r="N576" s="749"/>
      <c r="O576" s="647" t="s">
        <v>62</v>
      </c>
      <c r="P576" s="750"/>
      <c r="Q576" s="749"/>
      <c r="R576" s="750"/>
      <c r="S576" s="751"/>
      <c r="T576" s="750"/>
      <c r="U576" s="647" t="s">
        <v>62</v>
      </c>
      <c r="V576" s="750"/>
      <c r="W576" s="752"/>
      <c r="X576" s="750"/>
      <c r="Y576" s="749"/>
      <c r="Z576" s="750"/>
      <c r="AA576" s="753" t="s">
        <v>2067</v>
      </c>
      <c r="AB576" s="754" t="s">
        <v>3041</v>
      </c>
    </row>
    <row r="577">
      <c r="A577" s="586">
        <v>949.0</v>
      </c>
      <c r="B577" s="638">
        <v>45349.0</v>
      </c>
      <c r="C577" s="489" t="s">
        <v>1214</v>
      </c>
      <c r="D577" s="489" t="s">
        <v>66</v>
      </c>
      <c r="E577" s="489" t="s">
        <v>1215</v>
      </c>
      <c r="F577" s="521" t="s">
        <v>49</v>
      </c>
      <c r="G577" s="521">
        <v>1.8030728E7</v>
      </c>
      <c r="H577" s="521" t="s">
        <v>32</v>
      </c>
      <c r="I577" s="491" t="s">
        <v>1216</v>
      </c>
      <c r="J577" s="524" t="s">
        <v>3042</v>
      </c>
      <c r="K577" s="618"/>
      <c r="L577" s="618"/>
      <c r="M577" s="618"/>
      <c r="N577" s="618"/>
      <c r="O577" s="618"/>
      <c r="P577" s="620"/>
      <c r="Q577" s="618"/>
      <c r="R577" s="620"/>
      <c r="S577" s="618"/>
      <c r="T577" s="620"/>
      <c r="U577" s="618"/>
      <c r="V577" s="620"/>
      <c r="W577" s="625"/>
      <c r="X577" s="620"/>
      <c r="Y577" s="618"/>
      <c r="Z577" s="620"/>
      <c r="AA577" s="611"/>
      <c r="AB577" s="608"/>
    </row>
    <row r="578">
      <c r="A578" s="586">
        <v>934.0</v>
      </c>
      <c r="B578" s="576">
        <v>45338.0</v>
      </c>
      <c r="C578" s="489" t="s">
        <v>2814</v>
      </c>
      <c r="D578" s="521" t="s">
        <v>66</v>
      </c>
      <c r="E578" s="521" t="s">
        <v>417</v>
      </c>
      <c r="F578" s="521" t="s">
        <v>3043</v>
      </c>
      <c r="G578" s="522">
        <v>1.6340531E7</v>
      </c>
      <c r="H578" s="521" t="s">
        <v>200</v>
      </c>
      <c r="I578" s="491" t="s">
        <v>2837</v>
      </c>
      <c r="J578" s="524" t="s">
        <v>3044</v>
      </c>
      <c r="K578" s="525" t="s">
        <v>265</v>
      </c>
      <c r="L578" s="525" t="s">
        <v>2817</v>
      </c>
      <c r="M578" s="525" t="s">
        <v>267</v>
      </c>
      <c r="N578" s="618"/>
      <c r="O578" s="618"/>
      <c r="P578" s="620"/>
      <c r="Q578" s="618"/>
      <c r="R578" s="620"/>
      <c r="S578" s="618"/>
      <c r="T578" s="620"/>
      <c r="U578" s="525" t="s">
        <v>62</v>
      </c>
      <c r="V578" s="637">
        <v>45580.0</v>
      </c>
      <c r="W578" s="625"/>
      <c r="X578" s="620"/>
      <c r="Y578" s="618"/>
      <c r="Z578" s="620"/>
      <c r="AA578" s="611"/>
      <c r="AB578" s="608"/>
    </row>
    <row r="579">
      <c r="A579" s="522">
        <v>933.0</v>
      </c>
      <c r="B579" s="576">
        <v>45338.0</v>
      </c>
      <c r="C579" s="489" t="s">
        <v>2814</v>
      </c>
      <c r="D579" s="521" t="s">
        <v>66</v>
      </c>
      <c r="E579" s="521" t="s">
        <v>417</v>
      </c>
      <c r="F579" s="521" t="s">
        <v>3043</v>
      </c>
      <c r="G579" s="521" t="s">
        <v>50</v>
      </c>
      <c r="H579" s="521" t="s">
        <v>200</v>
      </c>
      <c r="I579" s="491" t="s">
        <v>3045</v>
      </c>
      <c r="J579" s="524" t="s">
        <v>3046</v>
      </c>
      <c r="K579" s="525" t="s">
        <v>265</v>
      </c>
      <c r="L579" s="525" t="s">
        <v>3047</v>
      </c>
      <c r="M579" s="525" t="s">
        <v>267</v>
      </c>
      <c r="N579" s="618"/>
      <c r="O579" s="618"/>
      <c r="P579" s="620"/>
      <c r="Q579" s="618"/>
      <c r="R579" s="620"/>
      <c r="S579" s="618"/>
      <c r="T579" s="620"/>
      <c r="U579" s="618"/>
      <c r="V579" s="620"/>
      <c r="W579" s="625"/>
      <c r="X579" s="620"/>
      <c r="Y579" s="618"/>
      <c r="Z579" s="620"/>
      <c r="AA579" s="545" t="s">
        <v>1218</v>
      </c>
      <c r="AB579" s="608"/>
    </row>
    <row r="580">
      <c r="A580" s="522">
        <v>932.0</v>
      </c>
      <c r="B580" s="576">
        <v>45338.0</v>
      </c>
      <c r="C580" s="489" t="s">
        <v>2814</v>
      </c>
      <c r="D580" s="521" t="s">
        <v>66</v>
      </c>
      <c r="E580" s="521" t="s">
        <v>417</v>
      </c>
      <c r="F580" s="521" t="s">
        <v>3043</v>
      </c>
      <c r="G580" s="521" t="s">
        <v>50</v>
      </c>
      <c r="H580" s="521" t="s">
        <v>200</v>
      </c>
      <c r="I580" s="491" t="s">
        <v>3048</v>
      </c>
      <c r="J580" s="524" t="s">
        <v>3046</v>
      </c>
      <c r="K580" s="525" t="s">
        <v>265</v>
      </c>
      <c r="L580" s="525" t="s">
        <v>3049</v>
      </c>
      <c r="M580" s="525" t="s">
        <v>267</v>
      </c>
      <c r="N580" s="618"/>
      <c r="O580" s="618"/>
      <c r="P580" s="620"/>
      <c r="Q580" s="618"/>
      <c r="R580" s="620"/>
      <c r="S580" s="618"/>
      <c r="T580" s="620"/>
      <c r="U580" s="618"/>
      <c r="V580" s="620"/>
      <c r="W580" s="625"/>
      <c r="X580" s="620"/>
      <c r="Y580" s="618"/>
      <c r="Z580" s="620"/>
      <c r="AA580" s="545" t="s">
        <v>1218</v>
      </c>
      <c r="AB580" s="608"/>
    </row>
    <row r="581">
      <c r="A581" s="522">
        <v>931.0</v>
      </c>
      <c r="B581" s="576">
        <v>45338.0</v>
      </c>
      <c r="C581" s="489" t="s">
        <v>2814</v>
      </c>
      <c r="D581" s="521" t="s">
        <v>66</v>
      </c>
      <c r="E581" s="521" t="s">
        <v>417</v>
      </c>
      <c r="F581" s="521" t="s">
        <v>3043</v>
      </c>
      <c r="G581" s="521" t="s">
        <v>50</v>
      </c>
      <c r="H581" s="521" t="s">
        <v>200</v>
      </c>
      <c r="I581" s="491" t="s">
        <v>3050</v>
      </c>
      <c r="J581" s="524" t="s">
        <v>3046</v>
      </c>
      <c r="K581" s="525" t="s">
        <v>265</v>
      </c>
      <c r="L581" s="525" t="s">
        <v>1566</v>
      </c>
      <c r="M581" s="525" t="s">
        <v>267</v>
      </c>
      <c r="N581" s="618"/>
      <c r="O581" s="618"/>
      <c r="P581" s="620"/>
      <c r="Q581" s="618"/>
      <c r="R581" s="620"/>
      <c r="S581" s="618"/>
      <c r="T581" s="620"/>
      <c r="U581" s="618"/>
      <c r="V581" s="620"/>
      <c r="W581" s="625"/>
      <c r="X581" s="620"/>
      <c r="Y581" s="618"/>
      <c r="Z581" s="620"/>
      <c r="AA581" s="545" t="s">
        <v>1218</v>
      </c>
      <c r="AB581" s="608"/>
    </row>
    <row r="582">
      <c r="A582" s="586">
        <v>925.0</v>
      </c>
      <c r="B582" s="633">
        <v>45329.0</v>
      </c>
      <c r="C582" s="535" t="s">
        <v>3051</v>
      </c>
      <c r="D582" s="634" t="s">
        <v>66</v>
      </c>
      <c r="E582" s="634" t="s">
        <v>910</v>
      </c>
      <c r="F582" s="634" t="s">
        <v>160</v>
      </c>
      <c r="G582" s="634">
        <v>1.597182E7</v>
      </c>
      <c r="H582" s="634" t="s">
        <v>120</v>
      </c>
      <c r="I582" s="536" t="s">
        <v>3052</v>
      </c>
      <c r="J582" s="537" t="s">
        <v>3053</v>
      </c>
      <c r="K582" s="618"/>
      <c r="L582" s="618"/>
      <c r="M582" s="618"/>
      <c r="N582" s="618"/>
      <c r="O582" s="618"/>
      <c r="P582" s="620"/>
      <c r="Q582" s="618"/>
      <c r="R582" s="620"/>
      <c r="S582" s="618"/>
      <c r="T582" s="620"/>
      <c r="U582" s="618"/>
      <c r="V582" s="620"/>
      <c r="W582" s="636" t="s">
        <v>150</v>
      </c>
      <c r="X582" s="620"/>
      <c r="Y582" s="618"/>
      <c r="Z582" s="620"/>
      <c r="AA582" s="545"/>
      <c r="AB582" s="608"/>
    </row>
    <row r="583">
      <c r="A583" s="586">
        <v>909.0</v>
      </c>
      <c r="B583" s="576">
        <v>45323.0</v>
      </c>
      <c r="C583" s="489" t="s">
        <v>3054</v>
      </c>
      <c r="D583" s="521" t="s">
        <v>66</v>
      </c>
      <c r="E583" s="521" t="s">
        <v>1766</v>
      </c>
      <c r="F583" s="521" t="s">
        <v>1865</v>
      </c>
      <c r="G583" s="522">
        <v>1.6451546E7</v>
      </c>
      <c r="H583" s="521" t="s">
        <v>42</v>
      </c>
      <c r="I583" s="491" t="s">
        <v>3055</v>
      </c>
      <c r="J583" s="492" t="s">
        <v>3056</v>
      </c>
      <c r="K583" s="525" t="s">
        <v>1770</v>
      </c>
      <c r="L583" s="525" t="s">
        <v>408</v>
      </c>
      <c r="M583" s="525" t="s">
        <v>1137</v>
      </c>
      <c r="N583" s="618"/>
      <c r="O583" s="618"/>
      <c r="P583" s="620"/>
      <c r="Q583" s="618"/>
      <c r="R583" s="620"/>
      <c r="S583" s="618"/>
      <c r="T583" s="620"/>
      <c r="U583" s="525" t="s">
        <v>62</v>
      </c>
      <c r="V583" s="626">
        <v>45719.0</v>
      </c>
      <c r="W583" s="621"/>
      <c r="X583" s="620"/>
      <c r="Y583" s="618"/>
      <c r="Z583" s="620"/>
      <c r="AA583" s="541" t="s">
        <v>1218</v>
      </c>
      <c r="AB583" s="608"/>
    </row>
    <row r="584">
      <c r="A584" s="586">
        <v>901.0</v>
      </c>
      <c r="B584" s="638">
        <v>45315.0</v>
      </c>
      <c r="C584" s="501" t="s">
        <v>3057</v>
      </c>
      <c r="D584" s="755" t="s">
        <v>2427</v>
      </c>
      <c r="E584" s="639" t="s">
        <v>374</v>
      </c>
      <c r="F584" s="756" t="s">
        <v>2218</v>
      </c>
      <c r="G584" s="639" t="s">
        <v>50</v>
      </c>
      <c r="H584" s="639" t="s">
        <v>348</v>
      </c>
      <c r="I584" s="503" t="s">
        <v>3058</v>
      </c>
      <c r="J584" s="524" t="s">
        <v>3059</v>
      </c>
      <c r="K584" s="618"/>
      <c r="L584" s="618"/>
      <c r="M584" s="618"/>
      <c r="N584" s="618"/>
      <c r="O584" s="618"/>
      <c r="P584" s="620"/>
      <c r="Q584" s="618"/>
      <c r="R584" s="620"/>
      <c r="S584" s="618"/>
      <c r="T584" s="620"/>
      <c r="U584" s="618"/>
      <c r="V584" s="620"/>
      <c r="W584" s="625"/>
      <c r="X584" s="620"/>
      <c r="Y584" s="618"/>
      <c r="Z584" s="620"/>
      <c r="AA584" s="611"/>
      <c r="AB584" s="608"/>
    </row>
    <row r="585">
      <c r="A585" s="586">
        <v>898.0</v>
      </c>
      <c r="B585" s="576">
        <v>45314.0</v>
      </c>
      <c r="C585" s="489" t="s">
        <v>2367</v>
      </c>
      <c r="D585" s="521" t="s">
        <v>66</v>
      </c>
      <c r="E585" s="521" t="s">
        <v>714</v>
      </c>
      <c r="F585" s="521" t="s">
        <v>49</v>
      </c>
      <c r="G585" s="521" t="s">
        <v>50</v>
      </c>
      <c r="H585" s="521" t="s">
        <v>103</v>
      </c>
      <c r="I585" s="491" t="s">
        <v>3060</v>
      </c>
      <c r="J585" s="757" t="s">
        <v>3061</v>
      </c>
      <c r="K585" s="525" t="s">
        <v>377</v>
      </c>
      <c r="L585" s="525" t="s">
        <v>378</v>
      </c>
      <c r="M585" s="525" t="s">
        <v>1162</v>
      </c>
      <c r="N585" s="618"/>
      <c r="O585" s="525" t="s">
        <v>62</v>
      </c>
      <c r="P585" s="620"/>
      <c r="Q585" s="618"/>
      <c r="R585" s="620"/>
      <c r="S585" s="525" t="s">
        <v>62</v>
      </c>
      <c r="T585" s="620"/>
      <c r="U585" s="525" t="s">
        <v>62</v>
      </c>
      <c r="V585" s="620"/>
      <c r="W585" s="621"/>
      <c r="X585" s="620"/>
      <c r="Y585" s="618"/>
      <c r="Z585" s="620"/>
      <c r="AA585" s="545" t="s">
        <v>2067</v>
      </c>
      <c r="AB585" s="545" t="s">
        <v>3062</v>
      </c>
    </row>
    <row r="586">
      <c r="A586" s="586">
        <v>897.0</v>
      </c>
      <c r="B586" s="576">
        <v>45314.0</v>
      </c>
      <c r="C586" s="489" t="s">
        <v>2367</v>
      </c>
      <c r="D586" s="521" t="s">
        <v>66</v>
      </c>
      <c r="E586" s="521" t="s">
        <v>714</v>
      </c>
      <c r="F586" s="521" t="s">
        <v>49</v>
      </c>
      <c r="G586" s="521">
        <v>1.923015E7</v>
      </c>
      <c r="H586" s="521" t="s">
        <v>103</v>
      </c>
      <c r="I586" s="491" t="s">
        <v>3063</v>
      </c>
      <c r="J586" s="758" t="s">
        <v>3064</v>
      </c>
      <c r="K586" s="525" t="s">
        <v>377</v>
      </c>
      <c r="L586" s="525" t="s">
        <v>378</v>
      </c>
      <c r="M586" s="525" t="s">
        <v>1162</v>
      </c>
      <c r="N586" s="618"/>
      <c r="O586" s="525" t="s">
        <v>62</v>
      </c>
      <c r="P586" s="620"/>
      <c r="Q586" s="618"/>
      <c r="R586" s="620"/>
      <c r="S586" s="525" t="s">
        <v>62</v>
      </c>
      <c r="T586" s="620"/>
      <c r="U586" s="525" t="s">
        <v>62</v>
      </c>
      <c r="V586" s="626">
        <v>45764.0</v>
      </c>
      <c r="W586" s="621"/>
      <c r="X586" s="620"/>
      <c r="Y586" s="618"/>
      <c r="Z586" s="620"/>
      <c r="AA586" s="545" t="s">
        <v>2067</v>
      </c>
      <c r="AB586" s="545" t="s">
        <v>3065</v>
      </c>
    </row>
    <row r="587">
      <c r="A587" s="327">
        <v>884.0</v>
      </c>
      <c r="B587" s="328">
        <v>45307.0</v>
      </c>
      <c r="C587" s="329" t="s">
        <v>829</v>
      </c>
      <c r="D587" s="329" t="s">
        <v>66</v>
      </c>
      <c r="E587" s="329" t="s">
        <v>830</v>
      </c>
      <c r="F587" s="329" t="s">
        <v>49</v>
      </c>
      <c r="G587" s="330">
        <v>1.9190058E7</v>
      </c>
      <c r="H587" s="329" t="s">
        <v>32</v>
      </c>
      <c r="I587" s="331" t="s">
        <v>3066</v>
      </c>
      <c r="J587" s="759" t="s">
        <v>3067</v>
      </c>
      <c r="K587" s="539"/>
      <c r="L587" s="563"/>
      <c r="M587" s="563"/>
      <c r="N587" s="563"/>
      <c r="O587" s="539"/>
      <c r="P587" s="571"/>
      <c r="Q587" s="563"/>
      <c r="R587" s="571"/>
      <c r="S587" s="563"/>
      <c r="T587" s="571"/>
      <c r="U587" s="623" t="s">
        <v>62</v>
      </c>
      <c r="V587" s="628">
        <v>45750.0</v>
      </c>
      <c r="W587" s="572"/>
      <c r="X587" s="571"/>
      <c r="Y587" s="563"/>
      <c r="Z587" s="571"/>
      <c r="AA587" s="566"/>
      <c r="AB587" s="568" t="s">
        <v>3068</v>
      </c>
    </row>
    <row r="588">
      <c r="A588" s="586">
        <v>875.0</v>
      </c>
      <c r="B588" s="576">
        <v>45303.0</v>
      </c>
      <c r="C588" s="489" t="s">
        <v>3069</v>
      </c>
      <c r="D588" s="521" t="s">
        <v>66</v>
      </c>
      <c r="E588" s="521" t="s">
        <v>367</v>
      </c>
      <c r="F588" s="521" t="s">
        <v>49</v>
      </c>
      <c r="G588" s="521">
        <v>1.4882799E7</v>
      </c>
      <c r="H588" s="521" t="s">
        <v>120</v>
      </c>
      <c r="I588" s="491" t="s">
        <v>3070</v>
      </c>
      <c r="J588" s="758" t="s">
        <v>3071</v>
      </c>
      <c r="K588" s="525" t="s">
        <v>370</v>
      </c>
      <c r="L588" s="525" t="s">
        <v>3072</v>
      </c>
      <c r="M588" s="525" t="s">
        <v>3073</v>
      </c>
      <c r="N588" s="618"/>
      <c r="O588" s="525" t="s">
        <v>62</v>
      </c>
      <c r="P588" s="626">
        <v>45733.0</v>
      </c>
      <c r="Q588" s="618"/>
      <c r="R588" s="620"/>
      <c r="S588" s="618"/>
      <c r="T588" s="620"/>
      <c r="U588" s="525" t="s">
        <v>62</v>
      </c>
      <c r="V588" s="620"/>
      <c r="W588" s="621"/>
      <c r="X588" s="620"/>
      <c r="Y588" s="618"/>
      <c r="Z588" s="620"/>
      <c r="AA588" s="545" t="s">
        <v>1879</v>
      </c>
      <c r="AB588" s="608"/>
    </row>
    <row r="589">
      <c r="A589" s="522">
        <v>873.0</v>
      </c>
      <c r="B589" s="576">
        <v>45301.0</v>
      </c>
      <c r="C589" s="489" t="s">
        <v>3074</v>
      </c>
      <c r="D589" s="521" t="s">
        <v>66</v>
      </c>
      <c r="E589" s="521" t="s">
        <v>759</v>
      </c>
      <c r="F589" s="521" t="s">
        <v>49</v>
      </c>
      <c r="G589" s="521" t="s">
        <v>50</v>
      </c>
      <c r="H589" s="521" t="s">
        <v>50</v>
      </c>
      <c r="I589" s="491" t="s">
        <v>3075</v>
      </c>
      <c r="J589" s="760" t="s">
        <v>3076</v>
      </c>
      <c r="K589" s="618"/>
      <c r="L589" s="618"/>
      <c r="M589" s="618"/>
      <c r="N589" s="618"/>
      <c r="O589" s="618"/>
      <c r="P589" s="620"/>
      <c r="Q589" s="618"/>
      <c r="R589" s="620"/>
      <c r="S589" s="618"/>
      <c r="T589" s="620"/>
      <c r="U589" s="618"/>
      <c r="V589" s="620"/>
      <c r="W589" s="625"/>
      <c r="X589" s="620"/>
      <c r="Y589" s="618"/>
      <c r="Z589" s="620"/>
      <c r="AA589" s="669"/>
      <c r="AB589" s="608"/>
    </row>
    <row r="590">
      <c r="A590" s="728">
        <v>871.0</v>
      </c>
      <c r="B590" s="761">
        <v>45300.0</v>
      </c>
      <c r="C590" s="762" t="s">
        <v>2159</v>
      </c>
      <c r="D590" s="762" t="s">
        <v>29</v>
      </c>
      <c r="E590" s="763" t="s">
        <v>506</v>
      </c>
      <c r="F590" s="763" t="s">
        <v>49</v>
      </c>
      <c r="G590" s="763" t="s">
        <v>50</v>
      </c>
      <c r="H590" s="763" t="s">
        <v>200</v>
      </c>
      <c r="I590" s="739" t="s">
        <v>3077</v>
      </c>
      <c r="J590" s="764" t="s">
        <v>3078</v>
      </c>
      <c r="K590" s="525" t="s">
        <v>3079</v>
      </c>
      <c r="L590" s="525" t="s">
        <v>554</v>
      </c>
      <c r="M590" s="618"/>
      <c r="N590" s="618"/>
      <c r="O590" s="525" t="s">
        <v>174</v>
      </c>
      <c r="P590" s="620"/>
      <c r="Q590" s="618"/>
      <c r="R590" s="620"/>
      <c r="S590" s="618"/>
      <c r="T590" s="620"/>
      <c r="U590" s="618"/>
      <c r="V590" s="620"/>
      <c r="W590" s="636" t="s">
        <v>62</v>
      </c>
      <c r="X590" s="620"/>
      <c r="Y590" s="618"/>
      <c r="Z590" s="620"/>
      <c r="AA590" s="541" t="s">
        <v>3080</v>
      </c>
      <c r="AB590" s="608"/>
    </row>
    <row r="591">
      <c r="A591" s="586">
        <v>861.0</v>
      </c>
      <c r="B591" s="576">
        <v>45286.0</v>
      </c>
      <c r="C591" s="489" t="s">
        <v>3081</v>
      </c>
      <c r="D591" s="521" t="s">
        <v>3082</v>
      </c>
      <c r="E591" s="521" t="s">
        <v>452</v>
      </c>
      <c r="F591" s="521" t="s">
        <v>2218</v>
      </c>
      <c r="G591" s="522">
        <v>1.9250099E7</v>
      </c>
      <c r="H591" s="521" t="s">
        <v>348</v>
      </c>
      <c r="I591" s="491" t="s">
        <v>3083</v>
      </c>
      <c r="J591" s="760" t="s">
        <v>3084</v>
      </c>
      <c r="K591" s="618"/>
      <c r="L591" s="622"/>
      <c r="M591" s="525" t="s">
        <v>2222</v>
      </c>
      <c r="N591" s="618"/>
      <c r="O591" s="622"/>
      <c r="P591" s="620"/>
      <c r="Q591" s="618"/>
      <c r="R591" s="620"/>
      <c r="S591" s="618"/>
      <c r="T591" s="620"/>
      <c r="U591" s="618"/>
      <c r="V591" s="620"/>
      <c r="W591" s="625"/>
      <c r="X591" s="620"/>
      <c r="Y591" s="618"/>
      <c r="Z591" s="620"/>
      <c r="AA591" s="611"/>
      <c r="AB591" s="608"/>
    </row>
    <row r="592">
      <c r="A592" s="586">
        <v>843.0</v>
      </c>
      <c r="B592" s="576">
        <v>45280.0</v>
      </c>
      <c r="C592" s="489" t="s">
        <v>3085</v>
      </c>
      <c r="D592" s="521" t="s">
        <v>66</v>
      </c>
      <c r="E592" s="521" t="s">
        <v>309</v>
      </c>
      <c r="F592" s="521" t="s">
        <v>49</v>
      </c>
      <c r="G592" s="522">
        <v>1.8030702E7</v>
      </c>
      <c r="H592" s="521" t="s">
        <v>103</v>
      </c>
      <c r="I592" s="491" t="s">
        <v>3086</v>
      </c>
      <c r="J592" s="758" t="s">
        <v>3087</v>
      </c>
      <c r="K592" s="525" t="s">
        <v>3088</v>
      </c>
      <c r="L592" s="525" t="s">
        <v>3089</v>
      </c>
      <c r="M592" s="525" t="s">
        <v>78</v>
      </c>
      <c r="N592" s="618"/>
      <c r="O592" s="525" t="s">
        <v>62</v>
      </c>
      <c r="P592" s="620"/>
      <c r="Q592" s="618"/>
      <c r="R592" s="620"/>
      <c r="S592" s="618"/>
      <c r="T592" s="620"/>
      <c r="U592" s="525" t="s">
        <v>62</v>
      </c>
      <c r="V592" s="620"/>
      <c r="W592" s="621"/>
      <c r="X592" s="620"/>
      <c r="Y592" s="618"/>
      <c r="Z592" s="620"/>
      <c r="AA592" s="541" t="s">
        <v>2067</v>
      </c>
      <c r="AB592" s="545"/>
    </row>
    <row r="593">
      <c r="A593" s="586">
        <v>838.0</v>
      </c>
      <c r="B593" s="638">
        <v>45156.0</v>
      </c>
      <c r="C593" s="535" t="s">
        <v>3090</v>
      </c>
      <c r="D593" s="634" t="s">
        <v>66</v>
      </c>
      <c r="E593" s="634" t="s">
        <v>367</v>
      </c>
      <c r="F593" s="634" t="s">
        <v>49</v>
      </c>
      <c r="G593" s="634">
        <v>1.48828E7</v>
      </c>
      <c r="H593" s="634" t="s">
        <v>120</v>
      </c>
      <c r="I593" s="536" t="s">
        <v>3091</v>
      </c>
      <c r="J593" s="765" t="s">
        <v>3092</v>
      </c>
      <c r="K593" s="525" t="s">
        <v>370</v>
      </c>
      <c r="L593" s="525" t="s">
        <v>124</v>
      </c>
      <c r="M593" s="520" t="s">
        <v>125</v>
      </c>
      <c r="N593" s="618"/>
      <c r="O593" s="618"/>
      <c r="P593" s="620"/>
      <c r="Q593" s="618"/>
      <c r="R593" s="620"/>
      <c r="S593" s="618"/>
      <c r="T593" s="620"/>
      <c r="U593" s="618"/>
      <c r="V593" s="620"/>
      <c r="W593" s="636" t="s">
        <v>150</v>
      </c>
      <c r="X593" s="620"/>
      <c r="Y593" s="618"/>
      <c r="Z593" s="620"/>
      <c r="AA593" s="541"/>
      <c r="AB593" s="545" t="s">
        <v>3093</v>
      </c>
    </row>
    <row r="594">
      <c r="A594" s="586">
        <v>823.0</v>
      </c>
      <c r="B594" s="576">
        <v>45264.0</v>
      </c>
      <c r="C594" s="489" t="s">
        <v>3094</v>
      </c>
      <c r="D594" s="521" t="s">
        <v>66</v>
      </c>
      <c r="E594" s="521" t="s">
        <v>814</v>
      </c>
      <c r="F594" s="521" t="s">
        <v>559</v>
      </c>
      <c r="G594" s="522">
        <v>1.802031E7</v>
      </c>
      <c r="H594" s="521" t="s">
        <v>32</v>
      </c>
      <c r="I594" s="491" t="s">
        <v>3095</v>
      </c>
      <c r="J594" s="757" t="s">
        <v>3096</v>
      </c>
      <c r="K594" s="525" t="s">
        <v>817</v>
      </c>
      <c r="L594" s="525" t="s">
        <v>2489</v>
      </c>
      <c r="M594" s="525" t="s">
        <v>737</v>
      </c>
      <c r="N594" s="618"/>
      <c r="O594" s="618"/>
      <c r="P594" s="620"/>
      <c r="Q594" s="618"/>
      <c r="R594" s="620"/>
      <c r="S594" s="622"/>
      <c r="T594" s="620"/>
      <c r="U594" s="618"/>
      <c r="V594" s="620"/>
      <c r="W594" s="625"/>
      <c r="X594" s="620"/>
      <c r="Y594" s="622"/>
      <c r="Z594" s="620"/>
      <c r="AA594" s="545" t="s">
        <v>3097</v>
      </c>
      <c r="AB594" s="608"/>
    </row>
    <row r="595">
      <c r="A595" s="586">
        <v>822.0</v>
      </c>
      <c r="B595" s="638">
        <v>45237.0</v>
      </c>
      <c r="C595" s="501" t="s">
        <v>118</v>
      </c>
      <c r="D595" s="639" t="s">
        <v>66</v>
      </c>
      <c r="E595" s="639" t="s">
        <v>119</v>
      </c>
      <c r="F595" s="639" t="s">
        <v>49</v>
      </c>
      <c r="G595" s="639" t="s">
        <v>50</v>
      </c>
      <c r="H595" s="639" t="s">
        <v>120</v>
      </c>
      <c r="I595" s="503" t="s">
        <v>3098</v>
      </c>
      <c r="J595" s="766" t="s">
        <v>3099</v>
      </c>
      <c r="K595" s="525" t="s">
        <v>370</v>
      </c>
      <c r="L595" s="680"/>
      <c r="M595" s="618"/>
      <c r="N595" s="618"/>
      <c r="O595" s="618"/>
      <c r="P595" s="620"/>
      <c r="Q595" s="618"/>
      <c r="R595" s="620"/>
      <c r="S595" s="618"/>
      <c r="T595" s="620"/>
      <c r="U595" s="618"/>
      <c r="V595" s="620"/>
      <c r="W595" s="618"/>
      <c r="X595" s="620"/>
      <c r="Y595" s="618"/>
      <c r="Z595" s="620"/>
      <c r="AA595" s="541" t="s">
        <v>3025</v>
      </c>
      <c r="AB595" s="545" t="s">
        <v>3100</v>
      </c>
    </row>
    <row r="596">
      <c r="A596" s="327">
        <v>820.0</v>
      </c>
      <c r="B596" s="546">
        <v>45260.0</v>
      </c>
      <c r="C596" s="547" t="s">
        <v>3101</v>
      </c>
      <c r="D596" s="547" t="s">
        <v>66</v>
      </c>
      <c r="E596" s="547" t="s">
        <v>133</v>
      </c>
      <c r="F596" s="547" t="s">
        <v>134</v>
      </c>
      <c r="G596" s="549">
        <v>1.4962132E7</v>
      </c>
      <c r="H596" s="547" t="s">
        <v>135</v>
      </c>
      <c r="I596" s="550" t="s">
        <v>3102</v>
      </c>
      <c r="J596" s="767" t="s">
        <v>3103</v>
      </c>
      <c r="K596" s="539"/>
      <c r="L596" s="564" t="s">
        <v>138</v>
      </c>
      <c r="M596" s="564" t="s">
        <v>139</v>
      </c>
      <c r="N596" s="563"/>
      <c r="O596" s="539"/>
      <c r="P596" s="571"/>
      <c r="Q596" s="563"/>
      <c r="R596" s="571"/>
      <c r="S596" s="563"/>
      <c r="T596" s="571"/>
      <c r="U596" s="539"/>
      <c r="V596" s="571"/>
      <c r="W596" s="630" t="s">
        <v>150</v>
      </c>
      <c r="X596" s="571"/>
      <c r="Y596" s="563"/>
      <c r="Z596" s="571"/>
      <c r="AA596" s="553" t="s">
        <v>215</v>
      </c>
      <c r="AB596" s="568" t="s">
        <v>3104</v>
      </c>
    </row>
    <row r="597">
      <c r="A597" s="586">
        <v>819.0</v>
      </c>
      <c r="B597" s="576">
        <v>45260.0</v>
      </c>
      <c r="C597" s="489" t="s">
        <v>3105</v>
      </c>
      <c r="D597" s="521" t="s">
        <v>66</v>
      </c>
      <c r="E597" s="521" t="s">
        <v>3106</v>
      </c>
      <c r="F597" s="521" t="s">
        <v>160</v>
      </c>
      <c r="G597" s="522">
        <v>1.649073E7</v>
      </c>
      <c r="H597" s="521" t="s">
        <v>120</v>
      </c>
      <c r="I597" s="491" t="s">
        <v>3107</v>
      </c>
      <c r="J597" s="758" t="s">
        <v>3108</v>
      </c>
      <c r="K597" s="525" t="s">
        <v>3109</v>
      </c>
      <c r="L597" s="525" t="s">
        <v>3110</v>
      </c>
      <c r="M597" s="525" t="s">
        <v>3111</v>
      </c>
      <c r="N597" s="618"/>
      <c r="O597" s="618"/>
      <c r="P597" s="620"/>
      <c r="Q597" s="618"/>
      <c r="R597" s="620"/>
      <c r="S597" s="525" t="s">
        <v>62</v>
      </c>
      <c r="T597" s="626">
        <v>45695.0</v>
      </c>
      <c r="U597" s="525" t="s">
        <v>62</v>
      </c>
      <c r="V597" s="620"/>
      <c r="W597" s="768"/>
      <c r="X597" s="620"/>
      <c r="Y597" s="618"/>
      <c r="Z597" s="620"/>
      <c r="AA597" s="541"/>
      <c r="AB597" s="545" t="s">
        <v>3112</v>
      </c>
    </row>
    <row r="598">
      <c r="A598" s="586">
        <v>810.0</v>
      </c>
      <c r="B598" s="576">
        <v>45257.0</v>
      </c>
      <c r="C598" s="489" t="s">
        <v>3113</v>
      </c>
      <c r="D598" s="521" t="s">
        <v>29</v>
      </c>
      <c r="E598" s="521" t="s">
        <v>774</v>
      </c>
      <c r="F598" s="521" t="s">
        <v>3114</v>
      </c>
      <c r="G598" s="521">
        <v>1.928017E7</v>
      </c>
      <c r="H598" s="521" t="s">
        <v>42</v>
      </c>
      <c r="I598" s="491" t="s">
        <v>3115</v>
      </c>
      <c r="J598" s="758" t="s">
        <v>3116</v>
      </c>
      <c r="K598" s="525" t="s">
        <v>1746</v>
      </c>
      <c r="L598" s="618"/>
      <c r="M598" s="618"/>
      <c r="N598" s="618"/>
      <c r="O598" s="525" t="s">
        <v>62</v>
      </c>
      <c r="P598" s="626">
        <v>45722.0</v>
      </c>
      <c r="Q598" s="618"/>
      <c r="R598" s="620"/>
      <c r="S598" s="618"/>
      <c r="T598" s="620"/>
      <c r="U598" s="525" t="s">
        <v>62</v>
      </c>
      <c r="V598" s="620"/>
      <c r="W598" s="722"/>
      <c r="X598" s="620"/>
      <c r="Y598" s="618"/>
      <c r="Z598" s="620"/>
      <c r="AA598" s="541" t="s">
        <v>1879</v>
      </c>
      <c r="AB598" s="545" t="s">
        <v>3117</v>
      </c>
    </row>
    <row r="599">
      <c r="A599" s="586">
        <v>808.0</v>
      </c>
      <c r="B599" s="736">
        <v>45251.0</v>
      </c>
      <c r="C599" s="737" t="s">
        <v>3118</v>
      </c>
      <c r="D599" s="738" t="s">
        <v>66</v>
      </c>
      <c r="E599" s="738" t="s">
        <v>2124</v>
      </c>
      <c r="F599" s="738" t="s">
        <v>1652</v>
      </c>
      <c r="G599" s="769">
        <v>1.9440119E7</v>
      </c>
      <c r="H599" s="738" t="s">
        <v>200</v>
      </c>
      <c r="I599" s="739" t="s">
        <v>3119</v>
      </c>
      <c r="J599" s="764" t="s">
        <v>3120</v>
      </c>
      <c r="K599" s="525" t="s">
        <v>2098</v>
      </c>
      <c r="L599" s="525" t="s">
        <v>3121</v>
      </c>
      <c r="M599" s="525" t="s">
        <v>3122</v>
      </c>
      <c r="N599" s="618"/>
      <c r="O599" s="618"/>
      <c r="P599" s="620"/>
      <c r="Q599" s="618"/>
      <c r="R599" s="620"/>
      <c r="S599" s="618"/>
      <c r="T599" s="620"/>
      <c r="U599" s="618"/>
      <c r="V599" s="620"/>
      <c r="W599" s="770" t="s">
        <v>2327</v>
      </c>
      <c r="X599" s="620"/>
      <c r="Y599" s="618"/>
      <c r="Z599" s="620"/>
      <c r="AA599" s="545">
        <v>2.0250213E7</v>
      </c>
      <c r="AB599" s="608"/>
    </row>
    <row r="600">
      <c r="A600" s="586">
        <v>806.0</v>
      </c>
      <c r="B600" s="576">
        <v>45251.0</v>
      </c>
      <c r="C600" s="489" t="s">
        <v>3123</v>
      </c>
      <c r="D600" s="521" t="s">
        <v>29</v>
      </c>
      <c r="E600" s="521" t="s">
        <v>774</v>
      </c>
      <c r="F600" s="521" t="s">
        <v>3114</v>
      </c>
      <c r="G600" s="521">
        <v>1.9280169E7</v>
      </c>
      <c r="H600" s="521" t="s">
        <v>42</v>
      </c>
      <c r="I600" s="491" t="s">
        <v>3124</v>
      </c>
      <c r="J600" s="758" t="s">
        <v>3125</v>
      </c>
      <c r="K600" s="525" t="s">
        <v>1746</v>
      </c>
      <c r="L600" s="525" t="s">
        <v>2447</v>
      </c>
      <c r="M600" s="525" t="s">
        <v>1748</v>
      </c>
      <c r="N600" s="618"/>
      <c r="O600" s="525" t="s">
        <v>62</v>
      </c>
      <c r="P600" s="626">
        <v>45751.0</v>
      </c>
      <c r="Q600" s="618"/>
      <c r="R600" s="620"/>
      <c r="S600" s="618"/>
      <c r="T600" s="620"/>
      <c r="U600" s="525" t="s">
        <v>2917</v>
      </c>
      <c r="V600" s="626">
        <v>45803.0</v>
      </c>
      <c r="W600" s="621"/>
      <c r="X600" s="620"/>
      <c r="Y600" s="618"/>
      <c r="Z600" s="620"/>
      <c r="AA600" s="541" t="s">
        <v>1879</v>
      </c>
      <c r="AB600" s="545"/>
    </row>
    <row r="601">
      <c r="A601" s="586">
        <v>796.0</v>
      </c>
      <c r="B601" s="771">
        <v>45239.0</v>
      </c>
      <c r="C601" s="772" t="s">
        <v>3126</v>
      </c>
      <c r="D601" s="773"/>
      <c r="E601" s="773" t="s">
        <v>3127</v>
      </c>
      <c r="F601" s="773" t="s">
        <v>134</v>
      </c>
      <c r="G601" s="773">
        <v>1.6870026E7</v>
      </c>
      <c r="H601" s="773" t="s">
        <v>135</v>
      </c>
      <c r="I601" s="739" t="s">
        <v>3128</v>
      </c>
      <c r="J601" s="774" t="s">
        <v>3129</v>
      </c>
      <c r="K601" s="618"/>
      <c r="L601" s="618"/>
      <c r="M601" s="618"/>
      <c r="N601" s="618"/>
      <c r="O601" s="618"/>
      <c r="P601" s="620"/>
      <c r="Q601" s="618"/>
      <c r="R601" s="620"/>
      <c r="S601" s="618"/>
      <c r="T601" s="620"/>
      <c r="U601" s="618"/>
      <c r="V601" s="620"/>
      <c r="W601" s="775" t="s">
        <v>2327</v>
      </c>
      <c r="X601" s="620"/>
      <c r="Y601" s="618"/>
      <c r="Z601" s="620"/>
      <c r="AA601" s="611"/>
      <c r="AB601" s="608"/>
    </row>
    <row r="602">
      <c r="A602" s="586">
        <v>795.0</v>
      </c>
      <c r="B602" s="576">
        <v>45244.0</v>
      </c>
      <c r="C602" s="489" t="s">
        <v>3130</v>
      </c>
      <c r="D602" s="521" t="s">
        <v>66</v>
      </c>
      <c r="E602" s="521" t="s">
        <v>1059</v>
      </c>
      <c r="F602" s="521" t="s">
        <v>1060</v>
      </c>
      <c r="G602" s="521">
        <v>1.907027E7</v>
      </c>
      <c r="H602" s="521" t="s">
        <v>135</v>
      </c>
      <c r="I602" s="491" t="s">
        <v>3131</v>
      </c>
      <c r="J602" s="758" t="s">
        <v>3132</v>
      </c>
      <c r="K602" s="525" t="s">
        <v>1063</v>
      </c>
      <c r="L602" s="525" t="s">
        <v>3133</v>
      </c>
      <c r="M602" s="525" t="s">
        <v>1619</v>
      </c>
      <c r="N602" s="618"/>
      <c r="O602" s="618"/>
      <c r="P602" s="620"/>
      <c r="Q602" s="618"/>
      <c r="R602" s="620"/>
      <c r="S602" s="525" t="s">
        <v>62</v>
      </c>
      <c r="T602" s="626">
        <v>45714.0</v>
      </c>
      <c r="U602" s="525" t="s">
        <v>62</v>
      </c>
      <c r="V602" s="620"/>
      <c r="W602" s="621"/>
      <c r="X602" s="620"/>
      <c r="Y602" s="618"/>
      <c r="Z602" s="620"/>
      <c r="AA602" s="541"/>
      <c r="AB602" s="545" t="s">
        <v>3134</v>
      </c>
    </row>
    <row r="603">
      <c r="A603" s="586">
        <v>770.0</v>
      </c>
      <c r="B603" s="736">
        <v>45230.0</v>
      </c>
      <c r="C603" s="737" t="s">
        <v>3135</v>
      </c>
      <c r="D603" s="738" t="s">
        <v>66</v>
      </c>
      <c r="E603" s="738" t="s">
        <v>40</v>
      </c>
      <c r="F603" s="738" t="s">
        <v>41</v>
      </c>
      <c r="G603" s="738" t="s">
        <v>50</v>
      </c>
      <c r="H603" s="738" t="s">
        <v>112</v>
      </c>
      <c r="I603" s="739" t="s">
        <v>3136</v>
      </c>
      <c r="J603" s="764" t="s">
        <v>3137</v>
      </c>
      <c r="K603" s="618"/>
      <c r="L603" s="618"/>
      <c r="M603" s="618"/>
      <c r="N603" s="618"/>
      <c r="O603" s="618"/>
      <c r="P603" s="620"/>
      <c r="Q603" s="618"/>
      <c r="R603" s="620"/>
      <c r="S603" s="618"/>
      <c r="T603" s="620"/>
      <c r="U603" s="618"/>
      <c r="V603" s="620"/>
      <c r="W603" s="770" t="s">
        <v>62</v>
      </c>
      <c r="X603" s="620"/>
      <c r="Y603" s="618"/>
      <c r="Z603" s="620"/>
      <c r="AA603" s="545">
        <v>2.0250213E7</v>
      </c>
      <c r="AB603" s="608"/>
    </row>
    <row r="604">
      <c r="A604" s="586">
        <v>760.0</v>
      </c>
      <c r="B604" s="576">
        <v>45226.0</v>
      </c>
      <c r="C604" s="489" t="s">
        <v>3138</v>
      </c>
      <c r="D604" s="521" t="s">
        <v>66</v>
      </c>
      <c r="E604" s="521" t="s">
        <v>3139</v>
      </c>
      <c r="F604" s="521" t="s">
        <v>3140</v>
      </c>
      <c r="G604" s="521">
        <v>1.5781627E7</v>
      </c>
      <c r="H604" s="521" t="s">
        <v>32</v>
      </c>
      <c r="I604" s="491" t="s">
        <v>3141</v>
      </c>
      <c r="J604" s="758" t="s">
        <v>3142</v>
      </c>
      <c r="K604" s="525" t="s">
        <v>3143</v>
      </c>
      <c r="L604" s="525" t="s">
        <v>3144</v>
      </c>
      <c r="M604" s="525" t="s">
        <v>87</v>
      </c>
      <c r="N604" s="618"/>
      <c r="O604" s="618"/>
      <c r="P604" s="620"/>
      <c r="Q604" s="618"/>
      <c r="R604" s="620"/>
      <c r="S604" s="618"/>
      <c r="T604" s="626">
        <v>45651.0</v>
      </c>
      <c r="U604" s="525" t="s">
        <v>62</v>
      </c>
      <c r="V604" s="626">
        <v>45720.0</v>
      </c>
      <c r="W604" s="621"/>
      <c r="X604" s="620"/>
      <c r="Y604" s="618"/>
      <c r="Z604" s="620"/>
      <c r="AA604" s="545"/>
      <c r="AB604" s="545" t="s">
        <v>3145</v>
      </c>
    </row>
    <row r="605">
      <c r="A605" s="586">
        <v>739.0</v>
      </c>
      <c r="B605" s="576">
        <v>45223.0</v>
      </c>
      <c r="C605" s="489" t="s">
        <v>3146</v>
      </c>
      <c r="D605" s="521" t="s">
        <v>66</v>
      </c>
      <c r="E605" s="521" t="s">
        <v>3147</v>
      </c>
      <c r="F605" s="521" t="s">
        <v>49</v>
      </c>
      <c r="G605" s="521">
        <v>1.5781617E7</v>
      </c>
      <c r="H605" s="521" t="s">
        <v>32</v>
      </c>
      <c r="I605" s="491" t="s">
        <v>3148</v>
      </c>
      <c r="J605" s="758" t="s">
        <v>3149</v>
      </c>
      <c r="K605" s="525" t="s">
        <v>3143</v>
      </c>
      <c r="L605" s="525" t="s">
        <v>3144</v>
      </c>
      <c r="M605" s="525" t="s">
        <v>87</v>
      </c>
      <c r="N605" s="618"/>
      <c r="O605" s="618"/>
      <c r="P605" s="620"/>
      <c r="Q605" s="618"/>
      <c r="R605" s="620"/>
      <c r="S605" s="525" t="s">
        <v>2327</v>
      </c>
      <c r="T605" s="626">
        <v>45632.0</v>
      </c>
      <c r="U605" s="525" t="s">
        <v>62</v>
      </c>
      <c r="V605" s="626">
        <v>45664.0</v>
      </c>
      <c r="W605" s="621"/>
      <c r="X605" s="620"/>
      <c r="Y605" s="618"/>
      <c r="Z605" s="620"/>
      <c r="AA605" s="545"/>
      <c r="AB605" s="545" t="s">
        <v>3150</v>
      </c>
    </row>
    <row r="606">
      <c r="A606" s="586">
        <v>727.0</v>
      </c>
      <c r="B606" s="736">
        <v>45209.0</v>
      </c>
      <c r="C606" s="737" t="s">
        <v>3151</v>
      </c>
      <c r="D606" s="738" t="s">
        <v>66</v>
      </c>
      <c r="E606" s="738" t="s">
        <v>2224</v>
      </c>
      <c r="F606" s="738" t="s">
        <v>3152</v>
      </c>
      <c r="G606" s="776">
        <v>1.778018E7</v>
      </c>
      <c r="H606" s="738" t="s">
        <v>200</v>
      </c>
      <c r="I606" s="739" t="s">
        <v>3153</v>
      </c>
      <c r="J606" s="764" t="s">
        <v>3154</v>
      </c>
      <c r="K606" s="618"/>
      <c r="L606" s="618"/>
      <c r="M606" s="618"/>
      <c r="N606" s="618"/>
      <c r="O606" s="618"/>
      <c r="P606" s="620"/>
      <c r="Q606" s="618"/>
      <c r="R606" s="620"/>
      <c r="S606" s="618"/>
      <c r="T606" s="620"/>
      <c r="U606" s="618"/>
      <c r="V606" s="620"/>
      <c r="W606" s="770" t="s">
        <v>62</v>
      </c>
      <c r="X606" s="626">
        <v>45565.0</v>
      </c>
      <c r="Y606" s="618"/>
      <c r="Z606" s="620"/>
      <c r="AA606" s="545">
        <v>2.0250213E7</v>
      </c>
      <c r="AB606" s="545" t="s">
        <v>3155</v>
      </c>
    </row>
    <row r="607">
      <c r="A607" s="586">
        <v>701.0</v>
      </c>
      <c r="B607" s="638">
        <v>45197.0</v>
      </c>
      <c r="C607" s="501" t="s">
        <v>2324</v>
      </c>
      <c r="D607" s="639" t="s">
        <v>66</v>
      </c>
      <c r="E607" s="639" t="s">
        <v>1979</v>
      </c>
      <c r="F607" s="639" t="s">
        <v>49</v>
      </c>
      <c r="G607" s="639">
        <v>1.5781624E7</v>
      </c>
      <c r="H607" s="639" t="s">
        <v>32</v>
      </c>
      <c r="I607" s="503" t="s">
        <v>3156</v>
      </c>
      <c r="J607" s="758" t="s">
        <v>3157</v>
      </c>
      <c r="K607" s="525" t="s">
        <v>1244</v>
      </c>
      <c r="L607" s="525" t="s">
        <v>3158</v>
      </c>
      <c r="M607" s="525" t="s">
        <v>3159</v>
      </c>
      <c r="N607" s="618"/>
      <c r="O607" s="525" t="s">
        <v>3160</v>
      </c>
      <c r="P607" s="626"/>
      <c r="Q607" s="618"/>
      <c r="R607" s="620"/>
      <c r="S607" s="525" t="s">
        <v>3161</v>
      </c>
      <c r="T607" s="626">
        <v>45674.0</v>
      </c>
      <c r="U607" s="618"/>
      <c r="V607" s="620"/>
      <c r="W607" s="625"/>
      <c r="X607" s="620"/>
      <c r="Y607" s="618"/>
      <c r="Z607" s="620"/>
      <c r="AA607" s="545" t="s">
        <v>3162</v>
      </c>
      <c r="AB607" s="545" t="s">
        <v>3163</v>
      </c>
    </row>
    <row r="608">
      <c r="A608" s="327">
        <v>700.0</v>
      </c>
      <c r="B608" s="546">
        <v>45197.0</v>
      </c>
      <c r="C608" s="547" t="s">
        <v>3164</v>
      </c>
      <c r="D608" s="548" t="s">
        <v>29</v>
      </c>
      <c r="E608" s="547" t="s">
        <v>885</v>
      </c>
      <c r="F608" s="547" t="s">
        <v>49</v>
      </c>
      <c r="G608" s="549">
        <v>1.5122386E7</v>
      </c>
      <c r="H608" s="547" t="s">
        <v>32</v>
      </c>
      <c r="I608" s="550" t="s">
        <v>3165</v>
      </c>
      <c r="J608" s="767" t="s">
        <v>3166</v>
      </c>
      <c r="K608" s="623" t="s">
        <v>1244</v>
      </c>
      <c r="L608" s="564" t="s">
        <v>3167</v>
      </c>
      <c r="M608" s="564" t="s">
        <v>3168</v>
      </c>
      <c r="N608" s="563"/>
      <c r="O608" s="539"/>
      <c r="P608" s="571"/>
      <c r="Q608" s="563"/>
      <c r="R608" s="571"/>
      <c r="S608" s="564" t="s">
        <v>1596</v>
      </c>
      <c r="T608" s="628">
        <v>45702.0</v>
      </c>
      <c r="U608" s="539"/>
      <c r="V608" s="571"/>
      <c r="W608" s="630" t="s">
        <v>150</v>
      </c>
      <c r="X608" s="571"/>
      <c r="Y608" s="563"/>
      <c r="Z608" s="571"/>
      <c r="AA608" s="553" t="s">
        <v>215</v>
      </c>
      <c r="AB608" s="568" t="s">
        <v>3169</v>
      </c>
    </row>
    <row r="609">
      <c r="A609" s="586">
        <v>695.0</v>
      </c>
      <c r="B609" s="576">
        <v>45191.0</v>
      </c>
      <c r="C609" s="489" t="s">
        <v>2024</v>
      </c>
      <c r="D609" s="521" t="s">
        <v>66</v>
      </c>
      <c r="E609" s="521" t="s">
        <v>885</v>
      </c>
      <c r="F609" s="521" t="s">
        <v>49</v>
      </c>
      <c r="G609" s="521" t="s">
        <v>50</v>
      </c>
      <c r="H609" s="521" t="s">
        <v>32</v>
      </c>
      <c r="I609" s="491" t="s">
        <v>3170</v>
      </c>
      <c r="J609" s="760" t="s">
        <v>3171</v>
      </c>
      <c r="K609" s="618"/>
      <c r="L609" s="618"/>
      <c r="M609" s="618"/>
      <c r="N609" s="618"/>
      <c r="O609" s="618"/>
      <c r="P609" s="620"/>
      <c r="Q609" s="618"/>
      <c r="R609" s="620"/>
      <c r="S609" s="618"/>
      <c r="T609" s="620"/>
      <c r="U609" s="618"/>
      <c r="V609" s="620"/>
      <c r="W609" s="625"/>
      <c r="X609" s="620"/>
      <c r="Y609" s="618"/>
      <c r="Z609" s="620"/>
      <c r="AA609" s="545" t="s">
        <v>1218</v>
      </c>
      <c r="AB609" s="608"/>
    </row>
    <row r="610">
      <c r="A610" s="777">
        <v>686.0</v>
      </c>
      <c r="B610" s="778">
        <v>45188.0</v>
      </c>
      <c r="C610" s="779" t="s">
        <v>1960</v>
      </c>
      <c r="D610" s="780"/>
      <c r="E610" s="780" t="s">
        <v>89</v>
      </c>
      <c r="F610" s="780" t="s">
        <v>41</v>
      </c>
      <c r="G610" s="777">
        <v>1.5831093E7</v>
      </c>
      <c r="H610" s="780" t="s">
        <v>51</v>
      </c>
      <c r="I610" s="781" t="s">
        <v>3172</v>
      </c>
      <c r="J610" s="782" t="s">
        <v>3173</v>
      </c>
      <c r="K610" s="525" t="s">
        <v>92</v>
      </c>
      <c r="L610" s="622"/>
      <c r="M610" s="622"/>
      <c r="N610" s="618"/>
      <c r="O610" s="618"/>
      <c r="P610" s="620"/>
      <c r="Q610" s="618"/>
      <c r="R610" s="620"/>
      <c r="S610" s="618"/>
      <c r="T610" s="620"/>
      <c r="U610" s="525" t="s">
        <v>2327</v>
      </c>
      <c r="V610" s="637">
        <v>45400.0</v>
      </c>
      <c r="W610" s="625"/>
      <c r="X610" s="620"/>
      <c r="Y610" s="618"/>
      <c r="Z610" s="620"/>
      <c r="AA610" s="605"/>
      <c r="AB610" s="783" t="s">
        <v>3174</v>
      </c>
    </row>
    <row r="611">
      <c r="A611" s="586">
        <v>677.0</v>
      </c>
      <c r="B611" s="576">
        <v>45180.0</v>
      </c>
      <c r="C611" s="489" t="s">
        <v>3175</v>
      </c>
      <c r="D611" s="521" t="s">
        <v>2857</v>
      </c>
      <c r="E611" s="521" t="s">
        <v>2858</v>
      </c>
      <c r="F611" s="521" t="s">
        <v>49</v>
      </c>
      <c r="G611" s="521">
        <v>1.5781622E7</v>
      </c>
      <c r="H611" s="521" t="s">
        <v>32</v>
      </c>
      <c r="I611" s="491" t="s">
        <v>3176</v>
      </c>
      <c r="J611" s="758" t="s">
        <v>3177</v>
      </c>
      <c r="K611" s="525" t="s">
        <v>1244</v>
      </c>
      <c r="L611" s="525" t="s">
        <v>2534</v>
      </c>
      <c r="M611" s="618"/>
      <c r="N611" s="618"/>
      <c r="O611" s="618"/>
      <c r="P611" s="620"/>
      <c r="Q611" s="618"/>
      <c r="R611" s="620"/>
      <c r="S611" s="618"/>
      <c r="T611" s="620"/>
      <c r="U611" s="525" t="s">
        <v>62</v>
      </c>
      <c r="V611" s="626">
        <v>45706.0</v>
      </c>
      <c r="W611" s="621"/>
      <c r="X611" s="620"/>
      <c r="Y611" s="618"/>
      <c r="Z611" s="620"/>
      <c r="AA611" s="545"/>
      <c r="AB611" s="545" t="s">
        <v>3178</v>
      </c>
    </row>
    <row r="612">
      <c r="A612" s="586">
        <v>647.0</v>
      </c>
      <c r="B612" s="576">
        <v>45133.0</v>
      </c>
      <c r="C612" s="489" t="s">
        <v>1990</v>
      </c>
      <c r="D612" s="521" t="s">
        <v>29</v>
      </c>
      <c r="E612" s="521" t="s">
        <v>506</v>
      </c>
      <c r="F612" s="521" t="s">
        <v>49</v>
      </c>
      <c r="G612" s="521" t="s">
        <v>50</v>
      </c>
      <c r="H612" s="521" t="s">
        <v>200</v>
      </c>
      <c r="I612" s="491" t="s">
        <v>3179</v>
      </c>
      <c r="J612" s="758" t="s">
        <v>3180</v>
      </c>
      <c r="K612" s="525" t="s">
        <v>3079</v>
      </c>
      <c r="L612" s="618"/>
      <c r="M612" s="618"/>
      <c r="N612" s="618"/>
      <c r="O612" s="618"/>
      <c r="P612" s="620"/>
      <c r="Q612" s="618"/>
      <c r="R612" s="620"/>
      <c r="S612" s="618"/>
      <c r="T612" s="620"/>
      <c r="U612" s="618"/>
      <c r="V612" s="620"/>
      <c r="W612" s="625"/>
      <c r="X612" s="620"/>
      <c r="Y612" s="618"/>
      <c r="Z612" s="620"/>
      <c r="AA612" s="545" t="s">
        <v>1218</v>
      </c>
      <c r="AB612" s="545" t="s">
        <v>3181</v>
      </c>
    </row>
    <row r="613">
      <c r="A613" s="586">
        <v>646.0</v>
      </c>
      <c r="B613" s="576">
        <v>45133.0</v>
      </c>
      <c r="C613" s="489" t="s">
        <v>1990</v>
      </c>
      <c r="D613" s="521" t="s">
        <v>29</v>
      </c>
      <c r="E613" s="521" t="s">
        <v>506</v>
      </c>
      <c r="F613" s="521" t="s">
        <v>49</v>
      </c>
      <c r="G613" s="521" t="s">
        <v>50</v>
      </c>
      <c r="H613" s="521" t="s">
        <v>200</v>
      </c>
      <c r="I613" s="491" t="s">
        <v>3179</v>
      </c>
      <c r="J613" s="758" t="s">
        <v>3180</v>
      </c>
      <c r="K613" s="525" t="s">
        <v>3079</v>
      </c>
      <c r="L613" s="618"/>
      <c r="M613" s="618"/>
      <c r="N613" s="618"/>
      <c r="O613" s="618"/>
      <c r="P613" s="620"/>
      <c r="Q613" s="618"/>
      <c r="R613" s="620"/>
      <c r="S613" s="618"/>
      <c r="T613" s="620"/>
      <c r="U613" s="618"/>
      <c r="V613" s="620"/>
      <c r="W613" s="625"/>
      <c r="X613" s="620"/>
      <c r="Y613" s="618"/>
      <c r="Z613" s="620"/>
      <c r="AA613" s="545" t="s">
        <v>1218</v>
      </c>
      <c r="AB613" s="545" t="s">
        <v>3182</v>
      </c>
    </row>
    <row r="614">
      <c r="A614" s="327">
        <v>645.0</v>
      </c>
      <c r="B614" s="328">
        <v>45146.0</v>
      </c>
      <c r="C614" s="329" t="s">
        <v>1990</v>
      </c>
      <c r="D614" s="329" t="s">
        <v>29</v>
      </c>
      <c r="E614" s="329" t="s">
        <v>506</v>
      </c>
      <c r="F614" s="329" t="s">
        <v>49</v>
      </c>
      <c r="G614" s="330">
        <v>1.72424342E8</v>
      </c>
      <c r="H614" s="329" t="s">
        <v>200</v>
      </c>
      <c r="I614" s="331" t="s">
        <v>3183</v>
      </c>
      <c r="J614" s="759" t="s">
        <v>3184</v>
      </c>
      <c r="K614" s="623" t="s">
        <v>3079</v>
      </c>
      <c r="L614" s="564" t="s">
        <v>3185</v>
      </c>
      <c r="M614" s="564" t="s">
        <v>3186</v>
      </c>
      <c r="N614" s="563"/>
      <c r="O614" s="623" t="s">
        <v>62</v>
      </c>
      <c r="P614" s="628">
        <v>45744.0</v>
      </c>
      <c r="Q614" s="563"/>
      <c r="R614" s="571"/>
      <c r="S614" s="563"/>
      <c r="T614" s="571"/>
      <c r="U614" s="687" t="s">
        <v>1563</v>
      </c>
      <c r="V614" s="628">
        <v>45757.0</v>
      </c>
      <c r="W614" s="572"/>
      <c r="X614" s="571"/>
      <c r="Y614" s="563"/>
      <c r="Z614" s="571"/>
      <c r="AA614" s="553" t="s">
        <v>2853</v>
      </c>
      <c r="AB614" s="566"/>
    </row>
    <row r="615">
      <c r="A615" s="327">
        <v>635.0</v>
      </c>
      <c r="B615" s="328">
        <v>45113.0</v>
      </c>
      <c r="C615" s="329" t="s">
        <v>1990</v>
      </c>
      <c r="D615" s="329" t="s">
        <v>29</v>
      </c>
      <c r="E615" s="329" t="s">
        <v>506</v>
      </c>
      <c r="F615" s="329" t="s">
        <v>49</v>
      </c>
      <c r="G615" s="329" t="s">
        <v>3187</v>
      </c>
      <c r="H615" s="329" t="s">
        <v>200</v>
      </c>
      <c r="I615" s="331" t="s">
        <v>3188</v>
      </c>
      <c r="J615" s="759" t="s">
        <v>3189</v>
      </c>
      <c r="K615" s="623" t="s">
        <v>3079</v>
      </c>
      <c r="L615" s="564" t="s">
        <v>3190</v>
      </c>
      <c r="M615" s="564" t="s">
        <v>3191</v>
      </c>
      <c r="N615" s="334"/>
      <c r="O615" s="333" t="s">
        <v>62</v>
      </c>
      <c r="P615" s="628">
        <v>45733.0</v>
      </c>
      <c r="Q615" s="563"/>
      <c r="R615" s="571"/>
      <c r="S615" s="563"/>
      <c r="T615" s="571"/>
      <c r="U615" s="687" t="s">
        <v>1563</v>
      </c>
      <c r="V615" s="628">
        <v>45743.0</v>
      </c>
      <c r="W615" s="572"/>
      <c r="X615" s="571"/>
      <c r="Y615" s="563"/>
      <c r="Z615" s="571"/>
      <c r="AA615" s="553" t="s">
        <v>2067</v>
      </c>
      <c r="AB615" s="568" t="s">
        <v>3155</v>
      </c>
    </row>
    <row r="616">
      <c r="A616" s="327">
        <v>628.0</v>
      </c>
      <c r="B616" s="328">
        <v>45120.0</v>
      </c>
      <c r="C616" s="329" t="s">
        <v>1990</v>
      </c>
      <c r="D616" s="329" t="s">
        <v>29</v>
      </c>
      <c r="E616" s="329" t="s">
        <v>506</v>
      </c>
      <c r="F616" s="329" t="s">
        <v>1530</v>
      </c>
      <c r="G616" s="329" t="s">
        <v>50</v>
      </c>
      <c r="H616" s="329" t="s">
        <v>200</v>
      </c>
      <c r="I616" s="331" t="s">
        <v>3192</v>
      </c>
      <c r="J616" s="759" t="s">
        <v>3193</v>
      </c>
      <c r="K616" s="539"/>
      <c r="L616" s="563"/>
      <c r="M616" s="563"/>
      <c r="N616" s="563"/>
      <c r="O616" s="539"/>
      <c r="P616" s="571"/>
      <c r="Q616" s="563"/>
      <c r="R616" s="571"/>
      <c r="S616" s="563"/>
      <c r="T616" s="571"/>
      <c r="U616" s="539"/>
      <c r="V616" s="571"/>
      <c r="W616" s="572"/>
      <c r="X616" s="571"/>
      <c r="Y616" s="563"/>
      <c r="Z616" s="571"/>
      <c r="AA616" s="553" t="s">
        <v>3194</v>
      </c>
      <c r="AB616" s="566"/>
    </row>
    <row r="617">
      <c r="A617" s="586">
        <v>625.0</v>
      </c>
      <c r="B617" s="633">
        <v>45117.0</v>
      </c>
      <c r="C617" s="535" t="s">
        <v>1990</v>
      </c>
      <c r="D617" s="634" t="s">
        <v>29</v>
      </c>
      <c r="E617" s="634" t="s">
        <v>506</v>
      </c>
      <c r="F617" s="634" t="s">
        <v>49</v>
      </c>
      <c r="G617" s="634">
        <v>1.724235E7</v>
      </c>
      <c r="H617" s="634" t="s">
        <v>200</v>
      </c>
      <c r="I617" s="536" t="s">
        <v>3195</v>
      </c>
      <c r="J617" s="765" t="s">
        <v>3196</v>
      </c>
      <c r="K617" s="525" t="s">
        <v>3079</v>
      </c>
      <c r="L617" s="618"/>
      <c r="M617" s="264"/>
      <c r="N617" s="618"/>
      <c r="O617" s="618"/>
      <c r="P617" s="620"/>
      <c r="Q617" s="618"/>
      <c r="R617" s="620"/>
      <c r="S617" s="618"/>
      <c r="T617" s="620"/>
      <c r="U617" s="618"/>
      <c r="V617" s="620"/>
      <c r="W617" s="784" t="s">
        <v>3197</v>
      </c>
      <c r="X617" s="620"/>
      <c r="Y617" s="618"/>
      <c r="Z617" s="620"/>
      <c r="AA617" s="541"/>
      <c r="AB617" s="545" t="s">
        <v>3197</v>
      </c>
    </row>
    <row r="618">
      <c r="A618" s="586">
        <v>623.0</v>
      </c>
      <c r="B618" s="576">
        <v>45111.0</v>
      </c>
      <c r="C618" s="489" t="s">
        <v>1990</v>
      </c>
      <c r="D618" s="521" t="s">
        <v>29</v>
      </c>
      <c r="E618" s="521" t="s">
        <v>506</v>
      </c>
      <c r="F618" s="521" t="s">
        <v>49</v>
      </c>
      <c r="G618" s="521">
        <v>1.7242347E7</v>
      </c>
      <c r="H618" s="521" t="s">
        <v>200</v>
      </c>
      <c r="I618" s="491" t="s">
        <v>3198</v>
      </c>
      <c r="J618" s="785" t="s">
        <v>3199</v>
      </c>
      <c r="K618" s="525" t="s">
        <v>3079</v>
      </c>
      <c r="L618" s="525" t="s">
        <v>98</v>
      </c>
      <c r="M618" s="618"/>
      <c r="N618" s="618"/>
      <c r="O618" s="713" t="s">
        <v>1563</v>
      </c>
      <c r="P618" s="620"/>
      <c r="Q618" s="618"/>
      <c r="R618" s="620"/>
      <c r="S618" s="618"/>
      <c r="T618" s="620"/>
      <c r="U618" s="713" t="s">
        <v>62</v>
      </c>
      <c r="V618" s="731">
        <v>45778.0</v>
      </c>
      <c r="W618" s="621"/>
      <c r="X618" s="620"/>
      <c r="Y618" s="618"/>
      <c r="Z618" s="620"/>
      <c r="AA618" s="541" t="s">
        <v>2853</v>
      </c>
      <c r="AB618" s="608"/>
    </row>
    <row r="619">
      <c r="A619" s="786">
        <v>620.0</v>
      </c>
      <c r="B619" s="787">
        <v>45110.0</v>
      </c>
      <c r="C619" s="788" t="s">
        <v>3200</v>
      </c>
      <c r="D619" s="789"/>
      <c r="E619" s="789" t="s">
        <v>482</v>
      </c>
      <c r="F619" s="789" t="s">
        <v>483</v>
      </c>
      <c r="G619" s="786">
        <v>1.6010158E7</v>
      </c>
      <c r="H619" s="789" t="s">
        <v>51</v>
      </c>
      <c r="I619" s="790" t="s">
        <v>3201</v>
      </c>
      <c r="J619" s="791" t="s">
        <v>3202</v>
      </c>
      <c r="K619" s="525" t="s">
        <v>486</v>
      </c>
      <c r="L619" s="618"/>
      <c r="M619" s="618"/>
      <c r="N619" s="618"/>
      <c r="O619" s="622"/>
      <c r="P619" s="620"/>
      <c r="Q619" s="618"/>
      <c r="R619" s="620"/>
      <c r="S619" s="618"/>
      <c r="T619" s="620"/>
      <c r="U619" s="618"/>
      <c r="V619" s="620"/>
      <c r="W619" s="770" t="s">
        <v>2327</v>
      </c>
      <c r="X619" s="637">
        <v>45565.0</v>
      </c>
      <c r="Y619" s="618"/>
      <c r="Z619" s="620"/>
      <c r="AA619" s="605"/>
      <c r="AB619" s="783" t="s">
        <v>3203</v>
      </c>
    </row>
    <row r="620">
      <c r="A620" s="586">
        <v>618.0</v>
      </c>
      <c r="B620" s="736">
        <v>45106.0</v>
      </c>
      <c r="C620" s="737" t="s">
        <v>2567</v>
      </c>
      <c r="D620" s="738" t="s">
        <v>66</v>
      </c>
      <c r="E620" s="738" t="s">
        <v>159</v>
      </c>
      <c r="F620" s="738" t="s">
        <v>160</v>
      </c>
      <c r="G620" s="776">
        <v>1.9170442E7</v>
      </c>
      <c r="H620" s="738" t="s">
        <v>120</v>
      </c>
      <c r="I620" s="739" t="s">
        <v>3204</v>
      </c>
      <c r="J620" s="764" t="s">
        <v>3205</v>
      </c>
      <c r="K620" s="622"/>
      <c r="L620" s="618"/>
      <c r="M620" s="618"/>
      <c r="N620" s="618"/>
      <c r="O620" s="618"/>
      <c r="P620" s="620"/>
      <c r="Q620" s="618"/>
      <c r="R620" s="620"/>
      <c r="S620" s="618"/>
      <c r="T620" s="620"/>
      <c r="U620" s="618"/>
      <c r="V620" s="620"/>
      <c r="W620" s="770" t="s">
        <v>2327</v>
      </c>
      <c r="X620" s="620"/>
      <c r="Y620" s="618"/>
      <c r="Z620" s="620"/>
      <c r="AA620" s="545"/>
      <c r="AB620" s="545" t="s">
        <v>3206</v>
      </c>
    </row>
    <row r="621">
      <c r="A621" s="586">
        <v>617.0</v>
      </c>
      <c r="B621" s="633">
        <v>45105.0</v>
      </c>
      <c r="C621" s="535" t="s">
        <v>1990</v>
      </c>
      <c r="D621" s="634" t="s">
        <v>29</v>
      </c>
      <c r="E621" s="634" t="s">
        <v>506</v>
      </c>
      <c r="F621" s="634" t="s">
        <v>49</v>
      </c>
      <c r="G621" s="634">
        <v>1.7242349E7</v>
      </c>
      <c r="H621" s="634" t="s">
        <v>200</v>
      </c>
      <c r="I621" s="536" t="s">
        <v>3207</v>
      </c>
      <c r="J621" s="765" t="s">
        <v>3208</v>
      </c>
      <c r="K621" s="525" t="s">
        <v>3079</v>
      </c>
      <c r="L621" s="618"/>
      <c r="M621" s="618"/>
      <c r="N621" s="618"/>
      <c r="O621" s="618"/>
      <c r="P621" s="620"/>
      <c r="Q621" s="618"/>
      <c r="R621" s="620"/>
      <c r="S621" s="618"/>
      <c r="T621" s="620"/>
      <c r="U621" s="618"/>
      <c r="V621" s="620"/>
      <c r="W621" s="784" t="s">
        <v>3197</v>
      </c>
      <c r="X621" s="620"/>
      <c r="Y621" s="618"/>
      <c r="Z621" s="620"/>
      <c r="AA621" s="541"/>
      <c r="AB621" s="545" t="s">
        <v>3197</v>
      </c>
    </row>
    <row r="622">
      <c r="A622" s="586">
        <v>616.0</v>
      </c>
      <c r="B622" s="633">
        <v>45105.0</v>
      </c>
      <c r="C622" s="535" t="s">
        <v>1990</v>
      </c>
      <c r="D622" s="634" t="s">
        <v>29</v>
      </c>
      <c r="E622" s="634" t="s">
        <v>506</v>
      </c>
      <c r="F622" s="634" t="s">
        <v>49</v>
      </c>
      <c r="G622" s="634">
        <v>1.7242348E7</v>
      </c>
      <c r="H622" s="634" t="s">
        <v>200</v>
      </c>
      <c r="I622" s="536" t="s">
        <v>3207</v>
      </c>
      <c r="J622" s="765" t="s">
        <v>3208</v>
      </c>
      <c r="K622" s="525" t="s">
        <v>3079</v>
      </c>
      <c r="L622" s="792"/>
      <c r="M622" s="618"/>
      <c r="N622" s="618"/>
      <c r="O622" s="618"/>
      <c r="P622" s="620"/>
      <c r="Q622" s="618"/>
      <c r="R622" s="620"/>
      <c r="S622" s="618"/>
      <c r="T622" s="620"/>
      <c r="U622" s="618"/>
      <c r="V622" s="620"/>
      <c r="W622" s="784" t="s">
        <v>3197</v>
      </c>
      <c r="X622" s="620"/>
      <c r="Y622" s="618"/>
      <c r="Z622" s="620"/>
      <c r="AA622" s="541"/>
      <c r="AB622" s="545" t="s">
        <v>3197</v>
      </c>
    </row>
    <row r="623">
      <c r="A623" s="586">
        <v>610.0</v>
      </c>
      <c r="B623" s="633">
        <v>45099.0</v>
      </c>
      <c r="C623" s="535" t="s">
        <v>3209</v>
      </c>
      <c r="D623" s="634" t="s">
        <v>29</v>
      </c>
      <c r="E623" s="634" t="s">
        <v>2522</v>
      </c>
      <c r="F623" s="634" t="s">
        <v>2523</v>
      </c>
      <c r="G623" s="635">
        <v>1.595927E7</v>
      </c>
      <c r="H623" s="634" t="s">
        <v>120</v>
      </c>
      <c r="I623" s="536" t="s">
        <v>3210</v>
      </c>
      <c r="J623" s="765" t="s">
        <v>3211</v>
      </c>
      <c r="K623" s="618"/>
      <c r="L623" s="793"/>
      <c r="M623" s="618"/>
      <c r="N623" s="618"/>
      <c r="O623" s="618"/>
      <c r="P623" s="620"/>
      <c r="Q623" s="618"/>
      <c r="R623" s="620"/>
      <c r="S623" s="618"/>
      <c r="T623" s="620"/>
      <c r="U623" s="618"/>
      <c r="V623" s="620"/>
      <c r="W623" s="636" t="s">
        <v>150</v>
      </c>
      <c r="X623" s="620"/>
      <c r="Y623" s="618"/>
      <c r="Z623" s="620"/>
      <c r="AA623" s="611"/>
      <c r="AB623" s="794" t="s">
        <v>3212</v>
      </c>
    </row>
    <row r="624">
      <c r="A624" s="586">
        <v>609.0</v>
      </c>
      <c r="B624" s="576">
        <v>45098.0</v>
      </c>
      <c r="C624" s="489" t="s">
        <v>2443</v>
      </c>
      <c r="D624" s="521" t="s">
        <v>29</v>
      </c>
      <c r="E624" s="521" t="s">
        <v>774</v>
      </c>
      <c r="F624" s="521" t="s">
        <v>589</v>
      </c>
      <c r="G624" s="521" t="s">
        <v>50</v>
      </c>
      <c r="H624" s="521" t="s">
        <v>42</v>
      </c>
      <c r="I624" s="491" t="s">
        <v>3213</v>
      </c>
      <c r="J624" s="785" t="s">
        <v>3214</v>
      </c>
      <c r="K624" s="525" t="s">
        <v>1746</v>
      </c>
      <c r="L624" s="618"/>
      <c r="M624" s="618"/>
      <c r="N624" s="618"/>
      <c r="O624" s="618"/>
      <c r="P624" s="620"/>
      <c r="Q624" s="618"/>
      <c r="R624" s="620"/>
      <c r="S624" s="618"/>
      <c r="T624" s="620"/>
      <c r="U624" s="525" t="s">
        <v>62</v>
      </c>
      <c r="V624" s="626">
        <v>45803.0</v>
      </c>
      <c r="W624" s="621"/>
      <c r="X624" s="620"/>
      <c r="Y624" s="618"/>
      <c r="Z624" s="620"/>
      <c r="AA624" s="545" t="s">
        <v>2067</v>
      </c>
      <c r="AB624" s="545" t="s">
        <v>3215</v>
      </c>
    </row>
    <row r="625">
      <c r="A625" s="586">
        <v>605.0</v>
      </c>
      <c r="B625" s="576">
        <v>45097.0</v>
      </c>
      <c r="C625" s="489" t="s">
        <v>1990</v>
      </c>
      <c r="D625" s="521" t="s">
        <v>29</v>
      </c>
      <c r="E625" s="521" t="s">
        <v>506</v>
      </c>
      <c r="F625" s="521" t="s">
        <v>49</v>
      </c>
      <c r="G625" s="521">
        <v>1.7242344E7</v>
      </c>
      <c r="H625" s="521" t="s">
        <v>200</v>
      </c>
      <c r="I625" s="491" t="s">
        <v>3207</v>
      </c>
      <c r="J625" s="785" t="s">
        <v>3216</v>
      </c>
      <c r="K625" s="525" t="s">
        <v>3079</v>
      </c>
      <c r="L625" s="525" t="s">
        <v>3217</v>
      </c>
      <c r="M625" s="795" t="s">
        <v>3218</v>
      </c>
      <c r="N625" s="618"/>
      <c r="O625" s="713" t="s">
        <v>1563</v>
      </c>
      <c r="P625" s="620"/>
      <c r="Q625" s="525"/>
      <c r="R625" s="626"/>
      <c r="S625" s="618"/>
      <c r="T625" s="620"/>
      <c r="U625" s="713" t="s">
        <v>62</v>
      </c>
      <c r="V625" s="796">
        <v>45778.0</v>
      </c>
      <c r="W625" s="621"/>
      <c r="X625" s="620"/>
      <c r="Y625" s="618"/>
      <c r="Z625" s="525"/>
      <c r="AA625" s="541" t="s">
        <v>2853</v>
      </c>
      <c r="AB625" s="545" t="s">
        <v>3219</v>
      </c>
    </row>
    <row r="626">
      <c r="A626" s="728">
        <v>604.0</v>
      </c>
      <c r="B626" s="328">
        <v>45097.0</v>
      </c>
      <c r="C626" s="329" t="s">
        <v>1990</v>
      </c>
      <c r="D626" s="329" t="s">
        <v>29</v>
      </c>
      <c r="E626" s="329" t="s">
        <v>506</v>
      </c>
      <c r="F626" s="329" t="s">
        <v>49</v>
      </c>
      <c r="G626" s="329" t="s">
        <v>3220</v>
      </c>
      <c r="H626" s="329" t="s">
        <v>200</v>
      </c>
      <c r="I626" s="331" t="s">
        <v>3207</v>
      </c>
      <c r="J626" s="759" t="s">
        <v>3221</v>
      </c>
      <c r="K626" s="623" t="s">
        <v>3079</v>
      </c>
      <c r="L626" s="564" t="s">
        <v>3222</v>
      </c>
      <c r="M626" s="564" t="s">
        <v>3223</v>
      </c>
      <c r="N626" s="563"/>
      <c r="O626" s="539"/>
      <c r="P626" s="571"/>
      <c r="Q626" s="797" t="s">
        <v>62</v>
      </c>
      <c r="R626" s="628">
        <v>45692.0</v>
      </c>
      <c r="S626" s="563"/>
      <c r="T626" s="571"/>
      <c r="U626" s="687" t="s">
        <v>1563</v>
      </c>
      <c r="V626" s="628">
        <v>45743.0</v>
      </c>
      <c r="W626" s="572"/>
      <c r="X626" s="571"/>
      <c r="Y626" s="563"/>
      <c r="Z626" s="571"/>
      <c r="AA626" s="568" t="s">
        <v>2067</v>
      </c>
      <c r="AB626" s="568" t="s">
        <v>3219</v>
      </c>
    </row>
    <row r="627">
      <c r="A627" s="559">
        <v>602.0</v>
      </c>
      <c r="B627" s="560">
        <v>45093.0</v>
      </c>
      <c r="C627" s="561" t="s">
        <v>1990</v>
      </c>
      <c r="D627" s="561" t="s">
        <v>29</v>
      </c>
      <c r="E627" s="561" t="s">
        <v>506</v>
      </c>
      <c r="F627" s="561" t="s">
        <v>49</v>
      </c>
      <c r="G627" s="561"/>
      <c r="H627" s="561" t="s">
        <v>200</v>
      </c>
      <c r="I627" s="798" t="s">
        <v>3207</v>
      </c>
      <c r="J627" s="799" t="s">
        <v>3224</v>
      </c>
      <c r="K627" s="623" t="s">
        <v>3079</v>
      </c>
      <c r="L627" s="564" t="s">
        <v>3222</v>
      </c>
      <c r="M627" s="564" t="s">
        <v>3223</v>
      </c>
      <c r="N627" s="563"/>
      <c r="O627" s="623" t="s">
        <v>62</v>
      </c>
      <c r="P627" s="628">
        <v>45642.0</v>
      </c>
      <c r="Q627" s="563"/>
      <c r="R627" s="571"/>
      <c r="S627" s="563"/>
      <c r="T627" s="571"/>
      <c r="U627" s="623" t="s">
        <v>62</v>
      </c>
      <c r="V627" s="571"/>
      <c r="W627" s="572"/>
      <c r="X627" s="571"/>
      <c r="Y627" s="563"/>
      <c r="Z627" s="571"/>
      <c r="AA627" s="566"/>
      <c r="AB627" s="568" t="s">
        <v>3225</v>
      </c>
    </row>
    <row r="628">
      <c r="A628" s="559">
        <v>601.0</v>
      </c>
      <c r="B628" s="560">
        <v>45093.0</v>
      </c>
      <c r="C628" s="561" t="s">
        <v>1990</v>
      </c>
      <c r="D628" s="561" t="s">
        <v>29</v>
      </c>
      <c r="E628" s="561" t="s">
        <v>506</v>
      </c>
      <c r="F628" s="561" t="s">
        <v>49</v>
      </c>
      <c r="G628" s="561" t="s">
        <v>50</v>
      </c>
      <c r="H628" s="561" t="s">
        <v>200</v>
      </c>
      <c r="I628" s="798" t="s">
        <v>3226</v>
      </c>
      <c r="J628" s="759" t="s">
        <v>3227</v>
      </c>
      <c r="K628" s="623" t="s">
        <v>3079</v>
      </c>
      <c r="L628" s="564" t="s">
        <v>3228</v>
      </c>
      <c r="M628" s="564" t="s">
        <v>3223</v>
      </c>
      <c r="N628" s="563"/>
      <c r="O628" s="539"/>
      <c r="P628" s="571"/>
      <c r="Q628" s="564" t="s">
        <v>62</v>
      </c>
      <c r="R628" s="628">
        <v>45692.0</v>
      </c>
      <c r="S628" s="563"/>
      <c r="T628" s="571"/>
      <c r="U628" s="623" t="s">
        <v>62</v>
      </c>
      <c r="V628" s="571"/>
      <c r="W628" s="572"/>
      <c r="X628" s="571"/>
      <c r="Y628" s="563"/>
      <c r="Z628" s="571"/>
      <c r="AA628" s="566"/>
      <c r="AB628" s="568" t="s">
        <v>3219</v>
      </c>
    </row>
    <row r="629">
      <c r="A629" s="800">
        <v>583.0</v>
      </c>
      <c r="B629" s="653">
        <v>45063.0</v>
      </c>
      <c r="C629" s="508" t="s">
        <v>3229</v>
      </c>
      <c r="D629" s="715" t="s">
        <v>29</v>
      </c>
      <c r="E629" s="654" t="s">
        <v>48</v>
      </c>
      <c r="F629" s="654" t="s">
        <v>49</v>
      </c>
      <c r="G629" s="655">
        <v>1469.0</v>
      </c>
      <c r="H629" s="654" t="s">
        <v>51</v>
      </c>
      <c r="I629" s="509" t="s">
        <v>3230</v>
      </c>
      <c r="J629" s="801" t="s">
        <v>3231</v>
      </c>
      <c r="K629" s="665" t="s">
        <v>3232</v>
      </c>
      <c r="L629" s="802" t="s">
        <v>60</v>
      </c>
      <c r="M629" s="803" t="s">
        <v>61</v>
      </c>
      <c r="N629" s="513"/>
      <c r="O629" s="665" t="s">
        <v>62</v>
      </c>
      <c r="P629" s="666">
        <v>45946.0</v>
      </c>
      <c r="Q629" s="513"/>
      <c r="R629" s="515"/>
      <c r="S629" s="803" t="s">
        <v>62</v>
      </c>
      <c r="T629" s="666">
        <v>45940.0</v>
      </c>
      <c r="U629" s="665" t="s">
        <v>62</v>
      </c>
      <c r="V629" s="666">
        <v>46002.0</v>
      </c>
      <c r="W629" s="513"/>
      <c r="X629" s="515"/>
      <c r="Y629" s="513"/>
      <c r="Z629" s="515"/>
      <c r="AA629" s="804" t="s">
        <v>3233</v>
      </c>
      <c r="AB629" s="805" t="s">
        <v>3234</v>
      </c>
    </row>
    <row r="630">
      <c r="A630" s="586">
        <v>579.0</v>
      </c>
      <c r="B630" s="638">
        <v>45055.0</v>
      </c>
      <c r="C630" s="535" t="s">
        <v>401</v>
      </c>
      <c r="D630" s="634" t="s">
        <v>66</v>
      </c>
      <c r="E630" s="634" t="s">
        <v>220</v>
      </c>
      <c r="F630" s="634" t="s">
        <v>160</v>
      </c>
      <c r="G630" s="634">
        <v>1.918048E7</v>
      </c>
      <c r="H630" s="634" t="s">
        <v>120</v>
      </c>
      <c r="I630" s="536" t="s">
        <v>3235</v>
      </c>
      <c r="J630" s="765" t="s">
        <v>3236</v>
      </c>
      <c r="K630" s="618"/>
      <c r="L630" s="618"/>
      <c r="M630" s="806"/>
      <c r="N630" s="618"/>
      <c r="O630" s="618"/>
      <c r="P630" s="620"/>
      <c r="Q630" s="618"/>
      <c r="R630" s="620"/>
      <c r="S630" s="618"/>
      <c r="T630" s="620"/>
      <c r="U630" s="618"/>
      <c r="V630" s="620"/>
      <c r="W630" s="807" t="s">
        <v>3237</v>
      </c>
      <c r="X630" s="620"/>
      <c r="Y630" s="618"/>
      <c r="Z630" s="620"/>
      <c r="AA630" s="545"/>
      <c r="AB630" s="545" t="s">
        <v>3206</v>
      </c>
    </row>
    <row r="631">
      <c r="A631" s="586">
        <v>564.0</v>
      </c>
      <c r="B631" s="638">
        <v>45028.0</v>
      </c>
      <c r="C631" s="737" t="s">
        <v>1536</v>
      </c>
      <c r="D631" s="738" t="s">
        <v>66</v>
      </c>
      <c r="E631" s="738" t="s">
        <v>1537</v>
      </c>
      <c r="F631" s="738" t="s">
        <v>559</v>
      </c>
      <c r="G631" s="776">
        <v>1.7680087E7</v>
      </c>
      <c r="H631" s="738" t="s">
        <v>42</v>
      </c>
      <c r="I631" s="739" t="s">
        <v>3238</v>
      </c>
      <c r="J631" s="764" t="s">
        <v>3239</v>
      </c>
      <c r="K631" s="525" t="s">
        <v>1540</v>
      </c>
      <c r="L631" s="618"/>
      <c r="M631" s="793"/>
      <c r="N631" s="618"/>
      <c r="O631" s="618"/>
      <c r="P631" s="620"/>
      <c r="Q631" s="618"/>
      <c r="R631" s="620"/>
      <c r="S631" s="618"/>
      <c r="T631" s="620"/>
      <c r="U631" s="618"/>
      <c r="V631" s="620"/>
      <c r="W631" s="808" t="s">
        <v>3240</v>
      </c>
      <c r="X631" s="620"/>
      <c r="Y631" s="618"/>
      <c r="Z631" s="620"/>
      <c r="AA631" s="714" t="s">
        <v>3241</v>
      </c>
      <c r="AB631" s="545" t="s">
        <v>3242</v>
      </c>
    </row>
    <row r="632">
      <c r="A632" s="586">
        <v>563.0</v>
      </c>
      <c r="B632" s="638">
        <v>45036.0</v>
      </c>
      <c r="C632" s="737" t="s">
        <v>1536</v>
      </c>
      <c r="D632" s="738" t="s">
        <v>66</v>
      </c>
      <c r="E632" s="738" t="s">
        <v>1537</v>
      </c>
      <c r="F632" s="738" t="s">
        <v>559</v>
      </c>
      <c r="G632" s="776">
        <v>1.7680126E7</v>
      </c>
      <c r="H632" s="738" t="s">
        <v>42</v>
      </c>
      <c r="I632" s="739" t="s">
        <v>3243</v>
      </c>
      <c r="J632" s="764" t="s">
        <v>3244</v>
      </c>
      <c r="K632" s="525" t="s">
        <v>1540</v>
      </c>
      <c r="L632" s="525" t="s">
        <v>3245</v>
      </c>
      <c r="M632" s="525" t="s">
        <v>3246</v>
      </c>
      <c r="N632" s="618"/>
      <c r="O632" s="618"/>
      <c r="P632" s="620"/>
      <c r="Q632" s="618"/>
      <c r="R632" s="620"/>
      <c r="S632" s="618"/>
      <c r="T632" s="620"/>
      <c r="U632" s="618"/>
      <c r="V632" s="620"/>
      <c r="W632" s="808" t="s">
        <v>3240</v>
      </c>
      <c r="X632" s="620"/>
      <c r="Y632" s="618"/>
      <c r="Z632" s="620"/>
      <c r="AA632" s="714" t="s">
        <v>3241</v>
      </c>
      <c r="AB632" s="545" t="s">
        <v>3247</v>
      </c>
    </row>
    <row r="633">
      <c r="A633" s="586">
        <v>547.0</v>
      </c>
      <c r="B633" s="576">
        <v>45023.0</v>
      </c>
      <c r="C633" s="489" t="s">
        <v>3248</v>
      </c>
      <c r="D633" s="521" t="s">
        <v>29</v>
      </c>
      <c r="E633" s="521" t="s">
        <v>367</v>
      </c>
      <c r="F633" s="521" t="s">
        <v>49</v>
      </c>
      <c r="G633" s="521">
        <v>1.4882598E7</v>
      </c>
      <c r="H633" s="521" t="s">
        <v>120</v>
      </c>
      <c r="I633" s="491" t="s">
        <v>3249</v>
      </c>
      <c r="J633" s="758" t="s">
        <v>3250</v>
      </c>
      <c r="K633" s="525" t="s">
        <v>370</v>
      </c>
      <c r="L633" s="618"/>
      <c r="M633" s="618"/>
      <c r="N633" s="618"/>
      <c r="O633" s="525" t="s">
        <v>62</v>
      </c>
      <c r="P633" s="626">
        <v>45743.0</v>
      </c>
      <c r="Q633" s="618"/>
      <c r="R633" s="620"/>
      <c r="S633" s="618"/>
      <c r="T633" s="620"/>
      <c r="U633" s="525" t="s">
        <v>62</v>
      </c>
      <c r="V633" s="626">
        <v>45747.0</v>
      </c>
      <c r="W633" s="621"/>
      <c r="X633" s="620"/>
      <c r="Y633" s="618"/>
      <c r="Z633" s="620"/>
      <c r="AA633" s="669" t="s">
        <v>3251</v>
      </c>
      <c r="AB633" s="545" t="s">
        <v>3252</v>
      </c>
    </row>
    <row r="634">
      <c r="A634" s="586">
        <v>546.0</v>
      </c>
      <c r="B634" s="576">
        <v>45023.0</v>
      </c>
      <c r="C634" s="489" t="s">
        <v>3248</v>
      </c>
      <c r="D634" s="521" t="s">
        <v>29</v>
      </c>
      <c r="E634" s="521" t="s">
        <v>367</v>
      </c>
      <c r="F634" s="521" t="s">
        <v>49</v>
      </c>
      <c r="G634" s="521">
        <v>1.4882597E7</v>
      </c>
      <c r="H634" s="521" t="s">
        <v>120</v>
      </c>
      <c r="I634" s="491" t="s">
        <v>3249</v>
      </c>
      <c r="J634" s="758" t="s">
        <v>3253</v>
      </c>
      <c r="K634" s="525" t="s">
        <v>370</v>
      </c>
      <c r="L634" s="525" t="s">
        <v>3254</v>
      </c>
      <c r="M634" s="618"/>
      <c r="N634" s="618"/>
      <c r="O634" s="525" t="s">
        <v>62</v>
      </c>
      <c r="P634" s="626">
        <v>45743.0</v>
      </c>
      <c r="Q634" s="618"/>
      <c r="R634" s="620"/>
      <c r="S634" s="618"/>
      <c r="T634" s="620"/>
      <c r="U634" s="525" t="s">
        <v>62</v>
      </c>
      <c r="V634" s="626">
        <v>45747.0</v>
      </c>
      <c r="W634" s="621"/>
      <c r="X634" s="620"/>
      <c r="Y634" s="618"/>
      <c r="Z634" s="620"/>
      <c r="AA634" s="669" t="s">
        <v>3251</v>
      </c>
      <c r="AB634" s="545" t="s">
        <v>3255</v>
      </c>
    </row>
    <row r="635">
      <c r="A635" s="586">
        <v>533.0</v>
      </c>
      <c r="B635" s="576">
        <v>45001.0</v>
      </c>
      <c r="C635" s="489" t="s">
        <v>3248</v>
      </c>
      <c r="D635" s="521" t="s">
        <v>29</v>
      </c>
      <c r="E635" s="521" t="s">
        <v>367</v>
      </c>
      <c r="F635" s="521" t="s">
        <v>49</v>
      </c>
      <c r="G635" s="521">
        <v>1.4882596E7</v>
      </c>
      <c r="H635" s="521" t="s">
        <v>120</v>
      </c>
      <c r="I635" s="491" t="s">
        <v>3256</v>
      </c>
      <c r="J635" s="758" t="s">
        <v>3257</v>
      </c>
      <c r="K635" s="525" t="s">
        <v>370</v>
      </c>
      <c r="L635" s="525" t="s">
        <v>3258</v>
      </c>
      <c r="M635" s="525" t="s">
        <v>125</v>
      </c>
      <c r="N635" s="618"/>
      <c r="O635" s="525" t="s">
        <v>62</v>
      </c>
      <c r="P635" s="626">
        <v>45743.0</v>
      </c>
      <c r="Q635" s="618"/>
      <c r="R635" s="620"/>
      <c r="S635" s="618"/>
      <c r="T635" s="620"/>
      <c r="U635" s="525" t="s">
        <v>62</v>
      </c>
      <c r="V635" s="620"/>
      <c r="W635" s="621"/>
      <c r="X635" s="620"/>
      <c r="Y635" s="618"/>
      <c r="Z635" s="620"/>
      <c r="AA635" s="809" t="s">
        <v>2067</v>
      </c>
      <c r="AB635" s="545" t="s">
        <v>3259</v>
      </c>
    </row>
    <row r="636">
      <c r="A636" s="777">
        <v>500.0</v>
      </c>
      <c r="B636" s="778">
        <v>44974.0</v>
      </c>
      <c r="C636" s="779" t="s">
        <v>3260</v>
      </c>
      <c r="D636" s="780"/>
      <c r="E636" s="780" t="s">
        <v>3261</v>
      </c>
      <c r="F636" s="780" t="s">
        <v>3262</v>
      </c>
      <c r="G636" s="777">
        <v>1.4440578E7</v>
      </c>
      <c r="H636" s="780" t="s">
        <v>51</v>
      </c>
      <c r="I636" s="781" t="s">
        <v>3263</v>
      </c>
      <c r="J636" s="782" t="s">
        <v>3264</v>
      </c>
      <c r="K636" s="622"/>
      <c r="L636" s="618"/>
      <c r="M636" s="618"/>
      <c r="N636" s="618"/>
      <c r="O636" s="618"/>
      <c r="P636" s="620"/>
      <c r="Q636" s="618"/>
      <c r="R636" s="620"/>
      <c r="S636" s="618"/>
      <c r="T636" s="620"/>
      <c r="U636" s="618"/>
      <c r="V636" s="620"/>
      <c r="W636" s="625"/>
      <c r="X636" s="620"/>
      <c r="Y636" s="618"/>
      <c r="Z636" s="620"/>
      <c r="AA636" s="605"/>
      <c r="AB636" s="783" t="s">
        <v>3265</v>
      </c>
    </row>
    <row r="637">
      <c r="A637" s="586">
        <v>477.0</v>
      </c>
      <c r="B637" s="633">
        <v>44915.0</v>
      </c>
      <c r="C637" s="535" t="s">
        <v>3266</v>
      </c>
      <c r="D637" s="634" t="s">
        <v>66</v>
      </c>
      <c r="E637" s="634" t="s">
        <v>159</v>
      </c>
      <c r="F637" s="634" t="s">
        <v>160</v>
      </c>
      <c r="G637" s="634">
        <v>1.9170408E7</v>
      </c>
      <c r="H637" s="634" t="s">
        <v>120</v>
      </c>
      <c r="I637" s="536" t="s">
        <v>3267</v>
      </c>
      <c r="J637" s="765" t="s">
        <v>3268</v>
      </c>
      <c r="K637" s="622"/>
      <c r="L637" s="618"/>
      <c r="M637" s="618"/>
      <c r="N637" s="618"/>
      <c r="O637" s="618"/>
      <c r="P637" s="620"/>
      <c r="Q637" s="618"/>
      <c r="R637" s="620"/>
      <c r="S637" s="618"/>
      <c r="T637" s="620"/>
      <c r="U637" s="618"/>
      <c r="V637" s="620"/>
      <c r="W637" s="807" t="s">
        <v>3240</v>
      </c>
      <c r="X637" s="606"/>
      <c r="Y637" s="605"/>
      <c r="Z637" s="606"/>
      <c r="AA637" s="545"/>
      <c r="AB637" s="545" t="s">
        <v>3269</v>
      </c>
    </row>
    <row r="638">
      <c r="A638" s="586">
        <v>470.0</v>
      </c>
      <c r="B638" s="633">
        <v>44914.0</v>
      </c>
      <c r="C638" s="535" t="s">
        <v>3266</v>
      </c>
      <c r="D638" s="634" t="s">
        <v>66</v>
      </c>
      <c r="E638" s="634" t="s">
        <v>159</v>
      </c>
      <c r="F638" s="634" t="s">
        <v>160</v>
      </c>
      <c r="G638" s="634">
        <v>1.9170409E7</v>
      </c>
      <c r="H638" s="634" t="s">
        <v>120</v>
      </c>
      <c r="I638" s="536" t="s">
        <v>3270</v>
      </c>
      <c r="J638" s="765" t="s">
        <v>3271</v>
      </c>
      <c r="K638" s="622"/>
      <c r="L638" s="618"/>
      <c r="M638" s="618"/>
      <c r="N638" s="618"/>
      <c r="O638" s="618"/>
      <c r="P638" s="620"/>
      <c r="Q638" s="618"/>
      <c r="R638" s="620"/>
      <c r="S638" s="618"/>
      <c r="T638" s="620"/>
      <c r="U638" s="618"/>
      <c r="V638" s="620"/>
      <c r="W638" s="807" t="s">
        <v>3237</v>
      </c>
      <c r="X638" s="606"/>
      <c r="Y638" s="605"/>
      <c r="Z638" s="606"/>
      <c r="AA638" s="545"/>
      <c r="AB638" s="545" t="s">
        <v>3272</v>
      </c>
    </row>
    <row r="639">
      <c r="A639" s="586">
        <v>468.0</v>
      </c>
      <c r="B639" s="633">
        <v>44908.0</v>
      </c>
      <c r="C639" s="535" t="s">
        <v>3266</v>
      </c>
      <c r="D639" s="634" t="s">
        <v>66</v>
      </c>
      <c r="E639" s="634" t="s">
        <v>159</v>
      </c>
      <c r="F639" s="634" t="s">
        <v>160</v>
      </c>
      <c r="G639" s="634">
        <v>1.917041E7</v>
      </c>
      <c r="H639" s="634" t="s">
        <v>120</v>
      </c>
      <c r="I639" s="536" t="s">
        <v>3273</v>
      </c>
      <c r="J639" s="765" t="s">
        <v>3274</v>
      </c>
      <c r="K639" s="622"/>
      <c r="L639" s="618"/>
      <c r="M639" s="618"/>
      <c r="N639" s="618"/>
      <c r="O639" s="618"/>
      <c r="P639" s="620"/>
      <c r="Q639" s="618"/>
      <c r="R639" s="620"/>
      <c r="S639" s="618"/>
      <c r="T639" s="620"/>
      <c r="U639" s="618"/>
      <c r="V639" s="620"/>
      <c r="W639" s="807" t="s">
        <v>3237</v>
      </c>
      <c r="X639" s="606"/>
      <c r="Y639" s="605"/>
      <c r="Z639" s="606"/>
      <c r="AA639" s="545"/>
      <c r="AB639" s="545" t="s">
        <v>3275</v>
      </c>
    </row>
    <row r="640">
      <c r="A640" s="327">
        <v>434.0</v>
      </c>
      <c r="B640" s="546">
        <v>44876.0</v>
      </c>
      <c r="C640" s="547" t="s">
        <v>3276</v>
      </c>
      <c r="D640" s="548" t="s">
        <v>29</v>
      </c>
      <c r="E640" s="547" t="s">
        <v>326</v>
      </c>
      <c r="F640" s="547" t="s">
        <v>3277</v>
      </c>
      <c r="G640" s="547" t="s">
        <v>314</v>
      </c>
      <c r="H640" s="547" t="s">
        <v>42</v>
      </c>
      <c r="I640" s="550" t="s">
        <v>3278</v>
      </c>
      <c r="J640" s="767" t="s">
        <v>3279</v>
      </c>
      <c r="K640" s="539"/>
      <c r="L640" s="563"/>
      <c r="M640" s="563"/>
      <c r="N640" s="563"/>
      <c r="O640" s="539"/>
      <c r="P640" s="571"/>
      <c r="Q640" s="563"/>
      <c r="R640" s="571"/>
      <c r="S640" s="563"/>
      <c r="T640" s="571"/>
      <c r="U640" s="539"/>
      <c r="V640" s="571"/>
      <c r="W640" s="810" t="s">
        <v>150</v>
      </c>
      <c r="X640" s="571"/>
      <c r="Y640" s="563"/>
      <c r="Z640" s="571"/>
      <c r="AA640" s="553" t="s">
        <v>215</v>
      </c>
      <c r="AB640" s="568" t="s">
        <v>3280</v>
      </c>
    </row>
    <row r="641">
      <c r="A641" s="327">
        <v>415.0</v>
      </c>
      <c r="B641" s="546">
        <v>44854.0</v>
      </c>
      <c r="C641" s="547" t="s">
        <v>3276</v>
      </c>
      <c r="D641" s="548" t="s">
        <v>29</v>
      </c>
      <c r="E641" s="547" t="s">
        <v>326</v>
      </c>
      <c r="F641" s="547" t="s">
        <v>49</v>
      </c>
      <c r="G641" s="547" t="s">
        <v>296</v>
      </c>
      <c r="H641" s="547" t="s">
        <v>42</v>
      </c>
      <c r="I641" s="550" t="s">
        <v>3183</v>
      </c>
      <c r="J641" s="767" t="s">
        <v>3281</v>
      </c>
      <c r="K641" s="623" t="s">
        <v>248</v>
      </c>
      <c r="L641" s="564" t="s">
        <v>3282</v>
      </c>
      <c r="M641" s="564" t="s">
        <v>3283</v>
      </c>
      <c r="N641" s="563"/>
      <c r="O641" s="539"/>
      <c r="P641" s="571"/>
      <c r="Q641" s="563"/>
      <c r="R641" s="571"/>
      <c r="S641" s="563"/>
      <c r="T641" s="571"/>
      <c r="U641" s="539"/>
      <c r="V641" s="571"/>
      <c r="W641" s="810" t="s">
        <v>150</v>
      </c>
      <c r="X641" s="571"/>
      <c r="Y641" s="563"/>
      <c r="Z641" s="571"/>
      <c r="AA641" s="553" t="s">
        <v>215</v>
      </c>
      <c r="AB641" s="568" t="s">
        <v>3284</v>
      </c>
    </row>
    <row r="642">
      <c r="A642" s="777">
        <v>402.0</v>
      </c>
      <c r="B642" s="778">
        <v>44830.0</v>
      </c>
      <c r="C642" s="779" t="s">
        <v>3285</v>
      </c>
      <c r="D642" s="780"/>
      <c r="E642" s="780" t="s">
        <v>205</v>
      </c>
      <c r="F642" s="780" t="s">
        <v>49</v>
      </c>
      <c r="G642" s="777">
        <v>1.8240297E7</v>
      </c>
      <c r="H642" s="780" t="s">
        <v>51</v>
      </c>
      <c r="I642" s="781" t="s">
        <v>3286</v>
      </c>
      <c r="J642" s="782" t="s">
        <v>3287</v>
      </c>
      <c r="K642" s="622"/>
      <c r="L642" s="618"/>
      <c r="M642" s="618"/>
      <c r="N642" s="618"/>
      <c r="O642" s="525" t="s">
        <v>62</v>
      </c>
      <c r="P642" s="620"/>
      <c r="Q642" s="618"/>
      <c r="R642" s="620"/>
      <c r="S642" s="618"/>
      <c r="T642" s="620"/>
      <c r="U642" s="618"/>
      <c r="V642" s="620"/>
      <c r="W642" s="811"/>
      <c r="X642" s="606"/>
      <c r="Y642" s="605"/>
      <c r="Z642" s="606"/>
      <c r="AA642" s="605"/>
      <c r="AB642" s="812" t="s">
        <v>3288</v>
      </c>
    </row>
    <row r="643">
      <c r="A643" s="327">
        <v>384.0</v>
      </c>
      <c r="B643" s="813">
        <v>44804.0</v>
      </c>
      <c r="C643" s="547" t="s">
        <v>3289</v>
      </c>
      <c r="D643" s="547" t="s">
        <v>29</v>
      </c>
      <c r="E643" s="547" t="s">
        <v>3290</v>
      </c>
      <c r="F643" s="547" t="s">
        <v>3291</v>
      </c>
      <c r="G643" s="549">
        <v>1.4971367E7</v>
      </c>
      <c r="H643" s="547" t="s">
        <v>135</v>
      </c>
      <c r="I643" s="550" t="s">
        <v>3292</v>
      </c>
      <c r="J643" s="767" t="s">
        <v>3293</v>
      </c>
      <c r="K643" s="623" t="s">
        <v>3294</v>
      </c>
      <c r="L643" s="564" t="s">
        <v>1846</v>
      </c>
      <c r="M643" s="564" t="s">
        <v>3246</v>
      </c>
      <c r="N643" s="563"/>
      <c r="O643" s="539"/>
      <c r="P643" s="571"/>
      <c r="Q643" s="563"/>
      <c r="R643" s="571"/>
      <c r="S643" s="563"/>
      <c r="T643" s="571"/>
      <c r="U643" s="539"/>
      <c r="V643" s="571"/>
      <c r="W643" s="810" t="s">
        <v>3240</v>
      </c>
      <c r="X643" s="571"/>
      <c r="Y643" s="563"/>
      <c r="Z643" s="571"/>
      <c r="AA643" s="566"/>
      <c r="AB643" s="568" t="s">
        <v>3295</v>
      </c>
    </row>
    <row r="644">
      <c r="A644" s="777">
        <v>329.0</v>
      </c>
      <c r="B644" s="778">
        <v>44706.0</v>
      </c>
      <c r="C644" s="779" t="s">
        <v>3296</v>
      </c>
      <c r="D644" s="780"/>
      <c r="E644" s="780" t="s">
        <v>720</v>
      </c>
      <c r="F644" s="780" t="s">
        <v>721</v>
      </c>
      <c r="G644" s="777">
        <v>1.8850056E7</v>
      </c>
      <c r="H644" s="780" t="s">
        <v>32</v>
      </c>
      <c r="I644" s="781" t="s">
        <v>3297</v>
      </c>
      <c r="J644" s="782" t="s">
        <v>3298</v>
      </c>
      <c r="K644" s="618"/>
      <c r="L644" s="618"/>
      <c r="M644" s="618"/>
      <c r="N644" s="618"/>
      <c r="O644" s="618"/>
      <c r="P644" s="620"/>
      <c r="Q644" s="618"/>
      <c r="R644" s="620"/>
      <c r="S644" s="618"/>
      <c r="T644" s="620"/>
      <c r="U644" s="618"/>
      <c r="V644" s="620"/>
      <c r="W644" s="814"/>
      <c r="X644" s="606"/>
      <c r="Y644" s="605"/>
      <c r="Z644" s="606"/>
      <c r="AA644" s="605"/>
      <c r="AB644" s="812" t="s">
        <v>3299</v>
      </c>
    </row>
    <row r="645">
      <c r="A645" s="786">
        <v>328.0</v>
      </c>
      <c r="B645" s="787">
        <v>44691.0</v>
      </c>
      <c r="C645" s="788" t="s">
        <v>3300</v>
      </c>
      <c r="D645" s="789"/>
      <c r="E645" s="789" t="s">
        <v>3301</v>
      </c>
      <c r="F645" s="789" t="s">
        <v>160</v>
      </c>
      <c r="G645" s="786">
        <v>1762080.0</v>
      </c>
      <c r="H645" s="789" t="s">
        <v>120</v>
      </c>
      <c r="I645" s="790" t="s">
        <v>3302</v>
      </c>
      <c r="J645" s="791" t="s">
        <v>3303</v>
      </c>
      <c r="K645" s="525" t="s">
        <v>3304</v>
      </c>
      <c r="L645" s="618"/>
      <c r="M645" s="618"/>
      <c r="N645" s="618"/>
      <c r="O645" s="618"/>
      <c r="P645" s="620"/>
      <c r="Q645" s="618"/>
      <c r="R645" s="620"/>
      <c r="S645" s="618"/>
      <c r="T645" s="620"/>
      <c r="U645" s="618"/>
      <c r="V645" s="620"/>
      <c r="W645" s="815" t="s">
        <v>2327</v>
      </c>
      <c r="X645" s="606"/>
      <c r="Y645" s="605"/>
      <c r="Z645" s="606"/>
      <c r="AA645" s="605"/>
      <c r="AB645" s="816"/>
    </row>
    <row r="646">
      <c r="A646" s="327">
        <v>304.0</v>
      </c>
      <c r="B646" s="813">
        <v>44609.0</v>
      </c>
      <c r="C646" s="547" t="s">
        <v>3305</v>
      </c>
      <c r="D646" s="547" t="s">
        <v>3082</v>
      </c>
      <c r="E646" s="547" t="s">
        <v>2659</v>
      </c>
      <c r="F646" s="547" t="s">
        <v>2920</v>
      </c>
      <c r="G646" s="547" t="s">
        <v>50</v>
      </c>
      <c r="H646" s="547" t="s">
        <v>103</v>
      </c>
      <c r="I646" s="550" t="s">
        <v>3306</v>
      </c>
      <c r="J646" s="767" t="s">
        <v>3307</v>
      </c>
      <c r="K646" s="623" t="s">
        <v>3308</v>
      </c>
      <c r="L646" s="564" t="s">
        <v>138</v>
      </c>
      <c r="M646" s="564" t="s">
        <v>3309</v>
      </c>
      <c r="N646" s="563"/>
      <c r="O646" s="539"/>
      <c r="P646" s="571"/>
      <c r="Q646" s="563"/>
      <c r="R646" s="571"/>
      <c r="S646" s="563"/>
      <c r="T646" s="571"/>
      <c r="U646" s="539"/>
      <c r="V646" s="571"/>
      <c r="W646" s="810" t="s">
        <v>3310</v>
      </c>
      <c r="X646" s="571"/>
      <c r="Y646" s="563"/>
      <c r="Z646" s="571"/>
      <c r="AA646" s="563"/>
      <c r="AB646" s="566"/>
    </row>
    <row r="647">
      <c r="A647" s="786">
        <v>266.0</v>
      </c>
      <c r="B647" s="787">
        <v>44572.0</v>
      </c>
      <c r="C647" s="788" t="s">
        <v>3311</v>
      </c>
      <c r="D647" s="789"/>
      <c r="E647" s="789" t="s">
        <v>885</v>
      </c>
      <c r="F647" s="789" t="s">
        <v>49</v>
      </c>
      <c r="G647" s="786">
        <v>1.5122031E7</v>
      </c>
      <c r="H647" s="789" t="s">
        <v>32</v>
      </c>
      <c r="I647" s="790" t="s">
        <v>3312</v>
      </c>
      <c r="J647" s="791" t="s">
        <v>3313</v>
      </c>
      <c r="K647" s="525" t="s">
        <v>1244</v>
      </c>
      <c r="L647" s="525" t="s">
        <v>3314</v>
      </c>
      <c r="M647" s="618"/>
      <c r="N647" s="618"/>
      <c r="O647" s="618"/>
      <c r="P647" s="620"/>
      <c r="Q647" s="618"/>
      <c r="R647" s="620"/>
      <c r="S647" s="618"/>
      <c r="T647" s="620"/>
      <c r="U647" s="618"/>
      <c r="V647" s="620"/>
      <c r="W647" s="815" t="s">
        <v>2327</v>
      </c>
      <c r="X647" s="606"/>
      <c r="Y647" s="605"/>
      <c r="Z647" s="606"/>
      <c r="AA647" s="605"/>
      <c r="AB647" s="817"/>
    </row>
    <row r="648">
      <c r="A648" s="586">
        <v>265.0</v>
      </c>
      <c r="B648" s="638">
        <v>44557.0</v>
      </c>
      <c r="C648" s="818" t="s">
        <v>3315</v>
      </c>
      <c r="D648" s="634" t="s">
        <v>3082</v>
      </c>
      <c r="E648" s="634" t="s">
        <v>3316</v>
      </c>
      <c r="F648" s="634" t="s">
        <v>1459</v>
      </c>
      <c r="G648" s="634" t="s">
        <v>3317</v>
      </c>
      <c r="H648" s="634" t="s">
        <v>32</v>
      </c>
      <c r="I648" s="536" t="s">
        <v>3318</v>
      </c>
      <c r="J648" s="765" t="s">
        <v>3319</v>
      </c>
      <c r="K648" s="618"/>
      <c r="L648" s="618"/>
      <c r="M648" s="618"/>
      <c r="N648" s="618"/>
      <c r="O648" s="618"/>
      <c r="P648" s="620"/>
      <c r="Q648" s="618"/>
      <c r="R648" s="620"/>
      <c r="S648" s="618"/>
      <c r="T648" s="620"/>
      <c r="U648" s="618"/>
      <c r="V648" s="620"/>
      <c r="W648" s="807" t="s">
        <v>3320</v>
      </c>
      <c r="X648" s="606"/>
      <c r="Y648" s="605"/>
      <c r="Z648" s="606"/>
      <c r="AA648" s="611"/>
      <c r="AB648" s="608"/>
    </row>
    <row r="649">
      <c r="A649" s="327">
        <v>261.0</v>
      </c>
      <c r="B649" s="813">
        <v>44550.0</v>
      </c>
      <c r="C649" s="547" t="s">
        <v>3321</v>
      </c>
      <c r="D649" s="547" t="s">
        <v>29</v>
      </c>
      <c r="E649" s="547" t="s">
        <v>48</v>
      </c>
      <c r="F649" s="547" t="s">
        <v>49</v>
      </c>
      <c r="G649" s="547" t="s">
        <v>50</v>
      </c>
      <c r="H649" s="547" t="s">
        <v>51</v>
      </c>
      <c r="I649" s="550" t="s">
        <v>3322</v>
      </c>
      <c r="J649" s="767" t="s">
        <v>3323</v>
      </c>
      <c r="K649" s="623" t="s">
        <v>3232</v>
      </c>
      <c r="L649" s="564" t="s">
        <v>3324</v>
      </c>
      <c r="M649" s="563"/>
      <c r="N649" s="563"/>
      <c r="O649" s="539"/>
      <c r="P649" s="571"/>
      <c r="Q649" s="563"/>
      <c r="R649" s="571"/>
      <c r="S649" s="563"/>
      <c r="T649" s="571"/>
      <c r="U649" s="539"/>
      <c r="V649" s="571"/>
      <c r="W649" s="810" t="s">
        <v>3310</v>
      </c>
      <c r="X649" s="571"/>
      <c r="Y649" s="563"/>
      <c r="Z649" s="571"/>
      <c r="AA649" s="563"/>
      <c r="AB649" s="566"/>
    </row>
    <row r="650">
      <c r="A650" s="586">
        <v>223.0</v>
      </c>
      <c r="B650" s="576">
        <v>44510.0</v>
      </c>
      <c r="C650" s="489" t="s">
        <v>3325</v>
      </c>
      <c r="D650" s="521" t="s">
        <v>29</v>
      </c>
      <c r="E650" s="521" t="s">
        <v>3326</v>
      </c>
      <c r="F650" s="521" t="s">
        <v>295</v>
      </c>
      <c r="G650" s="522">
        <v>1.3521406E7</v>
      </c>
      <c r="H650" s="521" t="s">
        <v>51</v>
      </c>
      <c r="I650" s="491" t="s">
        <v>3327</v>
      </c>
      <c r="J650" s="758" t="s">
        <v>3328</v>
      </c>
      <c r="K650" s="525" t="s">
        <v>3329</v>
      </c>
      <c r="L650" s="618"/>
      <c r="M650" s="618"/>
      <c r="N650" s="618"/>
      <c r="O650" s="618"/>
      <c r="P650" s="620"/>
      <c r="Q650" s="618"/>
      <c r="R650" s="620"/>
      <c r="S650" s="618"/>
      <c r="T650" s="620"/>
      <c r="U650" s="525" t="s">
        <v>62</v>
      </c>
      <c r="V650" s="626">
        <v>45722.0</v>
      </c>
      <c r="W650" s="819" t="s">
        <v>3330</v>
      </c>
      <c r="X650" s="606"/>
      <c r="Y650" s="605"/>
      <c r="Z650" s="606"/>
      <c r="AA650" s="714" t="s">
        <v>3331</v>
      </c>
      <c r="AB650" s="545" t="s">
        <v>3332</v>
      </c>
    </row>
    <row r="651">
      <c r="A651" s="586">
        <v>221.0</v>
      </c>
      <c r="B651" s="576">
        <v>44510.0</v>
      </c>
      <c r="C651" s="489" t="s">
        <v>3325</v>
      </c>
      <c r="D651" s="521" t="s">
        <v>29</v>
      </c>
      <c r="E651" s="521" t="s">
        <v>3326</v>
      </c>
      <c r="F651" s="521" t="s">
        <v>295</v>
      </c>
      <c r="G651" s="522">
        <v>1.3521404E7</v>
      </c>
      <c r="H651" s="521" t="s">
        <v>51</v>
      </c>
      <c r="I651" s="491" t="s">
        <v>3327</v>
      </c>
      <c r="J651" s="758" t="s">
        <v>3333</v>
      </c>
      <c r="K651" s="525" t="s">
        <v>3329</v>
      </c>
      <c r="L651" s="618"/>
      <c r="M651" s="618"/>
      <c r="N651" s="618"/>
      <c r="O651" s="618"/>
      <c r="P651" s="620"/>
      <c r="Q651" s="618"/>
      <c r="R651" s="620"/>
      <c r="S651" s="618"/>
      <c r="T651" s="620"/>
      <c r="U651" s="525" t="s">
        <v>62</v>
      </c>
      <c r="V651" s="620"/>
      <c r="W651" s="819" t="s">
        <v>3330</v>
      </c>
      <c r="X651" s="606"/>
      <c r="Y651" s="605"/>
      <c r="Z651" s="606"/>
      <c r="AA651" s="714" t="s">
        <v>2167</v>
      </c>
      <c r="AB651" s="545" t="s">
        <v>3332</v>
      </c>
    </row>
    <row r="652">
      <c r="A652" s="586">
        <v>213.0</v>
      </c>
      <c r="B652" s="576">
        <v>44510.0</v>
      </c>
      <c r="C652" s="489" t="s">
        <v>3325</v>
      </c>
      <c r="D652" s="521" t="s">
        <v>29</v>
      </c>
      <c r="E652" s="521" t="s">
        <v>3326</v>
      </c>
      <c r="F652" s="521" t="s">
        <v>295</v>
      </c>
      <c r="G652" s="522">
        <v>1.3521396E7</v>
      </c>
      <c r="H652" s="521" t="s">
        <v>51</v>
      </c>
      <c r="I652" s="491" t="s">
        <v>3327</v>
      </c>
      <c r="J652" s="758" t="s">
        <v>3334</v>
      </c>
      <c r="K652" s="525" t="s">
        <v>3329</v>
      </c>
      <c r="L652" s="618"/>
      <c r="M652" s="618"/>
      <c r="N652" s="618"/>
      <c r="O652" s="618"/>
      <c r="P652" s="620"/>
      <c r="Q652" s="618"/>
      <c r="R652" s="620"/>
      <c r="S652" s="618"/>
      <c r="T652" s="620"/>
      <c r="U652" s="525" t="s">
        <v>62</v>
      </c>
      <c r="V652" s="626">
        <v>45722.0</v>
      </c>
      <c r="W652" s="819" t="s">
        <v>3330</v>
      </c>
      <c r="X652" s="606"/>
      <c r="Y652" s="605"/>
      <c r="Z652" s="606"/>
      <c r="AA652" s="714" t="s">
        <v>3331</v>
      </c>
      <c r="AB652" s="545" t="s">
        <v>3332</v>
      </c>
    </row>
    <row r="653">
      <c r="A653" s="586">
        <v>207.0</v>
      </c>
      <c r="B653" s="576">
        <v>44504.0</v>
      </c>
      <c r="C653" s="489" t="s">
        <v>3325</v>
      </c>
      <c r="D653" s="521" t="s">
        <v>29</v>
      </c>
      <c r="E653" s="521" t="s">
        <v>3326</v>
      </c>
      <c r="F653" s="521" t="s">
        <v>295</v>
      </c>
      <c r="G653" s="522">
        <v>1.3521388E7</v>
      </c>
      <c r="H653" s="521" t="s">
        <v>51</v>
      </c>
      <c r="I653" s="491" t="s">
        <v>3327</v>
      </c>
      <c r="J653" s="758" t="s">
        <v>3335</v>
      </c>
      <c r="K653" s="525" t="s">
        <v>3329</v>
      </c>
      <c r="L653" s="618"/>
      <c r="M653" s="618"/>
      <c r="N653" s="618"/>
      <c r="O653" s="618"/>
      <c r="P653" s="620"/>
      <c r="Q653" s="618"/>
      <c r="R653" s="620"/>
      <c r="S653" s="618"/>
      <c r="T653" s="620"/>
      <c r="U653" s="525" t="s">
        <v>62</v>
      </c>
      <c r="V653" s="626">
        <v>45722.0</v>
      </c>
      <c r="W653" s="819" t="s">
        <v>3330</v>
      </c>
      <c r="X653" s="606"/>
      <c r="Y653" s="605"/>
      <c r="Z653" s="606"/>
      <c r="AA653" s="714" t="s">
        <v>3331</v>
      </c>
      <c r="AB653" s="545" t="s">
        <v>3332</v>
      </c>
    </row>
    <row r="654">
      <c r="A654" s="786">
        <v>188.0</v>
      </c>
      <c r="B654" s="787">
        <v>44483.0</v>
      </c>
      <c r="C654" s="788" t="s">
        <v>3336</v>
      </c>
      <c r="D654" s="789"/>
      <c r="E654" s="789" t="s">
        <v>3337</v>
      </c>
      <c r="F654" s="789" t="s">
        <v>160</v>
      </c>
      <c r="G654" s="789" t="s">
        <v>50</v>
      </c>
      <c r="H654" s="789" t="s">
        <v>120</v>
      </c>
      <c r="I654" s="790" t="s">
        <v>3338</v>
      </c>
      <c r="J654" s="791" t="s">
        <v>3339</v>
      </c>
      <c r="K654" s="525" t="s">
        <v>3340</v>
      </c>
      <c r="L654" s="525" t="s">
        <v>3341</v>
      </c>
      <c r="M654" s="618"/>
      <c r="N654" s="618"/>
      <c r="O654" s="618"/>
      <c r="P654" s="620"/>
      <c r="Q654" s="618"/>
      <c r="R654" s="620"/>
      <c r="S654" s="618"/>
      <c r="T654" s="620"/>
      <c r="U654" s="618"/>
      <c r="V654" s="620"/>
      <c r="W654" s="815" t="s">
        <v>2327</v>
      </c>
      <c r="X654" s="606"/>
      <c r="Y654" s="605"/>
      <c r="Z654" s="606"/>
      <c r="AA654" s="605"/>
      <c r="AB654" s="817"/>
    </row>
    <row r="655">
      <c r="A655" s="820">
        <v>157.0</v>
      </c>
      <c r="B655" s="778">
        <v>44504.0</v>
      </c>
      <c r="C655" s="779" t="s">
        <v>3325</v>
      </c>
      <c r="D655" s="780"/>
      <c r="E655" s="780" t="s">
        <v>3326</v>
      </c>
      <c r="F655" s="780" t="s">
        <v>295</v>
      </c>
      <c r="G655" s="777">
        <v>1.3521387E7</v>
      </c>
      <c r="H655" s="780" t="s">
        <v>51</v>
      </c>
      <c r="I655" s="781" t="s">
        <v>3342</v>
      </c>
      <c r="J655" s="782" t="s">
        <v>3343</v>
      </c>
      <c r="K655" s="525" t="s">
        <v>3079</v>
      </c>
      <c r="L655" s="525" t="s">
        <v>3190</v>
      </c>
      <c r="M655" s="525" t="s">
        <v>3191</v>
      </c>
      <c r="N655" s="618"/>
      <c r="O655" s="618"/>
      <c r="P655" s="620"/>
      <c r="Q655" s="618"/>
      <c r="R655" s="620"/>
      <c r="S655" s="618"/>
      <c r="T655" s="620"/>
      <c r="U655" s="525" t="s">
        <v>62</v>
      </c>
      <c r="V655" s="626">
        <v>45645.0</v>
      </c>
      <c r="W655" s="811"/>
      <c r="X655" s="606"/>
      <c r="Y655" s="605"/>
      <c r="Z655" s="606"/>
      <c r="AA655" s="605"/>
      <c r="AB655" s="817"/>
    </row>
    <row r="656">
      <c r="A656" s="820">
        <v>120.0</v>
      </c>
      <c r="B656" s="778">
        <v>44356.0</v>
      </c>
      <c r="C656" s="779" t="s">
        <v>3344</v>
      </c>
      <c r="D656" s="780"/>
      <c r="E656" s="780" t="s">
        <v>3345</v>
      </c>
      <c r="F656" s="780" t="s">
        <v>3346</v>
      </c>
      <c r="G656" s="780" t="s">
        <v>50</v>
      </c>
      <c r="H656" s="779" t="s">
        <v>3347</v>
      </c>
      <c r="I656" s="781" t="s">
        <v>3348</v>
      </c>
      <c r="J656" s="782" t="s">
        <v>3349</v>
      </c>
      <c r="K656" s="525" t="s">
        <v>3350</v>
      </c>
      <c r="L656" s="622"/>
      <c r="M656" s="622"/>
      <c r="N656" s="618"/>
      <c r="O656" s="618"/>
      <c r="P656" s="620"/>
      <c r="Q656" s="618"/>
      <c r="R656" s="620"/>
      <c r="S656" s="618"/>
      <c r="T656" s="620"/>
      <c r="U656" s="618"/>
      <c r="V656" s="620"/>
      <c r="W656" s="814"/>
      <c r="X656" s="606"/>
      <c r="Y656" s="605"/>
      <c r="Z656" s="606"/>
      <c r="AA656" s="605"/>
      <c r="AB656" s="812" t="s">
        <v>3299</v>
      </c>
    </row>
    <row r="657">
      <c r="A657" s="586">
        <v>106.0</v>
      </c>
      <c r="B657" s="576">
        <v>44327.0</v>
      </c>
      <c r="C657" s="821" t="s">
        <v>3351</v>
      </c>
      <c r="D657" s="521" t="s">
        <v>66</v>
      </c>
      <c r="E657" s="521" t="s">
        <v>1101</v>
      </c>
      <c r="F657" s="521" t="s">
        <v>3352</v>
      </c>
      <c r="G657" s="521" t="s">
        <v>50</v>
      </c>
      <c r="H657" s="489" t="s">
        <v>3353</v>
      </c>
      <c r="I657" s="491" t="s">
        <v>3354</v>
      </c>
      <c r="J657" s="760" t="s">
        <v>3355</v>
      </c>
      <c r="K657" s="525" t="s">
        <v>1661</v>
      </c>
      <c r="L657" s="594" t="s">
        <v>3356</v>
      </c>
      <c r="M657" s="594" t="s">
        <v>3357</v>
      </c>
      <c r="N657" s="618"/>
      <c r="O657" s="618"/>
      <c r="P657" s="620"/>
      <c r="Q657" s="618"/>
      <c r="R657" s="620"/>
      <c r="S657" s="618"/>
      <c r="T657" s="620"/>
      <c r="U657" s="618"/>
      <c r="V657" s="620"/>
      <c r="W657" s="814"/>
      <c r="X657" s="606"/>
      <c r="Y657" s="605"/>
      <c r="Z657" s="606"/>
      <c r="AA657" s="714" t="s">
        <v>1218</v>
      </c>
      <c r="AB657" s="545" t="s">
        <v>3358</v>
      </c>
    </row>
    <row r="658">
      <c r="A658" s="506">
        <v>1472.0</v>
      </c>
      <c r="B658" s="507">
        <v>45674.0</v>
      </c>
      <c r="C658" s="508" t="s">
        <v>3359</v>
      </c>
      <c r="D658" s="508" t="s">
        <v>29</v>
      </c>
      <c r="E658" s="508" t="s">
        <v>227</v>
      </c>
      <c r="F658" s="508" t="s">
        <v>228</v>
      </c>
      <c r="G658" s="822">
        <v>1.9620422E7</v>
      </c>
      <c r="H658" s="508" t="s">
        <v>135</v>
      </c>
      <c r="I658" s="509" t="s">
        <v>3360</v>
      </c>
      <c r="J658" s="801" t="s">
        <v>3361</v>
      </c>
      <c r="K658" s="823" t="s">
        <v>231</v>
      </c>
      <c r="L658" s="512" t="s">
        <v>36</v>
      </c>
      <c r="M658" s="512" t="s">
        <v>1619</v>
      </c>
      <c r="N658" s="513"/>
      <c r="O658" s="514"/>
      <c r="P658" s="515"/>
      <c r="Q658" s="513"/>
      <c r="R658" s="515"/>
      <c r="S658" s="824" t="s">
        <v>62</v>
      </c>
      <c r="T658" s="517">
        <v>45999.0</v>
      </c>
      <c r="U658" s="516" t="s">
        <v>62</v>
      </c>
      <c r="V658" s="517">
        <v>46030.0</v>
      </c>
      <c r="W658" s="513"/>
      <c r="X658" s="515"/>
      <c r="Y658" s="513"/>
      <c r="Z658" s="515"/>
      <c r="AA658" s="513"/>
      <c r="AB658" s="513"/>
    </row>
    <row r="659">
      <c r="A659" s="825">
        <v>1715.0</v>
      </c>
      <c r="B659" s="507">
        <v>45867.0</v>
      </c>
      <c r="C659" s="508" t="s">
        <v>582</v>
      </c>
      <c r="D659" s="508" t="s">
        <v>66</v>
      </c>
      <c r="E659" s="508" t="s">
        <v>67</v>
      </c>
      <c r="F659" s="508" t="s">
        <v>49</v>
      </c>
      <c r="G659" s="822">
        <v>1.905028E7</v>
      </c>
      <c r="H659" s="508" t="s">
        <v>42</v>
      </c>
      <c r="I659" s="509" t="s">
        <v>3362</v>
      </c>
      <c r="J659" s="801" t="s">
        <v>3363</v>
      </c>
      <c r="K659" s="826" t="s">
        <v>129</v>
      </c>
      <c r="L659" s="657"/>
      <c r="M659" s="658"/>
      <c r="N659" s="658"/>
      <c r="O659" s="827" t="s">
        <v>62</v>
      </c>
      <c r="P659" s="828">
        <v>45939.0</v>
      </c>
      <c r="Q659" s="658"/>
      <c r="R659" s="659"/>
      <c r="S659" s="658"/>
      <c r="T659" s="659"/>
      <c r="U659" s="827" t="s">
        <v>62</v>
      </c>
      <c r="V659" s="828">
        <v>46027.0</v>
      </c>
      <c r="W659" s="658"/>
      <c r="X659" s="659"/>
      <c r="Y659" s="658"/>
      <c r="Z659" s="659"/>
      <c r="AA659" s="658"/>
      <c r="AB659" s="658"/>
    </row>
    <row r="660">
      <c r="A660" s="829">
        <v>1793.0</v>
      </c>
      <c r="B660" s="830">
        <v>45930.0</v>
      </c>
      <c r="C660" s="831" t="s">
        <v>238</v>
      </c>
      <c r="D660" s="329"/>
      <c r="E660" s="831" t="s">
        <v>239</v>
      </c>
      <c r="F660" s="831" t="s">
        <v>3364</v>
      </c>
      <c r="G660" s="832">
        <v>1.7190952E7</v>
      </c>
      <c r="H660" s="831" t="s">
        <v>348</v>
      </c>
      <c r="I660" s="833" t="s">
        <v>3365</v>
      </c>
      <c r="J660" s="834" t="s">
        <v>3366</v>
      </c>
      <c r="K660" s="835" t="s">
        <v>3367</v>
      </c>
      <c r="L660" s="664"/>
      <c r="M660" s="513"/>
      <c r="N660" s="513"/>
      <c r="O660" s="514"/>
      <c r="P660" s="515"/>
      <c r="Q660" s="836" t="s">
        <v>62</v>
      </c>
      <c r="R660" s="515"/>
      <c r="S660" s="513"/>
      <c r="T660" s="515"/>
      <c r="U660" s="837" t="s">
        <v>62</v>
      </c>
      <c r="V660" s="838">
        <v>45650.0</v>
      </c>
      <c r="W660" s="513"/>
      <c r="X660" s="515"/>
      <c r="Y660" s="513"/>
      <c r="Z660" s="515"/>
      <c r="AA660" s="513"/>
      <c r="AB660" s="513"/>
    </row>
    <row r="661">
      <c r="A661" s="825">
        <v>1796.0</v>
      </c>
      <c r="B661" s="507">
        <v>45931.0</v>
      </c>
      <c r="C661" s="508" t="s">
        <v>2178</v>
      </c>
      <c r="D661" s="329"/>
      <c r="E661" s="508" t="s">
        <v>2179</v>
      </c>
      <c r="F661" s="508" t="s">
        <v>49</v>
      </c>
      <c r="G661" s="822">
        <v>1.582033E7</v>
      </c>
      <c r="H661" s="508" t="s">
        <v>51</v>
      </c>
      <c r="I661" s="509" t="s">
        <v>3368</v>
      </c>
      <c r="J661" s="801" t="s">
        <v>3369</v>
      </c>
      <c r="K661" s="826" t="s">
        <v>3370</v>
      </c>
      <c r="L661" s="657"/>
      <c r="M661" s="658"/>
      <c r="N661" s="658"/>
      <c r="O661" s="656"/>
      <c r="P661" s="659"/>
      <c r="Q661" s="658"/>
      <c r="R661" s="659"/>
      <c r="S661" s="658"/>
      <c r="T661" s="659"/>
      <c r="U661" s="839" t="s">
        <v>62</v>
      </c>
      <c r="V661" s="828">
        <v>45637.0</v>
      </c>
      <c r="W661" s="658"/>
      <c r="X661" s="659"/>
      <c r="Y661" s="658"/>
      <c r="Z661" s="659"/>
      <c r="AA661" s="658"/>
      <c r="AB661" s="658"/>
    </row>
    <row r="662">
      <c r="A662" s="506">
        <v>1834.0</v>
      </c>
      <c r="B662" s="507">
        <v>45958.0</v>
      </c>
      <c r="C662" s="508" t="s">
        <v>211</v>
      </c>
      <c r="D662" s="329"/>
      <c r="E662" s="508" t="s">
        <v>212</v>
      </c>
      <c r="F662" s="508" t="s">
        <v>31</v>
      </c>
      <c r="G662" s="822">
        <v>1.8580088E7</v>
      </c>
      <c r="H662" s="508" t="s">
        <v>32</v>
      </c>
      <c r="I662" s="509" t="s">
        <v>3371</v>
      </c>
      <c r="J662" s="801" t="s">
        <v>3372</v>
      </c>
      <c r="K662" s="511" t="s">
        <v>35</v>
      </c>
      <c r="L662" s="512" t="s">
        <v>36</v>
      </c>
      <c r="M662" s="512" t="s">
        <v>37</v>
      </c>
      <c r="N662" s="513"/>
      <c r="O662" s="514"/>
      <c r="P662" s="515"/>
      <c r="Q662" s="513"/>
      <c r="R662" s="515"/>
      <c r="S662" s="513"/>
      <c r="T662" s="515"/>
      <c r="U662" s="516" t="s">
        <v>62</v>
      </c>
      <c r="V662" s="517">
        <v>46030.0</v>
      </c>
      <c r="W662" s="513"/>
      <c r="X662" s="515"/>
      <c r="Y662" s="513"/>
      <c r="Z662" s="515"/>
      <c r="AA662" s="513"/>
      <c r="AB662" s="513"/>
    </row>
    <row r="663">
      <c r="A663" s="825">
        <v>1838.0</v>
      </c>
      <c r="B663" s="507">
        <v>45960.0</v>
      </c>
      <c r="C663" s="508" t="s">
        <v>1760</v>
      </c>
      <c r="D663" s="329"/>
      <c r="E663" s="508" t="s">
        <v>768</v>
      </c>
      <c r="F663" s="508" t="s">
        <v>327</v>
      </c>
      <c r="G663" s="822">
        <v>1.9090159E7</v>
      </c>
      <c r="H663" s="508" t="s">
        <v>200</v>
      </c>
      <c r="I663" s="509" t="s">
        <v>3373</v>
      </c>
      <c r="J663" s="801" t="s">
        <v>3374</v>
      </c>
      <c r="K663" s="826" t="s">
        <v>3375</v>
      </c>
      <c r="L663" s="657"/>
      <c r="M663" s="658"/>
      <c r="N663" s="658"/>
      <c r="O663" s="827" t="s">
        <v>62</v>
      </c>
      <c r="P663" s="828">
        <v>45966.0</v>
      </c>
      <c r="Q663" s="658"/>
      <c r="R663" s="659"/>
      <c r="S663" s="658"/>
      <c r="T663" s="659"/>
      <c r="U663" s="827" t="s">
        <v>62</v>
      </c>
      <c r="V663" s="828">
        <v>46029.0</v>
      </c>
      <c r="W663" s="658"/>
      <c r="X663" s="659"/>
      <c r="Y663" s="658"/>
      <c r="Z663" s="659"/>
      <c r="AA663" s="658"/>
      <c r="AB663" s="658"/>
    </row>
    <row r="664">
      <c r="A664" s="506">
        <v>1846.0</v>
      </c>
      <c r="B664" s="507">
        <v>45966.0</v>
      </c>
      <c r="C664" s="508" t="s">
        <v>767</v>
      </c>
      <c r="D664" s="329"/>
      <c r="E664" s="508" t="s">
        <v>768</v>
      </c>
      <c r="F664" s="508" t="s">
        <v>1380</v>
      </c>
      <c r="G664" s="822">
        <v>1.909019E7</v>
      </c>
      <c r="H664" s="508" t="s">
        <v>200</v>
      </c>
      <c r="I664" s="509" t="s">
        <v>3376</v>
      </c>
      <c r="J664" s="801" t="s">
        <v>3377</v>
      </c>
      <c r="K664" s="511" t="s">
        <v>2882</v>
      </c>
      <c r="L664" s="533" t="s">
        <v>3376</v>
      </c>
      <c r="M664" s="513"/>
      <c r="N664" s="513"/>
      <c r="O664" s="514"/>
      <c r="P664" s="515"/>
      <c r="Q664" s="513"/>
      <c r="R664" s="515"/>
      <c r="S664" s="513"/>
      <c r="T664" s="515"/>
      <c r="U664" s="516" t="s">
        <v>62</v>
      </c>
      <c r="V664" s="517">
        <v>46028.0</v>
      </c>
      <c r="W664" s="513"/>
      <c r="X664" s="515"/>
      <c r="Y664" s="513"/>
      <c r="Z664" s="515"/>
      <c r="AA664" s="513"/>
      <c r="AB664" s="513"/>
    </row>
    <row r="665">
      <c r="A665" s="825">
        <v>1915.0</v>
      </c>
      <c r="B665" s="507">
        <v>45992.0</v>
      </c>
      <c r="C665" s="508" t="s">
        <v>1112</v>
      </c>
      <c r="D665" s="329"/>
      <c r="E665" s="508" t="s">
        <v>2639</v>
      </c>
      <c r="F665" s="329"/>
      <c r="G665" s="822">
        <v>1.8010201E7</v>
      </c>
      <c r="H665" s="508" t="s">
        <v>32</v>
      </c>
      <c r="I665" s="509" t="s">
        <v>3378</v>
      </c>
      <c r="J665" s="801" t="s">
        <v>3379</v>
      </c>
      <c r="K665" s="656"/>
      <c r="L665" s="658"/>
      <c r="M665" s="657"/>
      <c r="N665" s="658"/>
      <c r="O665" s="656"/>
      <c r="P665" s="659"/>
      <c r="Q665" s="658"/>
      <c r="R665" s="659"/>
      <c r="S665" s="658"/>
      <c r="T665" s="659"/>
      <c r="U665" s="827" t="s">
        <v>62</v>
      </c>
      <c r="V665" s="828">
        <v>46013.0</v>
      </c>
      <c r="W665" s="658"/>
      <c r="X665" s="659"/>
      <c r="Y665" s="658"/>
      <c r="Z665" s="659"/>
      <c r="AA665" s="658"/>
      <c r="AB665" s="658"/>
    </row>
    <row r="666">
      <c r="A666" s="506">
        <v>1962.0</v>
      </c>
      <c r="B666" s="840">
        <v>46009.0</v>
      </c>
      <c r="C666" s="508" t="s">
        <v>582</v>
      </c>
      <c r="D666" s="329"/>
      <c r="E666" s="508" t="s">
        <v>67</v>
      </c>
      <c r="F666" s="508" t="s">
        <v>49</v>
      </c>
      <c r="G666" s="822">
        <v>1.9050289E7</v>
      </c>
      <c r="H666" s="508" t="s">
        <v>42</v>
      </c>
      <c r="I666" s="509" t="s">
        <v>3380</v>
      </c>
      <c r="J666" s="801" t="s">
        <v>3381</v>
      </c>
      <c r="K666" s="511" t="s">
        <v>129</v>
      </c>
      <c r="L666" s="512" t="s">
        <v>585</v>
      </c>
      <c r="M666" s="841" t="s">
        <v>586</v>
      </c>
      <c r="N666" s="513"/>
      <c r="O666" s="516" t="s">
        <v>62</v>
      </c>
      <c r="P666" s="517">
        <v>46016.0</v>
      </c>
      <c r="Q666" s="513"/>
      <c r="R666" s="515"/>
      <c r="S666" s="513"/>
      <c r="T666" s="515"/>
      <c r="U666" s="516" t="s">
        <v>62</v>
      </c>
      <c r="V666" s="517">
        <v>46029.0</v>
      </c>
      <c r="W666" s="513"/>
      <c r="X666" s="515"/>
      <c r="Y666" s="513"/>
      <c r="Z666" s="515"/>
      <c r="AA666" s="513"/>
      <c r="AB666" s="513"/>
    </row>
    <row r="667">
      <c r="A667" s="825">
        <v>1963.0</v>
      </c>
      <c r="B667" s="840">
        <v>46013.0</v>
      </c>
      <c r="C667" s="508" t="s">
        <v>1246</v>
      </c>
      <c r="D667" s="329"/>
      <c r="E667" s="508" t="s">
        <v>1247</v>
      </c>
      <c r="F667" s="508" t="s">
        <v>49</v>
      </c>
      <c r="G667" s="822">
        <v>1.5781714E7</v>
      </c>
      <c r="H667" s="508" t="s">
        <v>32</v>
      </c>
      <c r="I667" s="842" t="s">
        <v>3382</v>
      </c>
      <c r="J667" s="801" t="s">
        <v>3383</v>
      </c>
      <c r="K667" s="826" t="s">
        <v>1244</v>
      </c>
      <c r="L667" s="843" t="s">
        <v>3384</v>
      </c>
      <c r="M667" s="844" t="s">
        <v>1234</v>
      </c>
      <c r="N667" s="658"/>
      <c r="O667" s="827" t="s">
        <v>62</v>
      </c>
      <c r="P667" s="828">
        <v>46016.0</v>
      </c>
      <c r="Q667" s="658"/>
      <c r="R667" s="659"/>
      <c r="S667" s="658"/>
      <c r="T667" s="659"/>
      <c r="U667" s="827" t="s">
        <v>62</v>
      </c>
      <c r="V667" s="828">
        <v>46028.0</v>
      </c>
      <c r="W667" s="658"/>
      <c r="X667" s="659"/>
      <c r="Y667" s="658"/>
      <c r="Z667" s="659"/>
      <c r="AA667" s="658"/>
      <c r="AB667" s="658"/>
    </row>
    <row r="668">
      <c r="A668" s="506">
        <v>1964.0</v>
      </c>
      <c r="B668" s="840">
        <v>46014.0</v>
      </c>
      <c r="C668" s="508" t="s">
        <v>325</v>
      </c>
      <c r="D668" s="329"/>
      <c r="E668" s="508" t="s">
        <v>326</v>
      </c>
      <c r="F668" s="508" t="s">
        <v>49</v>
      </c>
      <c r="G668" s="822">
        <v>1.8860136E7</v>
      </c>
      <c r="H668" s="508" t="s">
        <v>42</v>
      </c>
      <c r="I668" s="509" t="s">
        <v>3385</v>
      </c>
      <c r="J668" s="801" t="s">
        <v>3386</v>
      </c>
      <c r="K668" s="511" t="s">
        <v>129</v>
      </c>
      <c r="L668" s="512" t="s">
        <v>585</v>
      </c>
      <c r="M668" s="841" t="s">
        <v>586</v>
      </c>
      <c r="N668" s="513"/>
      <c r="O668" s="516" t="s">
        <v>62</v>
      </c>
      <c r="P668" s="517">
        <v>46028.0</v>
      </c>
      <c r="Q668" s="513"/>
      <c r="R668" s="515"/>
      <c r="S668" s="513"/>
      <c r="T668" s="515"/>
      <c r="U668" s="516" t="s">
        <v>62</v>
      </c>
      <c r="V668" s="517">
        <v>46029.0</v>
      </c>
      <c r="W668" s="513"/>
      <c r="X668" s="515"/>
      <c r="Y668" s="513"/>
      <c r="Z668" s="515"/>
      <c r="AA668" s="513"/>
      <c r="AB668" s="513"/>
    </row>
    <row r="669">
      <c r="A669" s="506">
        <v>1595.0</v>
      </c>
      <c r="B669" s="507">
        <v>45744.0</v>
      </c>
      <c r="C669" s="508" t="s">
        <v>304</v>
      </c>
      <c r="D669" s="508" t="s">
        <v>66</v>
      </c>
      <c r="E669" s="508" t="s">
        <v>205</v>
      </c>
      <c r="F669" s="508" t="s">
        <v>49</v>
      </c>
      <c r="G669" s="508" t="s">
        <v>50</v>
      </c>
      <c r="H669" s="508" t="s">
        <v>51</v>
      </c>
      <c r="I669" s="509" t="s">
        <v>3387</v>
      </c>
      <c r="J669" s="801" t="s">
        <v>3388</v>
      </c>
      <c r="K669" s="511" t="s">
        <v>208</v>
      </c>
      <c r="L669" s="664"/>
      <c r="M669" s="513"/>
      <c r="N669" s="513"/>
      <c r="O669" s="514"/>
      <c r="P669" s="515"/>
      <c r="Q669" s="513"/>
      <c r="R669" s="515"/>
      <c r="S669" s="513"/>
      <c r="T669" s="515"/>
      <c r="U669" s="516" t="s">
        <v>62</v>
      </c>
      <c r="V669" s="517">
        <v>46058.0</v>
      </c>
      <c r="W669" s="513"/>
      <c r="X669" s="515"/>
      <c r="Y669" s="513"/>
      <c r="Z669" s="515"/>
      <c r="AA669" s="513"/>
      <c r="AB669" s="513"/>
    </row>
    <row r="670">
      <c r="A670" s="822">
        <v>1830.0</v>
      </c>
      <c r="B670" s="507">
        <v>45957.0</v>
      </c>
      <c r="C670" s="508" t="s">
        <v>3389</v>
      </c>
      <c r="D670" s="508" t="s">
        <v>29</v>
      </c>
      <c r="E670" s="508" t="s">
        <v>227</v>
      </c>
      <c r="F670" s="508" t="s">
        <v>3390</v>
      </c>
      <c r="G670" s="508" t="s">
        <v>3391</v>
      </c>
      <c r="H670" s="508" t="s">
        <v>135</v>
      </c>
      <c r="I670" s="509" t="s">
        <v>3392</v>
      </c>
      <c r="J670" s="801" t="s">
        <v>3393</v>
      </c>
      <c r="K670" s="826" t="s">
        <v>231</v>
      </c>
      <c r="L670" s="843" t="s">
        <v>3394</v>
      </c>
      <c r="M670" s="843" t="s">
        <v>1619</v>
      </c>
      <c r="N670" s="658"/>
      <c r="O670" s="656"/>
      <c r="P670" s="659"/>
      <c r="Q670" s="658"/>
      <c r="R670" s="659"/>
      <c r="S670" s="845" t="s">
        <v>62</v>
      </c>
      <c r="T670" s="828">
        <v>45986.0</v>
      </c>
      <c r="U670" s="827" t="s">
        <v>62</v>
      </c>
      <c r="V670" s="828">
        <v>46037.0</v>
      </c>
      <c r="W670" s="658"/>
      <c r="X670" s="659"/>
      <c r="Y670" s="658"/>
      <c r="Z670" s="659"/>
      <c r="AA670" s="658"/>
      <c r="AB670" s="658"/>
    </row>
    <row r="671">
      <c r="A671" s="506">
        <v>1845.0</v>
      </c>
      <c r="B671" s="507">
        <v>45966.0</v>
      </c>
      <c r="C671" s="508" t="s">
        <v>605</v>
      </c>
      <c r="D671" s="329"/>
      <c r="E671" s="508" t="s">
        <v>89</v>
      </c>
      <c r="F671" s="508" t="s">
        <v>41</v>
      </c>
      <c r="G671" s="822">
        <v>1.5831381E7</v>
      </c>
      <c r="H671" s="508" t="s">
        <v>51</v>
      </c>
      <c r="I671" s="509" t="s">
        <v>3395</v>
      </c>
      <c r="J671" s="801" t="s">
        <v>3396</v>
      </c>
      <c r="K671" s="511" t="s">
        <v>608</v>
      </c>
      <c r="L671" s="533" t="s">
        <v>3397</v>
      </c>
      <c r="M671" s="512" t="s">
        <v>610</v>
      </c>
      <c r="N671" s="513"/>
      <c r="O671" s="514"/>
      <c r="P671" s="515"/>
      <c r="Q671" s="824" t="s">
        <v>62</v>
      </c>
      <c r="R671" s="515"/>
      <c r="S671" s="513"/>
      <c r="T671" s="515"/>
      <c r="U671" s="516" t="s">
        <v>62</v>
      </c>
      <c r="V671" s="517">
        <v>46052.0</v>
      </c>
      <c r="W671" s="513"/>
      <c r="X671" s="515"/>
      <c r="Y671" s="513"/>
      <c r="Z671" s="515"/>
      <c r="AA671" s="513"/>
      <c r="AB671" s="513"/>
    </row>
    <row r="672">
      <c r="A672" s="825">
        <v>1847.0</v>
      </c>
      <c r="B672" s="507">
        <v>45966.0</v>
      </c>
      <c r="C672" s="508" t="s">
        <v>605</v>
      </c>
      <c r="D672" s="329"/>
      <c r="E672" s="508" t="s">
        <v>89</v>
      </c>
      <c r="F672" s="508" t="s">
        <v>41</v>
      </c>
      <c r="G672" s="822">
        <v>1.5831382E7</v>
      </c>
      <c r="H672" s="508" t="s">
        <v>51</v>
      </c>
      <c r="I672" s="509" t="s">
        <v>3398</v>
      </c>
      <c r="J672" s="801" t="s">
        <v>3396</v>
      </c>
      <c r="K672" s="826" t="s">
        <v>608</v>
      </c>
      <c r="L672" s="846" t="s">
        <v>3399</v>
      </c>
      <c r="M672" s="843" t="s">
        <v>610</v>
      </c>
      <c r="N672" s="658"/>
      <c r="O672" s="656"/>
      <c r="P672" s="659"/>
      <c r="Q672" s="845" t="s">
        <v>62</v>
      </c>
      <c r="R672" s="659"/>
      <c r="S672" s="658"/>
      <c r="T672" s="659"/>
      <c r="U672" s="827" t="s">
        <v>62</v>
      </c>
      <c r="V672" s="828">
        <v>46052.0</v>
      </c>
      <c r="W672" s="658"/>
      <c r="X672" s="659"/>
      <c r="Y672" s="658"/>
      <c r="Z672" s="659"/>
      <c r="AA672" s="658"/>
      <c r="AB672" s="658"/>
    </row>
    <row r="673">
      <c r="A673" s="506">
        <v>1848.0</v>
      </c>
      <c r="B673" s="507">
        <v>45966.0</v>
      </c>
      <c r="C673" s="508" t="s">
        <v>605</v>
      </c>
      <c r="D673" s="329"/>
      <c r="E673" s="508" t="s">
        <v>89</v>
      </c>
      <c r="F673" s="508" t="s">
        <v>41</v>
      </c>
      <c r="G673" s="822">
        <v>1.5831383E7</v>
      </c>
      <c r="H673" s="508" t="s">
        <v>51</v>
      </c>
      <c r="I673" s="509" t="s">
        <v>3400</v>
      </c>
      <c r="J673" s="801" t="s">
        <v>3401</v>
      </c>
      <c r="K673" s="511" t="s">
        <v>608</v>
      </c>
      <c r="L673" s="533" t="s">
        <v>3402</v>
      </c>
      <c r="M673" s="512" t="s">
        <v>610</v>
      </c>
      <c r="N673" s="513"/>
      <c r="O673" s="514"/>
      <c r="P673" s="515"/>
      <c r="Q673" s="824" t="s">
        <v>62</v>
      </c>
      <c r="R673" s="515"/>
      <c r="S673" s="513"/>
      <c r="T673" s="515"/>
      <c r="U673" s="516" t="s">
        <v>62</v>
      </c>
      <c r="V673" s="517">
        <v>46052.0</v>
      </c>
      <c r="W673" s="513"/>
      <c r="X673" s="515"/>
      <c r="Y673" s="513"/>
      <c r="Z673" s="515"/>
      <c r="AA673" s="513"/>
      <c r="AB673" s="513"/>
    </row>
    <row r="674">
      <c r="A674" s="506">
        <v>1908.0</v>
      </c>
      <c r="B674" s="507">
        <v>45981.0</v>
      </c>
      <c r="C674" s="508" t="s">
        <v>1262</v>
      </c>
      <c r="D674" s="329"/>
      <c r="E674" s="508" t="s">
        <v>918</v>
      </c>
      <c r="F674" s="508" t="s">
        <v>261</v>
      </c>
      <c r="G674" s="822">
        <v>1.6351913E7</v>
      </c>
      <c r="H674" s="508" t="s">
        <v>32</v>
      </c>
      <c r="I674" s="509" t="s">
        <v>3403</v>
      </c>
      <c r="J674" s="801" t="s">
        <v>3404</v>
      </c>
      <c r="K674" s="511" t="s">
        <v>3405</v>
      </c>
      <c r="L674" s="512" t="s">
        <v>1351</v>
      </c>
      <c r="M674" s="512" t="s">
        <v>280</v>
      </c>
      <c r="N674" s="513"/>
      <c r="O674" s="514"/>
      <c r="P674" s="515"/>
      <c r="Q674" s="824" t="s">
        <v>62</v>
      </c>
      <c r="R674" s="517">
        <v>46041.0</v>
      </c>
      <c r="S674" s="513"/>
      <c r="T674" s="515"/>
      <c r="U674" s="516" t="s">
        <v>62</v>
      </c>
      <c r="V674" s="517">
        <v>46055.0</v>
      </c>
      <c r="W674" s="513"/>
      <c r="X674" s="515"/>
      <c r="Y674" s="513"/>
      <c r="Z674" s="515"/>
      <c r="AA674" s="513"/>
      <c r="AB674" s="513"/>
    </row>
    <row r="675">
      <c r="A675" s="825">
        <v>1909.0</v>
      </c>
      <c r="B675" s="507">
        <v>45981.0</v>
      </c>
      <c r="C675" s="508" t="s">
        <v>1262</v>
      </c>
      <c r="D675" s="329"/>
      <c r="E675" s="508" t="s">
        <v>918</v>
      </c>
      <c r="F675" s="508" t="s">
        <v>261</v>
      </c>
      <c r="G675" s="822">
        <v>1.6351954E7</v>
      </c>
      <c r="H675" s="508" t="s">
        <v>32</v>
      </c>
      <c r="I675" s="509" t="s">
        <v>3406</v>
      </c>
      <c r="J675" s="801" t="s">
        <v>3404</v>
      </c>
      <c r="K675" s="826" t="s">
        <v>3405</v>
      </c>
      <c r="L675" s="843" t="s">
        <v>3407</v>
      </c>
      <c r="M675" s="843" t="s">
        <v>280</v>
      </c>
      <c r="N675" s="658"/>
      <c r="O675" s="656"/>
      <c r="P675" s="659"/>
      <c r="Q675" s="845" t="s">
        <v>62</v>
      </c>
      <c r="R675" s="828">
        <v>46041.0</v>
      </c>
      <c r="S675" s="658"/>
      <c r="T675" s="659"/>
      <c r="U675" s="827" t="s">
        <v>62</v>
      </c>
      <c r="V675" s="828">
        <v>46064.0</v>
      </c>
      <c r="W675" s="658"/>
      <c r="X675" s="659"/>
      <c r="Y675" s="658"/>
      <c r="Z675" s="659"/>
      <c r="AA675" s="658"/>
      <c r="AB675" s="658"/>
    </row>
    <row r="676">
      <c r="A676" s="506">
        <v>1935.0</v>
      </c>
      <c r="B676" s="507">
        <v>45995.0</v>
      </c>
      <c r="C676" s="508" t="s">
        <v>808</v>
      </c>
      <c r="D676" s="329"/>
      <c r="E676" s="508" t="s">
        <v>506</v>
      </c>
      <c r="F676" s="508" t="s">
        <v>49</v>
      </c>
      <c r="G676" s="822">
        <v>1.7243084E7</v>
      </c>
      <c r="H676" s="508" t="s">
        <v>200</v>
      </c>
      <c r="I676" s="509" t="s">
        <v>3408</v>
      </c>
      <c r="J676" s="801" t="s">
        <v>3409</v>
      </c>
      <c r="K676" s="511" t="s">
        <v>811</v>
      </c>
      <c r="L676" s="512" t="s">
        <v>812</v>
      </c>
      <c r="M676" s="512" t="s">
        <v>610</v>
      </c>
      <c r="N676" s="513"/>
      <c r="O676" s="516" t="s">
        <v>62</v>
      </c>
      <c r="P676" s="517">
        <v>46002.0</v>
      </c>
      <c r="Q676" s="513"/>
      <c r="R676" s="515"/>
      <c r="S676" s="513"/>
      <c r="T676" s="515"/>
      <c r="U676" s="516" t="s">
        <v>62</v>
      </c>
      <c r="V676" s="517">
        <v>46015.0</v>
      </c>
      <c r="W676" s="513"/>
      <c r="X676" s="515"/>
      <c r="Y676" s="513"/>
      <c r="Z676" s="515"/>
      <c r="AA676" s="513"/>
      <c r="AB676" s="513"/>
    </row>
    <row r="677">
      <c r="A677" s="825">
        <v>1948.0</v>
      </c>
      <c r="B677" s="507">
        <v>46003.0</v>
      </c>
      <c r="C677" s="508" t="s">
        <v>808</v>
      </c>
      <c r="D677" s="329"/>
      <c r="E677" s="508" t="s">
        <v>506</v>
      </c>
      <c r="F677" s="508" t="s">
        <v>49</v>
      </c>
      <c r="G677" s="822">
        <v>1.7243094E7</v>
      </c>
      <c r="H677" s="508" t="s">
        <v>200</v>
      </c>
      <c r="I677" s="509" t="s">
        <v>3410</v>
      </c>
      <c r="J677" s="801" t="s">
        <v>3411</v>
      </c>
      <c r="K677" s="826" t="s">
        <v>811</v>
      </c>
      <c r="L677" s="843" t="s">
        <v>812</v>
      </c>
      <c r="M677" s="843" t="s">
        <v>610</v>
      </c>
      <c r="N677" s="658"/>
      <c r="O677" s="827" t="s">
        <v>62</v>
      </c>
      <c r="P677" s="828">
        <v>46051.0</v>
      </c>
      <c r="Q677" s="658"/>
      <c r="R677" s="659"/>
      <c r="S677" s="658"/>
      <c r="T677" s="659"/>
      <c r="U677" s="827" t="s">
        <v>62</v>
      </c>
      <c r="V677" s="828">
        <v>46052.0</v>
      </c>
      <c r="W677" s="658"/>
      <c r="X677" s="659"/>
      <c r="Y677" s="658"/>
      <c r="Z677" s="659"/>
      <c r="AA677" s="658"/>
      <c r="AB677" s="658"/>
    </row>
    <row r="678">
      <c r="A678" s="506">
        <v>1950.0</v>
      </c>
      <c r="B678" s="507">
        <v>46003.0</v>
      </c>
      <c r="C678" s="508" t="s">
        <v>3412</v>
      </c>
      <c r="D678" s="329"/>
      <c r="E678" s="508" t="s">
        <v>3413</v>
      </c>
      <c r="F678" s="508" t="s">
        <v>702</v>
      </c>
      <c r="G678" s="822">
        <v>1.3600475E7</v>
      </c>
      <c r="H678" s="508" t="s">
        <v>200</v>
      </c>
      <c r="I678" s="509" t="s">
        <v>1428</v>
      </c>
      <c r="J678" s="801" t="s">
        <v>3414</v>
      </c>
      <c r="K678" s="511" t="s">
        <v>3415</v>
      </c>
      <c r="L678" s="513"/>
      <c r="M678" s="513"/>
      <c r="N678" s="513"/>
      <c r="O678" s="514"/>
      <c r="P678" s="515"/>
      <c r="Q678" s="513"/>
      <c r="R678" s="515"/>
      <c r="S678" s="513"/>
      <c r="T678" s="515"/>
      <c r="U678" s="516" t="s">
        <v>62</v>
      </c>
      <c r="V678" s="517">
        <v>46038.0</v>
      </c>
      <c r="W678" s="513"/>
      <c r="X678" s="515"/>
      <c r="Y678" s="513"/>
      <c r="Z678" s="515"/>
      <c r="AA678" s="513"/>
      <c r="AB678" s="513"/>
    </row>
    <row r="679">
      <c r="A679" s="825">
        <v>1954.0</v>
      </c>
      <c r="B679" s="840">
        <v>46003.0</v>
      </c>
      <c r="C679" s="508" t="s">
        <v>3416</v>
      </c>
      <c r="D679" s="329"/>
      <c r="E679" s="508" t="s">
        <v>923</v>
      </c>
      <c r="F679" s="508" t="s">
        <v>924</v>
      </c>
      <c r="G679" s="822">
        <v>1.9440119E7</v>
      </c>
      <c r="H679" s="508" t="s">
        <v>200</v>
      </c>
      <c r="I679" s="509" t="s">
        <v>3417</v>
      </c>
      <c r="J679" s="801" t="s">
        <v>3418</v>
      </c>
      <c r="K679" s="826" t="s">
        <v>927</v>
      </c>
      <c r="L679" s="843" t="s">
        <v>3394</v>
      </c>
      <c r="M679" s="843" t="s">
        <v>3419</v>
      </c>
      <c r="N679" s="658"/>
      <c r="O679" s="656"/>
      <c r="P679" s="659"/>
      <c r="Q679" s="845" t="s">
        <v>62</v>
      </c>
      <c r="R679" s="828">
        <v>46003.0</v>
      </c>
      <c r="S679" s="658"/>
      <c r="T679" s="659"/>
      <c r="U679" s="827" t="s">
        <v>62</v>
      </c>
      <c r="V679" s="828">
        <v>46055.0</v>
      </c>
      <c r="W679" s="658"/>
      <c r="X679" s="659"/>
      <c r="Y679" s="658"/>
      <c r="Z679" s="659"/>
      <c r="AA679" s="658"/>
      <c r="AB679" s="658"/>
    </row>
    <row r="680">
      <c r="A680" s="506">
        <v>1960.0</v>
      </c>
      <c r="B680" s="840">
        <v>46010.0</v>
      </c>
      <c r="C680" s="508" t="s">
        <v>3420</v>
      </c>
      <c r="D680" s="329"/>
      <c r="E680" s="508" t="s">
        <v>1059</v>
      </c>
      <c r="F680" s="508" t="s">
        <v>1060</v>
      </c>
      <c r="G680" s="822">
        <v>1.9070694E7</v>
      </c>
      <c r="H680" s="508" t="s">
        <v>135</v>
      </c>
      <c r="I680" s="509" t="s">
        <v>1061</v>
      </c>
      <c r="J680" s="801" t="s">
        <v>3421</v>
      </c>
      <c r="K680" s="511" t="s">
        <v>1063</v>
      </c>
      <c r="L680" s="512" t="s">
        <v>1064</v>
      </c>
      <c r="M680" s="512" t="s">
        <v>1065</v>
      </c>
      <c r="N680" s="513"/>
      <c r="O680" s="516" t="s">
        <v>62</v>
      </c>
      <c r="P680" s="517">
        <v>46015.0</v>
      </c>
      <c r="Q680" s="513"/>
      <c r="R680" s="515"/>
      <c r="S680" s="513"/>
      <c r="T680" s="515"/>
      <c r="U680" s="516" t="s">
        <v>62</v>
      </c>
      <c r="V680" s="517">
        <v>46052.0</v>
      </c>
      <c r="W680" s="513"/>
      <c r="X680" s="515"/>
      <c r="Y680" s="513"/>
      <c r="Z680" s="515"/>
      <c r="AA680" s="513"/>
      <c r="AB680" s="513"/>
    </row>
    <row r="681">
      <c r="A681" s="825">
        <v>1974.0</v>
      </c>
      <c r="B681" s="840">
        <v>46038.0</v>
      </c>
      <c r="C681" s="508" t="s">
        <v>808</v>
      </c>
      <c r="D681" s="329"/>
      <c r="E681" s="508" t="s">
        <v>506</v>
      </c>
      <c r="F681" s="508" t="s">
        <v>49</v>
      </c>
      <c r="G681" s="822">
        <v>1.7243102E7</v>
      </c>
      <c r="H681" s="508" t="s">
        <v>200</v>
      </c>
      <c r="I681" s="509" t="s">
        <v>3422</v>
      </c>
      <c r="J681" s="801" t="s">
        <v>3423</v>
      </c>
      <c r="K681" s="826" t="s">
        <v>811</v>
      </c>
      <c r="L681" s="843" t="s">
        <v>965</v>
      </c>
      <c r="M681" s="843" t="s">
        <v>1234</v>
      </c>
      <c r="N681" s="658"/>
      <c r="O681" s="827" t="s">
        <v>62</v>
      </c>
      <c r="P681" s="828">
        <v>46059.0</v>
      </c>
      <c r="Q681" s="658"/>
      <c r="R681" s="659"/>
      <c r="S681" s="658"/>
      <c r="T681" s="659"/>
      <c r="U681" s="827" t="s">
        <v>62</v>
      </c>
      <c r="V681" s="828">
        <v>46063.0</v>
      </c>
      <c r="W681" s="658"/>
      <c r="X681" s="659"/>
      <c r="Y681" s="658"/>
      <c r="Z681" s="659"/>
      <c r="AA681" s="658"/>
      <c r="AB681" s="658"/>
    </row>
    <row r="682">
      <c r="A682" s="506">
        <v>1975.0</v>
      </c>
      <c r="B682" s="840">
        <v>46038.0</v>
      </c>
      <c r="C682" s="508" t="s">
        <v>808</v>
      </c>
      <c r="D682" s="329"/>
      <c r="E682" s="508" t="s">
        <v>506</v>
      </c>
      <c r="F682" s="508" t="s">
        <v>49</v>
      </c>
      <c r="G682" s="822">
        <v>1.7243106E7</v>
      </c>
      <c r="H682" s="508" t="s">
        <v>200</v>
      </c>
      <c r="I682" s="509" t="s">
        <v>3424</v>
      </c>
      <c r="J682" s="847" t="s">
        <v>3425</v>
      </c>
      <c r="K682" s="511" t="s">
        <v>811</v>
      </c>
      <c r="L682" s="512" t="s">
        <v>812</v>
      </c>
      <c r="M682" s="512" t="s">
        <v>610</v>
      </c>
      <c r="N682" s="513"/>
      <c r="O682" s="516" t="s">
        <v>62</v>
      </c>
      <c r="P682" s="517">
        <v>46059.0</v>
      </c>
      <c r="Q682" s="513"/>
      <c r="R682" s="515"/>
      <c r="S682" s="513"/>
      <c r="T682" s="515"/>
      <c r="U682" s="516" t="s">
        <v>62</v>
      </c>
      <c r="V682" s="517">
        <v>46063.0</v>
      </c>
      <c r="W682" s="513"/>
      <c r="X682" s="515"/>
      <c r="Y682" s="513"/>
      <c r="Z682" s="515"/>
      <c r="AA682" s="513"/>
      <c r="AB682" s="513"/>
    </row>
    <row r="683">
      <c r="A683" s="825">
        <v>1980.0</v>
      </c>
      <c r="B683" s="840">
        <v>46041.0</v>
      </c>
      <c r="C683" s="508" t="s">
        <v>877</v>
      </c>
      <c r="D683" s="329"/>
      <c r="E683" s="508" t="s">
        <v>878</v>
      </c>
      <c r="F683" s="508" t="s">
        <v>49</v>
      </c>
      <c r="G683" s="508">
        <v>1.5441014E7</v>
      </c>
      <c r="H683" s="508" t="s">
        <v>32</v>
      </c>
      <c r="I683" s="509" t="s">
        <v>3426</v>
      </c>
      <c r="J683" s="801" t="s">
        <v>3427</v>
      </c>
      <c r="K683" s="826" t="s">
        <v>881</v>
      </c>
      <c r="L683" s="843" t="s">
        <v>882</v>
      </c>
      <c r="M683" s="844" t="s">
        <v>883</v>
      </c>
      <c r="N683" s="658"/>
      <c r="O683" s="656"/>
      <c r="P683" s="659"/>
      <c r="Q683" s="658"/>
      <c r="R683" s="659"/>
      <c r="S683" s="658"/>
      <c r="T683" s="659"/>
      <c r="U683" s="827" t="s">
        <v>62</v>
      </c>
      <c r="V683" s="828">
        <v>46058.0</v>
      </c>
      <c r="W683" s="658"/>
      <c r="X683" s="659"/>
      <c r="Y683" s="658"/>
      <c r="Z683" s="659"/>
      <c r="AA683" s="658"/>
      <c r="AB683" s="658"/>
    </row>
    <row r="684">
      <c r="A684" s="506">
        <v>1982.0</v>
      </c>
      <c r="B684" s="840">
        <v>46041.0</v>
      </c>
      <c r="C684" s="508" t="s">
        <v>877</v>
      </c>
      <c r="D684" s="329"/>
      <c r="E684" s="508" t="s">
        <v>878</v>
      </c>
      <c r="F684" s="508" t="s">
        <v>49</v>
      </c>
      <c r="G684" s="508">
        <v>1.5441018E7</v>
      </c>
      <c r="H684" s="508" t="s">
        <v>32</v>
      </c>
      <c r="I684" s="509" t="s">
        <v>879</v>
      </c>
      <c r="J684" s="801" t="s">
        <v>3428</v>
      </c>
      <c r="K684" s="511" t="s">
        <v>881</v>
      </c>
      <c r="L684" s="512" t="s">
        <v>882</v>
      </c>
      <c r="M684" s="841" t="s">
        <v>883</v>
      </c>
      <c r="N684" s="513"/>
      <c r="O684" s="516" t="s">
        <v>62</v>
      </c>
      <c r="P684" s="517">
        <v>46048.0</v>
      </c>
      <c r="Q684" s="513"/>
      <c r="R684" s="515"/>
      <c r="S684" s="513"/>
      <c r="T684" s="515"/>
      <c r="U684" s="516" t="s">
        <v>62</v>
      </c>
      <c r="V684" s="517">
        <v>46058.0</v>
      </c>
      <c r="W684" s="513"/>
      <c r="X684" s="515"/>
      <c r="Y684" s="513"/>
      <c r="Z684" s="515"/>
      <c r="AA684" s="513"/>
      <c r="AB684" s="513"/>
    </row>
    <row r="685">
      <c r="A685" s="825">
        <v>1983.0</v>
      </c>
      <c r="B685" s="840">
        <v>46041.0</v>
      </c>
      <c r="C685" s="508" t="s">
        <v>884</v>
      </c>
      <c r="D685" s="329"/>
      <c r="E685" s="508" t="s">
        <v>885</v>
      </c>
      <c r="F685" s="508" t="s">
        <v>49</v>
      </c>
      <c r="G685" s="508">
        <v>1.5122616E7</v>
      </c>
      <c r="H685" s="508" t="s">
        <v>32</v>
      </c>
      <c r="I685" s="509" t="s">
        <v>3429</v>
      </c>
      <c r="J685" s="801" t="s">
        <v>3430</v>
      </c>
      <c r="K685" s="826" t="s">
        <v>1244</v>
      </c>
      <c r="L685" s="843" t="s">
        <v>3431</v>
      </c>
      <c r="M685" s="844" t="s">
        <v>1234</v>
      </c>
      <c r="N685" s="658"/>
      <c r="O685" s="827" t="s">
        <v>62</v>
      </c>
      <c r="P685" s="828">
        <v>46044.0</v>
      </c>
      <c r="Q685" s="658"/>
      <c r="R685" s="659"/>
      <c r="S685" s="658"/>
      <c r="T685" s="659"/>
      <c r="U685" s="827" t="s">
        <v>62</v>
      </c>
      <c r="V685" s="828">
        <v>46044.0</v>
      </c>
      <c r="W685" s="658"/>
      <c r="X685" s="659"/>
      <c r="Y685" s="658"/>
      <c r="Z685" s="659"/>
      <c r="AA685" s="658"/>
      <c r="AB685" s="658"/>
    </row>
    <row r="686">
      <c r="A686" s="506">
        <v>1984.0</v>
      </c>
      <c r="B686" s="840">
        <v>46041.0</v>
      </c>
      <c r="C686" s="508" t="s">
        <v>884</v>
      </c>
      <c r="D686" s="329"/>
      <c r="E686" s="508" t="s">
        <v>885</v>
      </c>
      <c r="F686" s="508" t="s">
        <v>49</v>
      </c>
      <c r="G686" s="508">
        <v>1.5122617E7</v>
      </c>
      <c r="H686" s="508" t="s">
        <v>32</v>
      </c>
      <c r="I686" s="509" t="s">
        <v>3432</v>
      </c>
      <c r="J686" s="801" t="s">
        <v>3430</v>
      </c>
      <c r="K686" s="511" t="s">
        <v>1244</v>
      </c>
      <c r="L686" s="512" t="s">
        <v>3433</v>
      </c>
      <c r="M686" s="841" t="s">
        <v>1234</v>
      </c>
      <c r="N686" s="513"/>
      <c r="O686" s="516" t="s">
        <v>62</v>
      </c>
      <c r="P686" s="517">
        <v>46044.0</v>
      </c>
      <c r="Q686" s="513"/>
      <c r="R686" s="515"/>
      <c r="S686" s="513"/>
      <c r="T686" s="515"/>
      <c r="U686" s="516" t="s">
        <v>62</v>
      </c>
      <c r="V686" s="517">
        <v>46044.0</v>
      </c>
      <c r="W686" s="513"/>
      <c r="X686" s="515"/>
      <c r="Y686" s="513"/>
      <c r="Z686" s="515"/>
      <c r="AA686" s="513"/>
      <c r="AB686" s="513"/>
    </row>
    <row r="687">
      <c r="A687" s="825">
        <v>1985.0</v>
      </c>
      <c r="B687" s="840">
        <v>46041.0</v>
      </c>
      <c r="C687" s="508" t="s">
        <v>884</v>
      </c>
      <c r="D687" s="329"/>
      <c r="E687" s="508" t="s">
        <v>885</v>
      </c>
      <c r="F687" s="508" t="s">
        <v>49</v>
      </c>
      <c r="G687" s="508">
        <v>1.5781716E7</v>
      </c>
      <c r="H687" s="508" t="s">
        <v>32</v>
      </c>
      <c r="I687" s="509" t="s">
        <v>3432</v>
      </c>
      <c r="J687" s="801" t="s">
        <v>3430</v>
      </c>
      <c r="K687" s="826" t="s">
        <v>1244</v>
      </c>
      <c r="L687" s="843" t="s">
        <v>3433</v>
      </c>
      <c r="M687" s="844" t="s">
        <v>1234</v>
      </c>
      <c r="N687" s="658"/>
      <c r="O687" s="827" t="s">
        <v>62</v>
      </c>
      <c r="P687" s="828">
        <v>46044.0</v>
      </c>
      <c r="Q687" s="658"/>
      <c r="R687" s="659"/>
      <c r="S687" s="658"/>
      <c r="T687" s="659"/>
      <c r="U687" s="827" t="s">
        <v>62</v>
      </c>
      <c r="V687" s="828">
        <v>46044.0</v>
      </c>
      <c r="W687" s="658"/>
      <c r="X687" s="659"/>
      <c r="Y687" s="658"/>
      <c r="Z687" s="659"/>
      <c r="AA687" s="658"/>
      <c r="AB687" s="658"/>
    </row>
    <row r="688">
      <c r="A688" s="506">
        <v>1986.0</v>
      </c>
      <c r="B688" s="840">
        <v>46042.0</v>
      </c>
      <c r="C688" s="508" t="s">
        <v>884</v>
      </c>
      <c r="D688" s="329"/>
      <c r="E688" s="508" t="s">
        <v>885</v>
      </c>
      <c r="F688" s="508" t="s">
        <v>49</v>
      </c>
      <c r="G688" s="329"/>
      <c r="H688" s="508" t="s">
        <v>32</v>
      </c>
      <c r="I688" s="509" t="s">
        <v>3434</v>
      </c>
      <c r="J688" s="801" t="s">
        <v>3435</v>
      </c>
      <c r="K688" s="511" t="s">
        <v>1244</v>
      </c>
      <c r="L688" s="512" t="s">
        <v>1276</v>
      </c>
      <c r="M688" s="841" t="s">
        <v>1234</v>
      </c>
      <c r="N688" s="513"/>
      <c r="O688" s="516" t="s">
        <v>62</v>
      </c>
      <c r="P688" s="517">
        <v>46044.0</v>
      </c>
      <c r="Q688" s="513"/>
      <c r="R688" s="515"/>
      <c r="S688" s="513"/>
      <c r="T688" s="515"/>
      <c r="U688" s="516" t="s">
        <v>62</v>
      </c>
      <c r="V688" s="517">
        <v>46044.0</v>
      </c>
      <c r="W688" s="513"/>
      <c r="X688" s="515"/>
      <c r="Y688" s="513"/>
      <c r="Z688" s="515"/>
      <c r="AA688" s="513"/>
      <c r="AB688" s="513"/>
    </row>
    <row r="689">
      <c r="A689" s="825">
        <v>1987.0</v>
      </c>
      <c r="B689" s="840">
        <v>46042.0</v>
      </c>
      <c r="C689" s="508" t="s">
        <v>1143</v>
      </c>
      <c r="D689" s="329"/>
      <c r="E689" s="508" t="s">
        <v>48</v>
      </c>
      <c r="F689" s="508" t="s">
        <v>49</v>
      </c>
      <c r="G689" s="508">
        <v>1.469221E7</v>
      </c>
      <c r="H689" s="508" t="s">
        <v>51</v>
      </c>
      <c r="I689" s="509" t="s">
        <v>3436</v>
      </c>
      <c r="J689" s="801" t="s">
        <v>3437</v>
      </c>
      <c r="K689" s="826" t="s">
        <v>54</v>
      </c>
      <c r="L689" s="843" t="s">
        <v>1374</v>
      </c>
      <c r="M689" s="844" t="s">
        <v>610</v>
      </c>
      <c r="N689" s="658"/>
      <c r="O689" s="827" t="s">
        <v>62</v>
      </c>
      <c r="P689" s="828">
        <v>46042.0</v>
      </c>
      <c r="Q689" s="658"/>
      <c r="R689" s="659"/>
      <c r="S689" s="658"/>
      <c r="T689" s="659"/>
      <c r="U689" s="827" t="s">
        <v>62</v>
      </c>
      <c r="V689" s="828">
        <v>46043.0</v>
      </c>
      <c r="W689" s="658"/>
      <c r="X689" s="659"/>
      <c r="Y689" s="658"/>
      <c r="Z689" s="659"/>
      <c r="AA689" s="658"/>
      <c r="AB689" s="658"/>
    </row>
    <row r="690">
      <c r="A690" s="506">
        <v>1991.0</v>
      </c>
      <c r="B690" s="840">
        <v>46043.0</v>
      </c>
      <c r="C690" s="508" t="s">
        <v>884</v>
      </c>
      <c r="D690" s="329"/>
      <c r="E690" s="508" t="s">
        <v>885</v>
      </c>
      <c r="F690" s="508" t="s">
        <v>49</v>
      </c>
      <c r="G690" s="508">
        <v>1.5122624E7</v>
      </c>
      <c r="H690" s="508" t="s">
        <v>32</v>
      </c>
      <c r="I690" s="509" t="s">
        <v>3438</v>
      </c>
      <c r="J690" s="801" t="s">
        <v>3439</v>
      </c>
      <c r="K690" s="511" t="s">
        <v>1244</v>
      </c>
      <c r="L690" s="848" t="s">
        <v>3440</v>
      </c>
      <c r="M690" s="848" t="s">
        <v>1234</v>
      </c>
      <c r="N690" s="513"/>
      <c r="O690" s="516" t="s">
        <v>62</v>
      </c>
      <c r="P690" s="517">
        <v>46044.0</v>
      </c>
      <c r="Q690" s="513"/>
      <c r="R690" s="515"/>
      <c r="S690" s="513"/>
      <c r="T690" s="515"/>
      <c r="U690" s="516" t="s">
        <v>62</v>
      </c>
      <c r="V690" s="517">
        <v>46044.0</v>
      </c>
      <c r="W690" s="513"/>
      <c r="X690" s="515"/>
      <c r="Y690" s="513"/>
      <c r="Z690" s="515"/>
      <c r="AA690" s="513"/>
      <c r="AB690" s="513"/>
    </row>
    <row r="691">
      <c r="A691" s="506">
        <v>1849.0</v>
      </c>
      <c r="B691" s="507">
        <v>45966.0</v>
      </c>
      <c r="C691" s="508" t="s">
        <v>605</v>
      </c>
      <c r="D691" s="329"/>
      <c r="E691" s="508" t="s">
        <v>89</v>
      </c>
      <c r="F691" s="508" t="s">
        <v>41</v>
      </c>
      <c r="G691" s="822">
        <v>1.5831384E7</v>
      </c>
      <c r="H691" s="508" t="s">
        <v>51</v>
      </c>
      <c r="I691" s="509" t="s">
        <v>3441</v>
      </c>
      <c r="J691" s="849" t="s">
        <v>3442</v>
      </c>
      <c r="K691" s="511" t="s">
        <v>608</v>
      </c>
      <c r="L691" s="533" t="s">
        <v>3443</v>
      </c>
      <c r="M691" s="512" t="s">
        <v>610</v>
      </c>
      <c r="N691" s="513"/>
      <c r="O691" s="514"/>
      <c r="P691" s="515"/>
      <c r="Q691" s="824" t="s">
        <v>62</v>
      </c>
      <c r="R691" s="517">
        <v>46036.0</v>
      </c>
      <c r="S691" s="513"/>
      <c r="T691" s="515"/>
      <c r="U691" s="516" t="s">
        <v>62</v>
      </c>
      <c r="V691" s="517">
        <v>46070.0</v>
      </c>
      <c r="W691" s="513"/>
      <c r="X691" s="515"/>
      <c r="Y691" s="513"/>
      <c r="Z691" s="515"/>
      <c r="AA691" s="513"/>
      <c r="AB691" s="513"/>
    </row>
    <row r="692">
      <c r="A692" s="825">
        <v>1850.0</v>
      </c>
      <c r="B692" s="507">
        <v>45966.0</v>
      </c>
      <c r="C692" s="508" t="s">
        <v>605</v>
      </c>
      <c r="D692" s="329"/>
      <c r="E692" s="508" t="s">
        <v>89</v>
      </c>
      <c r="F692" s="508" t="s">
        <v>41</v>
      </c>
      <c r="G692" s="822">
        <v>1.5831385E7</v>
      </c>
      <c r="H692" s="508" t="s">
        <v>51</v>
      </c>
      <c r="I692" s="509" t="s">
        <v>3444</v>
      </c>
      <c r="J692" s="850" t="s">
        <v>3445</v>
      </c>
      <c r="K692" s="826" t="s">
        <v>608</v>
      </c>
      <c r="L692" s="846" t="s">
        <v>3446</v>
      </c>
      <c r="M692" s="843" t="s">
        <v>610</v>
      </c>
      <c r="N692" s="658"/>
      <c r="O692" s="656"/>
      <c r="P692" s="659"/>
      <c r="Q692" s="845" t="s">
        <v>62</v>
      </c>
      <c r="R692" s="828">
        <v>46036.0</v>
      </c>
      <c r="S692" s="658"/>
      <c r="T692" s="659"/>
      <c r="U692" s="827" t="s">
        <v>62</v>
      </c>
      <c r="V692" s="828">
        <v>46070.0</v>
      </c>
      <c r="W692" s="658"/>
      <c r="X692" s="659"/>
      <c r="Y692" s="658"/>
      <c r="Z692" s="659"/>
      <c r="AA692" s="658"/>
      <c r="AB692" s="658"/>
    </row>
    <row r="693">
      <c r="A693" s="506">
        <v>1851.0</v>
      </c>
      <c r="B693" s="507">
        <v>45966.0</v>
      </c>
      <c r="C693" s="508" t="s">
        <v>605</v>
      </c>
      <c r="D693" s="329"/>
      <c r="E693" s="508" t="s">
        <v>89</v>
      </c>
      <c r="F693" s="508" t="s">
        <v>41</v>
      </c>
      <c r="G693" s="822">
        <v>1.5831386E7</v>
      </c>
      <c r="H693" s="508" t="s">
        <v>51</v>
      </c>
      <c r="I693" s="509" t="s">
        <v>3447</v>
      </c>
      <c r="J693" s="849" t="s">
        <v>3448</v>
      </c>
      <c r="K693" s="511" t="s">
        <v>608</v>
      </c>
      <c r="L693" s="533" t="s">
        <v>3449</v>
      </c>
      <c r="M693" s="512" t="s">
        <v>610</v>
      </c>
      <c r="N693" s="513"/>
      <c r="O693" s="514"/>
      <c r="P693" s="515"/>
      <c r="Q693" s="824" t="s">
        <v>62</v>
      </c>
      <c r="R693" s="517">
        <v>46036.0</v>
      </c>
      <c r="S693" s="513"/>
      <c r="T693" s="515"/>
      <c r="U693" s="516" t="s">
        <v>62</v>
      </c>
      <c r="V693" s="517">
        <v>46070.0</v>
      </c>
      <c r="W693" s="513"/>
      <c r="X693" s="515"/>
      <c r="Y693" s="513"/>
      <c r="Z693" s="515"/>
      <c r="AA693" s="513"/>
      <c r="AB693" s="513"/>
    </row>
    <row r="694">
      <c r="A694" s="825">
        <v>1852.0</v>
      </c>
      <c r="B694" s="507">
        <v>45966.0</v>
      </c>
      <c r="C694" s="508" t="s">
        <v>605</v>
      </c>
      <c r="D694" s="329"/>
      <c r="E694" s="508" t="s">
        <v>89</v>
      </c>
      <c r="F694" s="508" t="s">
        <v>41</v>
      </c>
      <c r="G694" s="822">
        <v>1.5831387E7</v>
      </c>
      <c r="H694" s="508" t="s">
        <v>51</v>
      </c>
      <c r="I694" s="509" t="s">
        <v>3450</v>
      </c>
      <c r="J694" s="850" t="s">
        <v>3451</v>
      </c>
      <c r="K694" s="826" t="s">
        <v>608</v>
      </c>
      <c r="L694" s="846" t="s">
        <v>3452</v>
      </c>
      <c r="M694" s="843" t="s">
        <v>610</v>
      </c>
      <c r="N694" s="658"/>
      <c r="O694" s="656"/>
      <c r="P694" s="659"/>
      <c r="Q694" s="845" t="s">
        <v>62</v>
      </c>
      <c r="R694" s="828">
        <v>46036.0</v>
      </c>
      <c r="S694" s="658"/>
      <c r="T694" s="659"/>
      <c r="U694" s="827" t="s">
        <v>62</v>
      </c>
      <c r="V694" s="828">
        <v>46070.0</v>
      </c>
      <c r="W694" s="658"/>
      <c r="X694" s="659"/>
      <c r="Y694" s="658"/>
      <c r="Z694" s="659"/>
      <c r="AA694" s="658"/>
      <c r="AB694" s="658"/>
    </row>
    <row r="695">
      <c r="A695" s="506">
        <v>1897.0</v>
      </c>
      <c r="B695" s="507">
        <v>45972.0</v>
      </c>
      <c r="C695" s="508" t="s">
        <v>1448</v>
      </c>
      <c r="D695" s="329"/>
      <c r="E695" s="508" t="s">
        <v>1059</v>
      </c>
      <c r="F695" s="508" t="s">
        <v>1060</v>
      </c>
      <c r="G695" s="822">
        <v>1.907067E7</v>
      </c>
      <c r="H695" s="508" t="s">
        <v>135</v>
      </c>
      <c r="I695" s="509" t="s">
        <v>3453</v>
      </c>
      <c r="J695" s="801" t="s">
        <v>3454</v>
      </c>
      <c r="K695" s="511" t="s">
        <v>1063</v>
      </c>
      <c r="L695" s="512" t="s">
        <v>3455</v>
      </c>
      <c r="M695" s="512" t="s">
        <v>3456</v>
      </c>
      <c r="N695" s="513"/>
      <c r="O695" s="514"/>
      <c r="P695" s="515"/>
      <c r="Q695" s="513"/>
      <c r="R695" s="515"/>
      <c r="S695" s="513"/>
      <c r="T695" s="515"/>
      <c r="U695" s="516" t="s">
        <v>62</v>
      </c>
      <c r="V695" s="517">
        <v>46080.0</v>
      </c>
      <c r="W695" s="513"/>
      <c r="X695" s="515"/>
      <c r="Y695" s="513"/>
      <c r="Z695" s="515"/>
      <c r="AA695" s="513"/>
      <c r="AB695" s="513"/>
    </row>
    <row r="696">
      <c r="A696" s="825">
        <v>1914.0</v>
      </c>
      <c r="B696" s="507">
        <v>45992.0</v>
      </c>
      <c r="C696" s="508" t="s">
        <v>808</v>
      </c>
      <c r="D696" s="329"/>
      <c r="E696" s="508" t="s">
        <v>506</v>
      </c>
      <c r="F696" s="508" t="s">
        <v>3457</v>
      </c>
      <c r="G696" s="508" t="s">
        <v>3458</v>
      </c>
      <c r="H696" s="508" t="s">
        <v>200</v>
      </c>
      <c r="I696" s="509" t="s">
        <v>3459</v>
      </c>
      <c r="J696" s="801" t="s">
        <v>3460</v>
      </c>
      <c r="K696" s="826" t="s">
        <v>3461</v>
      </c>
      <c r="L696" s="851" t="s">
        <v>3462</v>
      </c>
      <c r="M696" s="852" t="s">
        <v>3463</v>
      </c>
      <c r="N696" s="658"/>
      <c r="O696" s="656"/>
      <c r="P696" s="659"/>
      <c r="Q696" s="845" t="s">
        <v>62</v>
      </c>
      <c r="R696" s="828">
        <v>46042.0</v>
      </c>
      <c r="S696" s="658"/>
      <c r="T696" s="659"/>
      <c r="U696" s="827" t="s">
        <v>62</v>
      </c>
      <c r="V696" s="828">
        <v>46065.0</v>
      </c>
      <c r="W696" s="658"/>
      <c r="X696" s="659"/>
      <c r="Y696" s="658"/>
      <c r="Z696" s="659"/>
      <c r="AA696" s="658"/>
      <c r="AB696" s="658"/>
    </row>
    <row r="697">
      <c r="A697" s="506">
        <v>1917.0</v>
      </c>
      <c r="B697" s="507">
        <v>45253.0</v>
      </c>
      <c r="C697" s="508" t="s">
        <v>780</v>
      </c>
      <c r="D697" s="329"/>
      <c r="E697" s="508" t="s">
        <v>588</v>
      </c>
      <c r="F697" s="508" t="s">
        <v>589</v>
      </c>
      <c r="G697" s="822">
        <v>1.9500026E7</v>
      </c>
      <c r="H697" s="508" t="s">
        <v>51</v>
      </c>
      <c r="I697" s="509" t="s">
        <v>3464</v>
      </c>
      <c r="J697" s="849" t="s">
        <v>3465</v>
      </c>
      <c r="K697" s="511" t="s">
        <v>777</v>
      </c>
      <c r="L697" s="513"/>
      <c r="M697" s="664"/>
      <c r="N697" s="513"/>
      <c r="O697" s="514"/>
      <c r="P697" s="515"/>
      <c r="Q697" s="513"/>
      <c r="R697" s="515"/>
      <c r="S697" s="513"/>
      <c r="T697" s="515"/>
      <c r="U697" s="516" t="s">
        <v>62</v>
      </c>
      <c r="V697" s="517">
        <v>46071.0</v>
      </c>
      <c r="W697" s="513"/>
      <c r="X697" s="515"/>
      <c r="Y697" s="513"/>
      <c r="Z697" s="515"/>
      <c r="AA697" s="513"/>
      <c r="AB697" s="513"/>
    </row>
    <row r="698">
      <c r="A698" s="825">
        <v>1920.0</v>
      </c>
      <c r="B698" s="507">
        <v>45993.0</v>
      </c>
      <c r="C698" s="508" t="s">
        <v>1403</v>
      </c>
      <c r="D698" s="329"/>
      <c r="E698" s="508" t="s">
        <v>588</v>
      </c>
      <c r="F698" s="508" t="s">
        <v>589</v>
      </c>
      <c r="G698" s="822">
        <v>1.950012E7</v>
      </c>
      <c r="H698" s="508" t="s">
        <v>51</v>
      </c>
      <c r="I698" s="509" t="s">
        <v>3466</v>
      </c>
      <c r="J698" s="850" t="s">
        <v>3467</v>
      </c>
      <c r="K698" s="826" t="s">
        <v>777</v>
      </c>
      <c r="L698" s="658"/>
      <c r="M698" s="657"/>
      <c r="N698" s="658"/>
      <c r="O698" s="656"/>
      <c r="P698" s="659"/>
      <c r="Q698" s="658"/>
      <c r="R698" s="659"/>
      <c r="S698" s="658"/>
      <c r="T698" s="659"/>
      <c r="U698" s="827" t="s">
        <v>62</v>
      </c>
      <c r="V698" s="828">
        <v>46073.0</v>
      </c>
      <c r="W698" s="658"/>
      <c r="X698" s="659"/>
      <c r="Y698" s="658"/>
      <c r="Z698" s="659"/>
      <c r="AA698" s="658"/>
      <c r="AB698" s="658"/>
    </row>
    <row r="699">
      <c r="A699" s="506">
        <v>1949.0</v>
      </c>
      <c r="B699" s="507">
        <v>46003.0</v>
      </c>
      <c r="C699" s="508" t="s">
        <v>808</v>
      </c>
      <c r="D699" s="329"/>
      <c r="E699" s="508" t="s">
        <v>506</v>
      </c>
      <c r="F699" s="508" t="s">
        <v>49</v>
      </c>
      <c r="G699" s="822">
        <v>1.7243098E7</v>
      </c>
      <c r="H699" s="508" t="s">
        <v>200</v>
      </c>
      <c r="I699" s="509" t="s">
        <v>3410</v>
      </c>
      <c r="J699" s="847" t="s">
        <v>3468</v>
      </c>
      <c r="K699" s="511" t="s">
        <v>811</v>
      </c>
      <c r="L699" s="512" t="s">
        <v>3469</v>
      </c>
      <c r="M699" s="512" t="s">
        <v>1251</v>
      </c>
      <c r="N699" s="513"/>
      <c r="O699" s="516" t="s">
        <v>62</v>
      </c>
      <c r="P699" s="517">
        <v>46064.0</v>
      </c>
      <c r="Q699" s="513"/>
      <c r="R699" s="515"/>
      <c r="S699" s="513"/>
      <c r="T699" s="515"/>
      <c r="U699" s="516" t="s">
        <v>62</v>
      </c>
      <c r="V699" s="517">
        <v>46065.0</v>
      </c>
      <c r="W699" s="513"/>
      <c r="X699" s="515"/>
      <c r="Y699" s="513"/>
      <c r="Z699" s="515"/>
      <c r="AA699" s="513"/>
      <c r="AB699" s="513"/>
    </row>
    <row r="700">
      <c r="A700" s="825">
        <v>1951.0</v>
      </c>
      <c r="B700" s="507">
        <v>46003.0</v>
      </c>
      <c r="C700" s="508" t="s">
        <v>3412</v>
      </c>
      <c r="D700" s="329"/>
      <c r="E700" s="508" t="s">
        <v>3413</v>
      </c>
      <c r="F700" s="508" t="s">
        <v>702</v>
      </c>
      <c r="G700" s="508" t="s">
        <v>3470</v>
      </c>
      <c r="H700" s="508" t="s">
        <v>200</v>
      </c>
      <c r="I700" s="509" t="s">
        <v>3471</v>
      </c>
      <c r="J700" s="801" t="s">
        <v>3472</v>
      </c>
      <c r="K700" s="826" t="s">
        <v>3415</v>
      </c>
      <c r="L700" s="658"/>
      <c r="M700" s="658"/>
      <c r="N700" s="658"/>
      <c r="O700" s="656"/>
      <c r="P700" s="659"/>
      <c r="Q700" s="658"/>
      <c r="R700" s="659"/>
      <c r="S700" s="658"/>
      <c r="T700" s="659"/>
      <c r="U700" s="827" t="s">
        <v>62</v>
      </c>
      <c r="V700" s="828">
        <v>46043.0</v>
      </c>
      <c r="W700" s="658"/>
      <c r="X700" s="659"/>
      <c r="Y700" s="658"/>
      <c r="Z700" s="659"/>
      <c r="AA700" s="658"/>
      <c r="AB700" s="658"/>
    </row>
    <row r="701">
      <c r="A701" s="506">
        <v>1966.0</v>
      </c>
      <c r="B701" s="840">
        <v>46016.0</v>
      </c>
      <c r="C701" s="508" t="s">
        <v>3473</v>
      </c>
      <c r="D701" s="329"/>
      <c r="E701" s="508" t="s">
        <v>227</v>
      </c>
      <c r="F701" s="508" t="s">
        <v>228</v>
      </c>
      <c r="G701" s="822">
        <v>1.9620631E7</v>
      </c>
      <c r="H701" s="508" t="s">
        <v>135</v>
      </c>
      <c r="I701" s="509" t="s">
        <v>3474</v>
      </c>
      <c r="J701" s="801" t="s">
        <v>3475</v>
      </c>
      <c r="K701" s="511" t="s">
        <v>231</v>
      </c>
      <c r="L701" s="513"/>
      <c r="M701" s="513"/>
      <c r="N701" s="513"/>
      <c r="O701" s="514"/>
      <c r="P701" s="515"/>
      <c r="Q701" s="513"/>
      <c r="R701" s="515"/>
      <c r="S701" s="513"/>
      <c r="T701" s="515"/>
      <c r="U701" s="516" t="s">
        <v>62</v>
      </c>
      <c r="V701" s="517">
        <v>46071.0</v>
      </c>
      <c r="W701" s="513"/>
      <c r="X701" s="515"/>
      <c r="Y701" s="513"/>
      <c r="Z701" s="515"/>
      <c r="AA701" s="513"/>
      <c r="AB701" s="513"/>
    </row>
    <row r="702">
      <c r="A702" s="825">
        <v>1978.0</v>
      </c>
      <c r="B702" s="840">
        <v>46038.0</v>
      </c>
      <c r="C702" s="508" t="s">
        <v>3473</v>
      </c>
      <c r="D702" s="329"/>
      <c r="E702" s="508" t="s">
        <v>227</v>
      </c>
      <c r="F702" s="508" t="s">
        <v>228</v>
      </c>
      <c r="G702" s="822">
        <v>1.962063E7</v>
      </c>
      <c r="H702" s="508" t="s">
        <v>135</v>
      </c>
      <c r="I702" s="509" t="s">
        <v>1061</v>
      </c>
      <c r="J702" s="801" t="s">
        <v>3476</v>
      </c>
      <c r="K702" s="826" t="s">
        <v>231</v>
      </c>
      <c r="L702" s="843" t="s">
        <v>2073</v>
      </c>
      <c r="M702" s="844" t="s">
        <v>1065</v>
      </c>
      <c r="N702" s="658"/>
      <c r="O702" s="827" t="s">
        <v>62</v>
      </c>
      <c r="P702" s="828">
        <v>46038.0</v>
      </c>
      <c r="Q702" s="658"/>
      <c r="R702" s="659"/>
      <c r="S702" s="658"/>
      <c r="T702" s="659"/>
      <c r="U702" s="827" t="s">
        <v>62</v>
      </c>
      <c r="V702" s="828">
        <v>46072.0</v>
      </c>
      <c r="W702" s="658"/>
      <c r="X702" s="659"/>
      <c r="Y702" s="658"/>
      <c r="Z702" s="659"/>
      <c r="AA702" s="658"/>
      <c r="AB702" s="658"/>
    </row>
    <row r="703">
      <c r="A703" s="506">
        <v>2025.0</v>
      </c>
      <c r="B703" s="507">
        <v>46065.0</v>
      </c>
      <c r="C703" s="508" t="s">
        <v>808</v>
      </c>
      <c r="D703" s="329"/>
      <c r="E703" s="508" t="s">
        <v>506</v>
      </c>
      <c r="F703" s="508" t="s">
        <v>49</v>
      </c>
      <c r="G703" s="822">
        <v>1.7243113E7</v>
      </c>
      <c r="H703" s="508" t="s">
        <v>200</v>
      </c>
      <c r="I703" s="509" t="s">
        <v>3477</v>
      </c>
      <c r="J703" s="801" t="s">
        <v>3478</v>
      </c>
      <c r="K703" s="511" t="s">
        <v>811</v>
      </c>
      <c r="L703" s="853" t="s">
        <v>812</v>
      </c>
      <c r="M703" s="512" t="s">
        <v>610</v>
      </c>
      <c r="N703" s="513"/>
      <c r="O703" s="516" t="s">
        <v>62</v>
      </c>
      <c r="P703" s="517">
        <v>46065.0</v>
      </c>
      <c r="Q703" s="513"/>
      <c r="R703" s="515"/>
      <c r="S703" s="513"/>
      <c r="T703" s="515"/>
      <c r="U703" s="516" t="s">
        <v>62</v>
      </c>
      <c r="V703" s="517">
        <v>46065.0</v>
      </c>
      <c r="W703" s="513"/>
      <c r="X703" s="515"/>
      <c r="Y703" s="513"/>
      <c r="Z703" s="515"/>
      <c r="AA703" s="513"/>
      <c r="AB703" s="513"/>
    </row>
    <row r="704">
      <c r="A704" s="825">
        <v>2036.0</v>
      </c>
      <c r="B704" s="507">
        <v>46073.0</v>
      </c>
      <c r="C704" s="508" t="s">
        <v>808</v>
      </c>
      <c r="D704" s="329"/>
      <c r="E704" s="508" t="s">
        <v>506</v>
      </c>
      <c r="F704" s="854" t="s">
        <v>49</v>
      </c>
      <c r="G704" s="822">
        <v>1.7243121E7</v>
      </c>
      <c r="H704" s="508" t="s">
        <v>200</v>
      </c>
      <c r="I704" s="855" t="s">
        <v>3479</v>
      </c>
      <c r="J704" s="284" t="s">
        <v>3480</v>
      </c>
      <c r="K704" s="826" t="s">
        <v>811</v>
      </c>
      <c r="L704" s="856" t="s">
        <v>3469</v>
      </c>
      <c r="M704" s="843" t="s">
        <v>1251</v>
      </c>
      <c r="N704" s="658"/>
      <c r="O704" s="827" t="s">
        <v>62</v>
      </c>
      <c r="P704" s="828">
        <v>46072.0</v>
      </c>
      <c r="Q704" s="659"/>
      <c r="R704" s="659"/>
      <c r="S704" s="659"/>
      <c r="T704" s="659"/>
      <c r="U704" s="827" t="s">
        <v>62</v>
      </c>
      <c r="V704" s="828">
        <v>46073.0</v>
      </c>
      <c r="W704" s="659"/>
      <c r="X704" s="659"/>
      <c r="Y704" s="659"/>
      <c r="Z704" s="659"/>
      <c r="AA704" s="658"/>
      <c r="AB704" s="857"/>
    </row>
    <row r="705">
      <c r="A705" s="858">
        <v>1946.0</v>
      </c>
      <c r="B705" s="507">
        <v>45999.0</v>
      </c>
      <c r="C705" s="859" t="s">
        <v>808</v>
      </c>
      <c r="D705" s="860"/>
      <c r="E705" s="859" t="s">
        <v>506</v>
      </c>
      <c r="F705" s="859" t="s">
        <v>49</v>
      </c>
      <c r="G705" s="859" t="s">
        <v>3481</v>
      </c>
      <c r="H705" s="859" t="s">
        <v>200</v>
      </c>
      <c r="I705" s="509" t="s">
        <v>809</v>
      </c>
      <c r="J705" s="801" t="s">
        <v>3482</v>
      </c>
      <c r="K705" s="512" t="s">
        <v>811</v>
      </c>
      <c r="L705" s="512" t="s">
        <v>812</v>
      </c>
      <c r="M705" s="512" t="s">
        <v>610</v>
      </c>
      <c r="N705" s="513"/>
      <c r="O705" s="513"/>
      <c r="P705" s="515"/>
      <c r="Q705" s="824" t="s">
        <v>62</v>
      </c>
      <c r="R705" s="517">
        <v>46073.0</v>
      </c>
      <c r="S705" s="513"/>
      <c r="T705" s="515"/>
      <c r="U705" s="824" t="s">
        <v>62</v>
      </c>
      <c r="V705" s="517">
        <v>46086.0</v>
      </c>
      <c r="W705" s="513"/>
      <c r="X705" s="515"/>
      <c r="Y705" s="513"/>
      <c r="Z705" s="515"/>
      <c r="AA705" s="513"/>
      <c r="AB705" s="513"/>
    </row>
    <row r="706">
      <c r="A706" s="825">
        <v>1976.0</v>
      </c>
      <c r="B706" s="840">
        <v>46038.0</v>
      </c>
      <c r="C706" s="508" t="s">
        <v>808</v>
      </c>
      <c r="D706" s="329"/>
      <c r="E706" s="508" t="s">
        <v>506</v>
      </c>
      <c r="F706" s="508" t="s">
        <v>49</v>
      </c>
      <c r="G706" s="822">
        <v>1.7243108E7</v>
      </c>
      <c r="H706" s="508" t="s">
        <v>200</v>
      </c>
      <c r="I706" s="509" t="s">
        <v>3424</v>
      </c>
      <c r="J706" s="861" t="s">
        <v>3483</v>
      </c>
      <c r="K706" s="826" t="s">
        <v>811</v>
      </c>
      <c r="L706" s="843" t="s">
        <v>812</v>
      </c>
      <c r="M706" s="843" t="s">
        <v>610</v>
      </c>
      <c r="N706" s="658"/>
      <c r="O706" s="827" t="s">
        <v>62</v>
      </c>
      <c r="P706" s="828">
        <v>46059.0</v>
      </c>
      <c r="Q706" s="658"/>
      <c r="R706" s="659"/>
      <c r="S706" s="658"/>
      <c r="T706" s="659"/>
      <c r="U706" s="827" t="s">
        <v>62</v>
      </c>
      <c r="V706" s="828">
        <v>46086.0</v>
      </c>
      <c r="W706" s="658"/>
      <c r="X706" s="659"/>
      <c r="Y706" s="658"/>
      <c r="Z706" s="659"/>
      <c r="AA706" s="658"/>
      <c r="AB706" s="658"/>
    </row>
    <row r="707">
      <c r="A707" s="506">
        <v>1977.0</v>
      </c>
      <c r="B707" s="840">
        <v>46038.0</v>
      </c>
      <c r="C707" s="508" t="s">
        <v>808</v>
      </c>
      <c r="D707" s="329"/>
      <c r="E707" s="508" t="s">
        <v>506</v>
      </c>
      <c r="F707" s="508" t="s">
        <v>49</v>
      </c>
      <c r="G707" s="822">
        <v>1.724311E7</v>
      </c>
      <c r="H707" s="508" t="s">
        <v>200</v>
      </c>
      <c r="I707" s="509" t="s">
        <v>3484</v>
      </c>
      <c r="J707" s="861" t="s">
        <v>3483</v>
      </c>
      <c r="K707" s="511" t="s">
        <v>811</v>
      </c>
      <c r="L707" s="512" t="s">
        <v>812</v>
      </c>
      <c r="M707" s="512" t="s">
        <v>610</v>
      </c>
      <c r="N707" s="513"/>
      <c r="O707" s="516" t="s">
        <v>62</v>
      </c>
      <c r="P707" s="517">
        <v>46059.0</v>
      </c>
      <c r="Q707" s="513"/>
      <c r="R707" s="515"/>
      <c r="S707" s="513"/>
      <c r="T707" s="515"/>
      <c r="U707" s="516" t="s">
        <v>62</v>
      </c>
      <c r="V707" s="517">
        <v>46086.0</v>
      </c>
      <c r="W707" s="513"/>
      <c r="X707" s="515"/>
      <c r="Y707" s="513"/>
      <c r="Z707" s="515"/>
      <c r="AA707" s="513"/>
      <c r="AB707" s="513"/>
    </row>
    <row r="708">
      <c r="A708" s="825">
        <v>2018.0</v>
      </c>
      <c r="B708" s="507">
        <v>46058.0</v>
      </c>
      <c r="C708" s="508" t="s">
        <v>808</v>
      </c>
      <c r="D708" s="329"/>
      <c r="E708" s="508" t="s">
        <v>506</v>
      </c>
      <c r="F708" s="508" t="s">
        <v>49</v>
      </c>
      <c r="G708" s="822" t="s">
        <v>3485</v>
      </c>
      <c r="H708" s="508" t="s">
        <v>112</v>
      </c>
      <c r="I708" s="509" t="s">
        <v>3486</v>
      </c>
      <c r="J708" s="801" t="s">
        <v>3487</v>
      </c>
      <c r="K708" s="826" t="s">
        <v>811</v>
      </c>
      <c r="L708" s="856" t="s">
        <v>812</v>
      </c>
      <c r="M708" s="843" t="s">
        <v>610</v>
      </c>
      <c r="N708" s="658"/>
      <c r="O708" s="656"/>
      <c r="P708" s="659"/>
      <c r="Q708" s="845" t="s">
        <v>62</v>
      </c>
      <c r="R708" s="828">
        <v>46077.0</v>
      </c>
      <c r="S708" s="658"/>
      <c r="T708" s="659"/>
      <c r="U708" s="827" t="s">
        <v>62</v>
      </c>
      <c r="V708" s="828">
        <v>46084.0</v>
      </c>
      <c r="W708" s="658"/>
      <c r="X708" s="659"/>
      <c r="Y708" s="658"/>
      <c r="Z708" s="659"/>
      <c r="AA708" s="658"/>
      <c r="AB708" s="658"/>
    </row>
    <row r="709">
      <c r="A709" s="506">
        <v>2019.0</v>
      </c>
      <c r="B709" s="507">
        <v>46058.0</v>
      </c>
      <c r="C709" s="508" t="s">
        <v>808</v>
      </c>
      <c r="D709" s="329"/>
      <c r="E709" s="508" t="s">
        <v>506</v>
      </c>
      <c r="F709" s="508" t="s">
        <v>49</v>
      </c>
      <c r="G709" s="822" t="s">
        <v>3488</v>
      </c>
      <c r="H709" s="508" t="s">
        <v>112</v>
      </c>
      <c r="I709" s="509" t="s">
        <v>3486</v>
      </c>
      <c r="J709" s="801" t="s">
        <v>3489</v>
      </c>
      <c r="K709" s="511" t="s">
        <v>811</v>
      </c>
      <c r="L709" s="853" t="s">
        <v>812</v>
      </c>
      <c r="M709" s="512" t="s">
        <v>610</v>
      </c>
      <c r="N709" s="513"/>
      <c r="O709" s="514"/>
      <c r="P709" s="515"/>
      <c r="Q709" s="824" t="s">
        <v>62</v>
      </c>
      <c r="R709" s="517">
        <v>46073.0</v>
      </c>
      <c r="S709" s="513"/>
      <c r="T709" s="515"/>
      <c r="U709" s="516" t="s">
        <v>62</v>
      </c>
      <c r="V709" s="517">
        <v>46086.0</v>
      </c>
      <c r="W709" s="513"/>
      <c r="X709" s="515"/>
      <c r="Y709" s="513"/>
      <c r="Z709" s="515"/>
      <c r="AA709" s="513"/>
      <c r="AB709" s="513"/>
    </row>
    <row r="710">
      <c r="A710" s="825">
        <v>2020.0</v>
      </c>
      <c r="B710" s="507">
        <v>46058.0</v>
      </c>
      <c r="C710" s="508" t="s">
        <v>808</v>
      </c>
      <c r="D710" s="329"/>
      <c r="E710" s="508" t="s">
        <v>506</v>
      </c>
      <c r="F710" s="508" t="s">
        <v>49</v>
      </c>
      <c r="G710" s="822" t="s">
        <v>3490</v>
      </c>
      <c r="H710" s="508" t="s">
        <v>112</v>
      </c>
      <c r="I710" s="509" t="s">
        <v>3486</v>
      </c>
      <c r="J710" s="801" t="s">
        <v>3487</v>
      </c>
      <c r="K710" s="826" t="s">
        <v>811</v>
      </c>
      <c r="L710" s="856" t="s">
        <v>812</v>
      </c>
      <c r="M710" s="843" t="s">
        <v>610</v>
      </c>
      <c r="N710" s="658"/>
      <c r="O710" s="656"/>
      <c r="P710" s="659"/>
      <c r="Q710" s="845" t="s">
        <v>62</v>
      </c>
      <c r="R710" s="828">
        <v>46077.0</v>
      </c>
      <c r="S710" s="658"/>
      <c r="T710" s="659"/>
      <c r="U710" s="827" t="s">
        <v>62</v>
      </c>
      <c r="V710" s="828">
        <v>46084.0</v>
      </c>
      <c r="W710" s="658"/>
      <c r="X710" s="659"/>
      <c r="Y710" s="658"/>
      <c r="Z710" s="659"/>
      <c r="AA710" s="658"/>
      <c r="AB710" s="658"/>
    </row>
    <row r="711">
      <c r="A711" s="506">
        <v>2021.0</v>
      </c>
      <c r="B711" s="507">
        <v>46058.0</v>
      </c>
      <c r="C711" s="508" t="s">
        <v>808</v>
      </c>
      <c r="D711" s="329"/>
      <c r="E711" s="508" t="s">
        <v>506</v>
      </c>
      <c r="F711" s="508" t="s">
        <v>49</v>
      </c>
      <c r="G711" s="822" t="s">
        <v>3491</v>
      </c>
      <c r="H711" s="508" t="s">
        <v>112</v>
      </c>
      <c r="I711" s="509" t="s">
        <v>3486</v>
      </c>
      <c r="J711" s="801" t="s">
        <v>3489</v>
      </c>
      <c r="K711" s="511" t="s">
        <v>811</v>
      </c>
      <c r="L711" s="853" t="s">
        <v>812</v>
      </c>
      <c r="M711" s="512" t="s">
        <v>610</v>
      </c>
      <c r="N711" s="513"/>
      <c r="O711" s="514"/>
      <c r="P711" s="515"/>
      <c r="Q711" s="824" t="s">
        <v>62</v>
      </c>
      <c r="R711" s="517">
        <v>46073.0</v>
      </c>
      <c r="S711" s="513"/>
      <c r="T711" s="515"/>
      <c r="U711" s="516" t="s">
        <v>62</v>
      </c>
      <c r="V711" s="517">
        <v>46086.0</v>
      </c>
      <c r="W711" s="513"/>
      <c r="X711" s="515"/>
      <c r="Y711" s="513"/>
      <c r="Z711" s="515"/>
      <c r="AA711" s="513"/>
      <c r="AB711" s="513"/>
    </row>
    <row r="712">
      <c r="A712" s="825">
        <v>2022.0</v>
      </c>
      <c r="B712" s="507">
        <v>46058.0</v>
      </c>
      <c r="C712" s="508" t="s">
        <v>808</v>
      </c>
      <c r="D712" s="329"/>
      <c r="E712" s="508" t="s">
        <v>506</v>
      </c>
      <c r="F712" s="508" t="s">
        <v>49</v>
      </c>
      <c r="G712" s="822" t="s">
        <v>3492</v>
      </c>
      <c r="H712" s="508" t="s">
        <v>112</v>
      </c>
      <c r="I712" s="509" t="s">
        <v>3486</v>
      </c>
      <c r="J712" s="801" t="s">
        <v>3489</v>
      </c>
      <c r="K712" s="826" t="s">
        <v>811</v>
      </c>
      <c r="L712" s="856" t="s">
        <v>812</v>
      </c>
      <c r="M712" s="843" t="s">
        <v>610</v>
      </c>
      <c r="N712" s="658"/>
      <c r="O712" s="656"/>
      <c r="P712" s="659"/>
      <c r="Q712" s="845" t="s">
        <v>62</v>
      </c>
      <c r="R712" s="828">
        <v>46073.0</v>
      </c>
      <c r="S712" s="658"/>
      <c r="T712" s="659"/>
      <c r="U712" s="827" t="s">
        <v>62</v>
      </c>
      <c r="V712" s="828">
        <v>46086.0</v>
      </c>
      <c r="W712" s="658"/>
      <c r="X712" s="659"/>
      <c r="Y712" s="658"/>
      <c r="Z712" s="659"/>
      <c r="AA712" s="658"/>
      <c r="AB712" s="658"/>
    </row>
    <row r="713">
      <c r="A713" s="506">
        <v>2023.0</v>
      </c>
      <c r="B713" s="507">
        <v>46058.0</v>
      </c>
      <c r="C713" s="508" t="s">
        <v>808</v>
      </c>
      <c r="D713" s="329"/>
      <c r="E713" s="508" t="s">
        <v>506</v>
      </c>
      <c r="F713" s="508" t="s">
        <v>49</v>
      </c>
      <c r="G713" s="822" t="s">
        <v>3493</v>
      </c>
      <c r="H713" s="508" t="s">
        <v>112</v>
      </c>
      <c r="I713" s="509" t="s">
        <v>3486</v>
      </c>
      <c r="J713" s="801" t="s">
        <v>3487</v>
      </c>
      <c r="K713" s="511" t="s">
        <v>811</v>
      </c>
      <c r="L713" s="853" t="s">
        <v>812</v>
      </c>
      <c r="M713" s="512" t="s">
        <v>610</v>
      </c>
      <c r="N713" s="513"/>
      <c r="O713" s="514"/>
      <c r="P713" s="515"/>
      <c r="Q713" s="824" t="s">
        <v>62</v>
      </c>
      <c r="R713" s="517">
        <v>46077.0</v>
      </c>
      <c r="S713" s="513"/>
      <c r="T713" s="515"/>
      <c r="U713" s="516" t="s">
        <v>62</v>
      </c>
      <c r="V713" s="517">
        <v>46084.0</v>
      </c>
      <c r="W713" s="513"/>
      <c r="X713" s="515"/>
      <c r="Y713" s="513"/>
      <c r="Z713" s="515"/>
      <c r="AA713" s="513"/>
      <c r="AB713" s="513"/>
    </row>
    <row r="714">
      <c r="A714" s="825">
        <v>2029.0</v>
      </c>
      <c r="B714" s="507">
        <v>46069.0</v>
      </c>
      <c r="C714" s="508" t="s">
        <v>808</v>
      </c>
      <c r="D714" s="329"/>
      <c r="E714" s="508" t="s">
        <v>506</v>
      </c>
      <c r="F714" s="508" t="s">
        <v>49</v>
      </c>
      <c r="G714" s="822">
        <v>1.7243138E7</v>
      </c>
      <c r="H714" s="508" t="s">
        <v>200</v>
      </c>
      <c r="I714" s="509" t="s">
        <v>3477</v>
      </c>
      <c r="J714" s="801" t="s">
        <v>3494</v>
      </c>
      <c r="K714" s="826" t="s">
        <v>811</v>
      </c>
      <c r="L714" s="856" t="s">
        <v>965</v>
      </c>
      <c r="M714" s="843" t="s">
        <v>1234</v>
      </c>
      <c r="N714" s="658"/>
      <c r="O714" s="827" t="s">
        <v>62</v>
      </c>
      <c r="P714" s="828">
        <v>46069.0</v>
      </c>
      <c r="Q714" s="658"/>
      <c r="R714" s="659"/>
      <c r="S714" s="658"/>
      <c r="T714" s="659"/>
      <c r="U714" s="827" t="s">
        <v>62</v>
      </c>
      <c r="V714" s="828">
        <v>46086.0</v>
      </c>
      <c r="W714" s="658"/>
      <c r="X714" s="659"/>
      <c r="Y714" s="658"/>
      <c r="Z714" s="659"/>
      <c r="AA714" s="658"/>
      <c r="AB714" s="658"/>
    </row>
    <row r="715">
      <c r="A715" s="506">
        <v>2033.0</v>
      </c>
      <c r="B715" s="507">
        <v>46071.0</v>
      </c>
      <c r="C715" s="508" t="s">
        <v>808</v>
      </c>
      <c r="D715" s="329"/>
      <c r="E715" s="508" t="s">
        <v>506</v>
      </c>
      <c r="F715" s="508" t="s">
        <v>49</v>
      </c>
      <c r="G715" s="822">
        <v>1.7243123E7</v>
      </c>
      <c r="H715" s="508" t="s">
        <v>200</v>
      </c>
      <c r="I715" s="862" t="s">
        <v>3495</v>
      </c>
      <c r="J715" s="863" t="s">
        <v>3496</v>
      </c>
      <c r="K715" s="511" t="s">
        <v>811</v>
      </c>
      <c r="L715" s="853" t="s">
        <v>812</v>
      </c>
      <c r="M715" s="512" t="s">
        <v>610</v>
      </c>
      <c r="N715" s="513"/>
      <c r="O715" s="514"/>
      <c r="P715" s="515"/>
      <c r="Q715" s="515"/>
      <c r="R715" s="515"/>
      <c r="S715" s="515"/>
      <c r="T715" s="515"/>
      <c r="U715" s="516" t="s">
        <v>62</v>
      </c>
      <c r="V715" s="517">
        <v>46086.0</v>
      </c>
      <c r="W715" s="515"/>
      <c r="X715" s="515"/>
      <c r="Y715" s="515"/>
      <c r="Z715" s="515"/>
      <c r="AA715" s="513"/>
      <c r="AB715" s="864"/>
    </row>
    <row r="716">
      <c r="A716" s="825">
        <v>2034.0</v>
      </c>
      <c r="B716" s="507">
        <v>46071.0</v>
      </c>
      <c r="C716" s="508" t="s">
        <v>808</v>
      </c>
      <c r="D716" s="329"/>
      <c r="E716" s="508" t="s">
        <v>506</v>
      </c>
      <c r="F716" s="508" t="s">
        <v>49</v>
      </c>
      <c r="G716" s="822">
        <v>1.7243135E7</v>
      </c>
      <c r="H716" s="508" t="s">
        <v>200</v>
      </c>
      <c r="I716" s="509" t="s">
        <v>3477</v>
      </c>
      <c r="J716" s="865" t="s">
        <v>3497</v>
      </c>
      <c r="K716" s="826" t="s">
        <v>811</v>
      </c>
      <c r="L716" s="856" t="s">
        <v>812</v>
      </c>
      <c r="M716" s="843" t="s">
        <v>610</v>
      </c>
      <c r="N716" s="658"/>
      <c r="O716" s="827" t="s">
        <v>62</v>
      </c>
      <c r="P716" s="828">
        <v>46072.0</v>
      </c>
      <c r="Q716" s="659"/>
      <c r="R716" s="659"/>
      <c r="S716" s="659"/>
      <c r="T716" s="659"/>
      <c r="U716" s="827" t="s">
        <v>62</v>
      </c>
      <c r="V716" s="828">
        <v>46086.0</v>
      </c>
      <c r="W716" s="659"/>
      <c r="X716" s="659"/>
      <c r="Y716" s="659"/>
      <c r="Z716" s="659"/>
      <c r="AA716" s="658"/>
      <c r="AB716" s="857"/>
    </row>
    <row r="717">
      <c r="A717" s="292">
        <v>2052.0</v>
      </c>
      <c r="B717" s="866">
        <v>46085.0</v>
      </c>
      <c r="C717" s="867" t="s">
        <v>808</v>
      </c>
      <c r="D717" s="868"/>
      <c r="E717" s="867" t="s">
        <v>506</v>
      </c>
      <c r="F717" s="867" t="s">
        <v>49</v>
      </c>
      <c r="G717" s="869">
        <v>1.7243139E7</v>
      </c>
      <c r="H717" s="867" t="s">
        <v>200</v>
      </c>
      <c r="I717" s="870" t="s">
        <v>3495</v>
      </c>
      <c r="J717" s="871" t="s">
        <v>3498</v>
      </c>
      <c r="K717" s="511" t="s">
        <v>811</v>
      </c>
      <c r="L717" s="853" t="s">
        <v>812</v>
      </c>
      <c r="M717" s="512" t="s">
        <v>610</v>
      </c>
      <c r="N717" s="295"/>
      <c r="O717" s="296" t="s">
        <v>62</v>
      </c>
      <c r="P717" s="297">
        <v>46085.0</v>
      </c>
      <c r="Q717" s="298"/>
      <c r="R717" s="298"/>
      <c r="S717" s="298"/>
      <c r="T717" s="298"/>
      <c r="U717" s="296" t="s">
        <v>62</v>
      </c>
      <c r="V717" s="297">
        <v>46086.0</v>
      </c>
      <c r="W717" s="298"/>
      <c r="X717" s="298"/>
      <c r="Y717" s="298"/>
      <c r="Z717" s="298"/>
      <c r="AA717" s="295"/>
      <c r="AB717" s="295"/>
    </row>
    <row r="718">
      <c r="A718" s="292">
        <v>1853.0</v>
      </c>
      <c r="B718" s="279">
        <v>45966.0</v>
      </c>
      <c r="C718" s="280" t="s">
        <v>605</v>
      </c>
      <c r="D718" s="281"/>
      <c r="E718" s="280" t="s">
        <v>89</v>
      </c>
      <c r="F718" s="280" t="s">
        <v>41</v>
      </c>
      <c r="G718" s="282">
        <v>1.5831388E7</v>
      </c>
      <c r="H718" s="280" t="s">
        <v>51</v>
      </c>
      <c r="I718" s="283" t="s">
        <v>3499</v>
      </c>
      <c r="J718" s="284" t="s">
        <v>3500</v>
      </c>
      <c r="K718" s="293" t="s">
        <v>608</v>
      </c>
      <c r="L718" s="309" t="s">
        <v>3501</v>
      </c>
      <c r="M718" s="294" t="s">
        <v>610</v>
      </c>
      <c r="N718" s="295"/>
      <c r="O718" s="298"/>
      <c r="P718" s="298"/>
      <c r="Q718" s="298"/>
      <c r="R718" s="298"/>
      <c r="S718" s="298"/>
      <c r="T718" s="298"/>
      <c r="U718" s="293" t="s">
        <v>62</v>
      </c>
      <c r="V718" s="297">
        <v>46097.0</v>
      </c>
      <c r="W718" s="298"/>
      <c r="X718" s="298"/>
      <c r="Y718" s="298"/>
      <c r="Z718" s="298"/>
      <c r="AA718" s="295"/>
      <c r="AB718" s="295"/>
    </row>
    <row r="719">
      <c r="A719" s="278">
        <v>1854.0</v>
      </c>
      <c r="B719" s="279">
        <v>45966.0</v>
      </c>
      <c r="C719" s="280" t="s">
        <v>605</v>
      </c>
      <c r="D719" s="281"/>
      <c r="E719" s="280" t="s">
        <v>89</v>
      </c>
      <c r="F719" s="280" t="s">
        <v>41</v>
      </c>
      <c r="G719" s="282">
        <v>1.5831389E7</v>
      </c>
      <c r="H719" s="280" t="s">
        <v>51</v>
      </c>
      <c r="I719" s="283" t="s">
        <v>3502</v>
      </c>
      <c r="J719" s="284" t="s">
        <v>3503</v>
      </c>
      <c r="K719" s="285" t="s">
        <v>608</v>
      </c>
      <c r="L719" s="291" t="s">
        <v>3504</v>
      </c>
      <c r="M719" s="286" t="s">
        <v>610</v>
      </c>
      <c r="N719" s="287"/>
      <c r="O719" s="290"/>
      <c r="P719" s="290"/>
      <c r="Q719" s="290"/>
      <c r="R719" s="290"/>
      <c r="S719" s="290"/>
      <c r="T719" s="290"/>
      <c r="U719" s="285" t="s">
        <v>62</v>
      </c>
      <c r="V719" s="289">
        <v>46097.0</v>
      </c>
      <c r="W719" s="290"/>
      <c r="X719" s="290"/>
      <c r="Y719" s="290"/>
      <c r="Z719" s="290"/>
      <c r="AA719" s="287"/>
      <c r="AB719" s="287"/>
    </row>
    <row r="720">
      <c r="A720" s="292">
        <v>1945.0</v>
      </c>
      <c r="B720" s="279">
        <v>45999.0</v>
      </c>
      <c r="C720" s="280" t="s">
        <v>808</v>
      </c>
      <c r="D720" s="281"/>
      <c r="E720" s="280" t="s">
        <v>506</v>
      </c>
      <c r="F720" s="280" t="s">
        <v>49</v>
      </c>
      <c r="G720" s="282" t="s">
        <v>3505</v>
      </c>
      <c r="H720" s="280" t="s">
        <v>200</v>
      </c>
      <c r="I720" s="283" t="s">
        <v>3506</v>
      </c>
      <c r="J720" s="284" t="s">
        <v>3507</v>
      </c>
      <c r="K720" s="293" t="s">
        <v>811</v>
      </c>
      <c r="L720" s="294" t="s">
        <v>812</v>
      </c>
      <c r="M720" s="294" t="s">
        <v>610</v>
      </c>
      <c r="N720" s="295"/>
      <c r="O720" s="298"/>
      <c r="P720" s="298"/>
      <c r="Q720" s="298"/>
      <c r="R720" s="298"/>
      <c r="S720" s="298"/>
      <c r="T720" s="298"/>
      <c r="U720" s="293" t="s">
        <v>62</v>
      </c>
      <c r="V720" s="297">
        <v>46090.0</v>
      </c>
      <c r="W720" s="298"/>
      <c r="X720" s="298"/>
      <c r="Y720" s="298"/>
      <c r="Z720" s="298"/>
      <c r="AA720" s="295"/>
      <c r="AB720" s="295"/>
    </row>
    <row r="721">
      <c r="A721" s="278">
        <v>1973.0</v>
      </c>
      <c r="B721" s="395">
        <v>46038.0</v>
      </c>
      <c r="C721" s="280" t="s">
        <v>874</v>
      </c>
      <c r="D721" s="281"/>
      <c r="E721" s="280" t="s">
        <v>759</v>
      </c>
      <c r="F721" s="280" t="s">
        <v>900</v>
      </c>
      <c r="G721" s="280" t="s">
        <v>3508</v>
      </c>
      <c r="H721" s="280" t="s">
        <v>200</v>
      </c>
      <c r="I721" s="283" t="s">
        <v>902</v>
      </c>
      <c r="J721" s="284" t="s">
        <v>3509</v>
      </c>
      <c r="K721" s="285" t="s">
        <v>904</v>
      </c>
      <c r="L721" s="287" t="s">
        <v>905</v>
      </c>
      <c r="M721" s="287" t="s">
        <v>906</v>
      </c>
      <c r="N721" s="287"/>
      <c r="O721" s="290"/>
      <c r="P721" s="290"/>
      <c r="Q721" s="290"/>
      <c r="R721" s="290"/>
      <c r="S721" s="286" t="s">
        <v>62</v>
      </c>
      <c r="T721" s="289">
        <v>46073.0</v>
      </c>
      <c r="U721" s="285" t="s">
        <v>62</v>
      </c>
      <c r="V721" s="289">
        <v>46099.0</v>
      </c>
      <c r="W721" s="290"/>
      <c r="X721" s="290"/>
      <c r="Y721" s="290"/>
      <c r="Z721" s="290"/>
      <c r="AA721" s="287"/>
      <c r="AB721" s="287"/>
    </row>
    <row r="722">
      <c r="A722" s="292">
        <v>2009.0</v>
      </c>
      <c r="B722" s="279">
        <v>46052.0</v>
      </c>
      <c r="C722" s="280" t="s">
        <v>917</v>
      </c>
      <c r="D722" s="281"/>
      <c r="E722" s="280" t="s">
        <v>918</v>
      </c>
      <c r="F722" s="280" t="s">
        <v>300</v>
      </c>
      <c r="G722" s="282">
        <v>1.6352038E7</v>
      </c>
      <c r="H722" s="280" t="s">
        <v>32</v>
      </c>
      <c r="I722" s="283" t="s">
        <v>3510</v>
      </c>
      <c r="J722" s="284" t="s">
        <v>3511</v>
      </c>
      <c r="K722" s="285" t="s">
        <v>284</v>
      </c>
      <c r="L722" s="872" t="s">
        <v>905</v>
      </c>
      <c r="M722" s="294" t="s">
        <v>921</v>
      </c>
      <c r="N722" s="295"/>
      <c r="O722" s="298"/>
      <c r="P722" s="298"/>
      <c r="Q722" s="298"/>
      <c r="R722" s="298"/>
      <c r="S722" s="298"/>
      <c r="T722" s="298"/>
      <c r="U722" s="293" t="s">
        <v>62</v>
      </c>
      <c r="V722" s="297">
        <v>46098.0</v>
      </c>
      <c r="W722" s="298"/>
      <c r="X722" s="298"/>
      <c r="Y722" s="298"/>
      <c r="Z722" s="298"/>
      <c r="AA722" s="295"/>
      <c r="AB722" s="295"/>
    </row>
    <row r="723">
      <c r="A723" s="278">
        <v>2010.0</v>
      </c>
      <c r="B723" s="279">
        <v>46052.0</v>
      </c>
      <c r="C723" s="280" t="s">
        <v>917</v>
      </c>
      <c r="D723" s="281"/>
      <c r="E723" s="280" t="s">
        <v>918</v>
      </c>
      <c r="F723" s="280" t="s">
        <v>300</v>
      </c>
      <c r="G723" s="282">
        <v>1.6352037E7</v>
      </c>
      <c r="H723" s="280" t="s">
        <v>32</v>
      </c>
      <c r="I723" s="283" t="s">
        <v>3510</v>
      </c>
      <c r="J723" s="284" t="s">
        <v>3511</v>
      </c>
      <c r="K723" s="285" t="s">
        <v>284</v>
      </c>
      <c r="L723" s="872" t="s">
        <v>905</v>
      </c>
      <c r="M723" s="286" t="s">
        <v>921</v>
      </c>
      <c r="N723" s="287"/>
      <c r="O723" s="290"/>
      <c r="P723" s="290"/>
      <c r="Q723" s="290"/>
      <c r="R723" s="290"/>
      <c r="S723" s="290"/>
      <c r="T723" s="290"/>
      <c r="U723" s="285" t="s">
        <v>62</v>
      </c>
      <c r="V723" s="289">
        <v>46098.0</v>
      </c>
      <c r="W723" s="290"/>
      <c r="X723" s="290"/>
      <c r="Y723" s="290"/>
      <c r="Z723" s="290"/>
      <c r="AA723" s="287"/>
      <c r="AB723" s="287"/>
    </row>
    <row r="724">
      <c r="A724" s="292">
        <v>2027.0</v>
      </c>
      <c r="B724" s="279">
        <v>46069.0</v>
      </c>
      <c r="C724" s="280" t="s">
        <v>960</v>
      </c>
      <c r="D724" s="281"/>
      <c r="E724" s="280" t="s">
        <v>588</v>
      </c>
      <c r="F724" s="281"/>
      <c r="G724" s="282">
        <v>1.9500133E7</v>
      </c>
      <c r="H724" s="280" t="s">
        <v>51</v>
      </c>
      <c r="I724" s="283" t="s">
        <v>1000</v>
      </c>
      <c r="J724" s="284" t="s">
        <v>3512</v>
      </c>
      <c r="K724" s="303"/>
      <c r="L724" s="299"/>
      <c r="M724" s="295"/>
      <c r="N724" s="295"/>
      <c r="O724" s="298"/>
      <c r="P724" s="298"/>
      <c r="Q724" s="298"/>
      <c r="R724" s="298"/>
      <c r="S724" s="298"/>
      <c r="T724" s="298"/>
      <c r="U724" s="293" t="s">
        <v>62</v>
      </c>
      <c r="V724" s="297">
        <v>46097.0</v>
      </c>
      <c r="W724" s="298"/>
      <c r="X724" s="298"/>
      <c r="Y724" s="298"/>
      <c r="Z724" s="298"/>
      <c r="AA724" s="295"/>
      <c r="AB724" s="295"/>
    </row>
    <row r="725">
      <c r="A725" s="278">
        <v>2028.0</v>
      </c>
      <c r="B725" s="279">
        <v>46069.0</v>
      </c>
      <c r="C725" s="280" t="s">
        <v>960</v>
      </c>
      <c r="D725" s="281"/>
      <c r="E725" s="280" t="s">
        <v>588</v>
      </c>
      <c r="F725" s="281"/>
      <c r="G725" s="282">
        <v>1.9500134E7</v>
      </c>
      <c r="H725" s="280" t="s">
        <v>51</v>
      </c>
      <c r="I725" s="283" t="s">
        <v>1000</v>
      </c>
      <c r="J725" s="284" t="s">
        <v>3513</v>
      </c>
      <c r="K725" s="304"/>
      <c r="L725" s="299"/>
      <c r="M725" s="287"/>
      <c r="N725" s="287"/>
      <c r="O725" s="290"/>
      <c r="P725" s="290"/>
      <c r="Q725" s="290"/>
      <c r="R725" s="290"/>
      <c r="S725" s="290"/>
      <c r="T725" s="290"/>
      <c r="U725" s="285" t="s">
        <v>62</v>
      </c>
      <c r="V725" s="289">
        <v>46097.0</v>
      </c>
      <c r="W725" s="290"/>
      <c r="X725" s="290"/>
      <c r="Y725" s="290"/>
      <c r="Z725" s="290"/>
      <c r="AA725" s="287"/>
      <c r="AB725" s="287"/>
    </row>
    <row r="726">
      <c r="A726" s="292">
        <v>2045.0</v>
      </c>
      <c r="B726" s="279">
        <v>46083.0</v>
      </c>
      <c r="C726" s="280" t="s">
        <v>884</v>
      </c>
      <c r="D726" s="281"/>
      <c r="E726" s="280" t="s">
        <v>885</v>
      </c>
      <c r="F726" s="280" t="s">
        <v>49</v>
      </c>
      <c r="G726" s="282">
        <v>1.5781721E7</v>
      </c>
      <c r="H726" s="280" t="s">
        <v>32</v>
      </c>
      <c r="I726" s="283" t="s">
        <v>3514</v>
      </c>
      <c r="J726" s="873" t="s">
        <v>3515</v>
      </c>
      <c r="K726" s="293" t="s">
        <v>889</v>
      </c>
      <c r="L726" s="872" t="s">
        <v>646</v>
      </c>
      <c r="M726" s="294" t="s">
        <v>1234</v>
      </c>
      <c r="N726" s="295"/>
      <c r="O726" s="293" t="s">
        <v>62</v>
      </c>
      <c r="P726" s="297">
        <v>46088.0</v>
      </c>
      <c r="Q726" s="298"/>
      <c r="R726" s="298"/>
      <c r="S726" s="298"/>
      <c r="T726" s="298"/>
      <c r="U726" s="293" t="s">
        <v>62</v>
      </c>
      <c r="V726" s="297">
        <v>46091.0</v>
      </c>
      <c r="W726" s="298"/>
      <c r="X726" s="298"/>
      <c r="Y726" s="298"/>
      <c r="Z726" s="298"/>
      <c r="AA726" s="295"/>
      <c r="AB726" s="295"/>
    </row>
    <row r="727">
      <c r="A727" s="278">
        <v>2046.0</v>
      </c>
      <c r="B727" s="279">
        <v>46083.0</v>
      </c>
      <c r="C727" s="280" t="s">
        <v>884</v>
      </c>
      <c r="D727" s="281"/>
      <c r="E727" s="280" t="s">
        <v>885</v>
      </c>
      <c r="F727" s="280" t="s">
        <v>49</v>
      </c>
      <c r="G727" s="282">
        <v>1.5781722E7</v>
      </c>
      <c r="H727" s="280" t="s">
        <v>32</v>
      </c>
      <c r="I727" s="283" t="s">
        <v>3516</v>
      </c>
      <c r="J727" s="873" t="s">
        <v>3515</v>
      </c>
      <c r="K727" s="285" t="s">
        <v>889</v>
      </c>
      <c r="L727" s="872" t="s">
        <v>1374</v>
      </c>
      <c r="M727" s="286" t="s">
        <v>1234</v>
      </c>
      <c r="N727" s="287"/>
      <c r="O727" s="285" t="s">
        <v>62</v>
      </c>
      <c r="P727" s="289">
        <v>46088.0</v>
      </c>
      <c r="Q727" s="290"/>
      <c r="R727" s="290"/>
      <c r="S727" s="290"/>
      <c r="T727" s="290"/>
      <c r="U727" s="285" t="s">
        <v>62</v>
      </c>
      <c r="V727" s="289">
        <v>46091.0</v>
      </c>
      <c r="W727" s="290"/>
      <c r="X727" s="290"/>
      <c r="Y727" s="290"/>
      <c r="Z727" s="290"/>
      <c r="AA727" s="287"/>
      <c r="AB727" s="287"/>
    </row>
    <row r="728">
      <c r="A728" s="292">
        <v>2047.0</v>
      </c>
      <c r="B728" s="279">
        <v>46083.0</v>
      </c>
      <c r="C728" s="280" t="s">
        <v>884</v>
      </c>
      <c r="D728" s="281"/>
      <c r="E728" s="280" t="s">
        <v>885</v>
      </c>
      <c r="F728" s="280" t="s">
        <v>49</v>
      </c>
      <c r="G728" s="282">
        <v>1.5781723E7</v>
      </c>
      <c r="H728" s="280" t="s">
        <v>32</v>
      </c>
      <c r="I728" s="283" t="s">
        <v>3517</v>
      </c>
      <c r="J728" s="873" t="s">
        <v>3515</v>
      </c>
      <c r="K728" s="293" t="s">
        <v>889</v>
      </c>
      <c r="L728" s="872" t="s">
        <v>659</v>
      </c>
      <c r="M728" s="294" t="s">
        <v>610</v>
      </c>
      <c r="N728" s="295"/>
      <c r="O728" s="293" t="s">
        <v>62</v>
      </c>
      <c r="P728" s="297">
        <v>46088.0</v>
      </c>
      <c r="Q728" s="298"/>
      <c r="R728" s="298"/>
      <c r="S728" s="298"/>
      <c r="T728" s="298"/>
      <c r="U728" s="293" t="s">
        <v>62</v>
      </c>
      <c r="V728" s="297">
        <v>46091.0</v>
      </c>
      <c r="W728" s="298"/>
      <c r="X728" s="298"/>
      <c r="Y728" s="298"/>
      <c r="Z728" s="298"/>
      <c r="AA728" s="295"/>
      <c r="AB728" s="295"/>
    </row>
    <row r="729">
      <c r="A729" s="278">
        <v>2056.0</v>
      </c>
      <c r="B729" s="279">
        <v>46090.0</v>
      </c>
      <c r="C729" s="280" t="s">
        <v>917</v>
      </c>
      <c r="D729" s="281"/>
      <c r="E729" s="280" t="s">
        <v>918</v>
      </c>
      <c r="F729" s="280" t="s">
        <v>300</v>
      </c>
      <c r="G729" s="282">
        <v>1.6352062E7</v>
      </c>
      <c r="H729" s="280" t="s">
        <v>32</v>
      </c>
      <c r="I729" s="283" t="s">
        <v>3518</v>
      </c>
      <c r="J729" s="873" t="s">
        <v>3519</v>
      </c>
      <c r="K729" s="304"/>
      <c r="L729" s="287"/>
      <c r="M729" s="287"/>
      <c r="N729" s="287"/>
      <c r="O729" s="290"/>
      <c r="P729" s="290"/>
      <c r="Q729" s="290"/>
      <c r="R729" s="290"/>
      <c r="S729" s="290"/>
      <c r="T729" s="290"/>
      <c r="U729" s="285" t="s">
        <v>62</v>
      </c>
      <c r="V729" s="289">
        <v>46098.0</v>
      </c>
      <c r="W729" s="290"/>
      <c r="X729" s="290"/>
      <c r="Y729" s="290"/>
      <c r="Z729" s="290"/>
      <c r="AA729" s="287"/>
      <c r="AB729" s="287"/>
    </row>
    <row r="730">
      <c r="A730" s="292">
        <v>2061.0</v>
      </c>
      <c r="B730" s="279">
        <v>46094.0</v>
      </c>
      <c r="C730" s="280" t="s">
        <v>582</v>
      </c>
      <c r="D730" s="281"/>
      <c r="E730" s="280" t="s">
        <v>67</v>
      </c>
      <c r="F730" s="280" t="s">
        <v>49</v>
      </c>
      <c r="G730" s="282">
        <v>1.9050295E7</v>
      </c>
      <c r="H730" s="280" t="s">
        <v>42</v>
      </c>
      <c r="I730" s="283" t="s">
        <v>583</v>
      </c>
      <c r="J730" s="873" t="s">
        <v>3520</v>
      </c>
      <c r="K730" s="293" t="s">
        <v>129</v>
      </c>
      <c r="L730" s="294" t="s">
        <v>585</v>
      </c>
      <c r="M730" s="396" t="s">
        <v>586</v>
      </c>
      <c r="N730" s="295"/>
      <c r="O730" s="293" t="s">
        <v>62</v>
      </c>
      <c r="P730" s="874">
        <v>46099.0</v>
      </c>
      <c r="Q730" s="298"/>
      <c r="R730" s="298"/>
      <c r="S730" s="298"/>
      <c r="T730" s="298"/>
      <c r="U730" s="293" t="s">
        <v>62</v>
      </c>
      <c r="V730" s="875">
        <v>46100.0</v>
      </c>
      <c r="W730" s="298"/>
      <c r="X730" s="298"/>
      <c r="Y730" s="298"/>
      <c r="Z730" s="298"/>
      <c r="AA730" s="295"/>
      <c r="AB730" s="295"/>
    </row>
    <row r="731">
      <c r="A731" s="278">
        <v>2062.0</v>
      </c>
      <c r="B731" s="279">
        <v>46094.0</v>
      </c>
      <c r="C731" s="280" t="s">
        <v>582</v>
      </c>
      <c r="D731" s="281"/>
      <c r="E731" s="280" t="s">
        <v>67</v>
      </c>
      <c r="F731" s="280" t="s">
        <v>49</v>
      </c>
      <c r="G731" s="282">
        <v>1.9050296E7</v>
      </c>
      <c r="H731" s="280" t="s">
        <v>42</v>
      </c>
      <c r="I731" s="283" t="s">
        <v>583</v>
      </c>
      <c r="J731" s="873" t="s">
        <v>3520</v>
      </c>
      <c r="K731" s="285" t="s">
        <v>129</v>
      </c>
      <c r="L731" s="286" t="s">
        <v>585</v>
      </c>
      <c r="M731" s="354" t="s">
        <v>586</v>
      </c>
      <c r="N731" s="287"/>
      <c r="O731" s="285" t="s">
        <v>62</v>
      </c>
      <c r="P731" s="876">
        <v>46099.0</v>
      </c>
      <c r="Q731" s="290"/>
      <c r="R731" s="290"/>
      <c r="S731" s="290"/>
      <c r="T731" s="290"/>
      <c r="U731" s="285" t="s">
        <v>62</v>
      </c>
      <c r="V731" s="876">
        <v>46100.0</v>
      </c>
      <c r="W731" s="290"/>
      <c r="X731" s="290"/>
      <c r="Y731" s="290"/>
      <c r="Z731" s="290"/>
      <c r="AA731" s="287"/>
      <c r="AB731" s="287"/>
    </row>
    <row r="732">
      <c r="A732" s="877">
        <v>1032.0</v>
      </c>
      <c r="B732" s="878">
        <v>45371.0</v>
      </c>
      <c r="C732" s="280" t="s">
        <v>1629</v>
      </c>
      <c r="D732" s="879" t="s">
        <v>66</v>
      </c>
      <c r="E732" s="879" t="s">
        <v>67</v>
      </c>
      <c r="F732" s="879" t="s">
        <v>49</v>
      </c>
      <c r="G732" s="281"/>
      <c r="H732" s="879" t="s">
        <v>42</v>
      </c>
      <c r="I732" s="283" t="s">
        <v>3521</v>
      </c>
      <c r="J732" s="284" t="s">
        <v>3522</v>
      </c>
      <c r="K732" s="303"/>
      <c r="L732" s="300"/>
      <c r="M732" s="295"/>
      <c r="N732" s="295"/>
      <c r="O732" s="880" t="s">
        <v>62</v>
      </c>
      <c r="P732" s="881">
        <v>46105.0</v>
      </c>
      <c r="Q732" s="298"/>
      <c r="R732" s="298"/>
      <c r="S732" s="298"/>
      <c r="T732" s="882" t="s">
        <v>62</v>
      </c>
      <c r="U732" s="883" t="s">
        <v>3523</v>
      </c>
      <c r="V732" s="298"/>
      <c r="W732" s="298"/>
      <c r="X732" s="298"/>
      <c r="Y732" s="298"/>
      <c r="Z732" s="298"/>
      <c r="AA732" s="884"/>
      <c r="AB732" s="884"/>
    </row>
    <row r="733">
      <c r="A733" s="278">
        <v>1618.0</v>
      </c>
      <c r="B733" s="279">
        <v>45778.0</v>
      </c>
      <c r="C733" s="280" t="s">
        <v>3524</v>
      </c>
      <c r="D733" s="280" t="s">
        <v>66</v>
      </c>
      <c r="E733" s="280" t="s">
        <v>3525</v>
      </c>
      <c r="F733" s="280" t="s">
        <v>3526</v>
      </c>
      <c r="G733" s="282">
        <v>1.757034E7</v>
      </c>
      <c r="H733" s="280" t="s">
        <v>120</v>
      </c>
      <c r="I733" s="283" t="s">
        <v>3527</v>
      </c>
      <c r="J733" s="284" t="s">
        <v>3528</v>
      </c>
      <c r="K733" s="285" t="s">
        <v>3529</v>
      </c>
      <c r="L733" s="299"/>
      <c r="M733" s="287"/>
      <c r="N733" s="287"/>
      <c r="O733" s="290"/>
      <c r="P733" s="290"/>
      <c r="Q733" s="290"/>
      <c r="R733" s="290"/>
      <c r="S733" s="290"/>
      <c r="T733" s="290"/>
      <c r="U733" s="285" t="s">
        <v>62</v>
      </c>
      <c r="V733" s="289">
        <v>46105.0</v>
      </c>
      <c r="W733" s="290"/>
      <c r="X733" s="290"/>
      <c r="Y733" s="290"/>
      <c r="Z733" s="290"/>
      <c r="AA733" s="287"/>
      <c r="AB733" s="287"/>
    </row>
    <row r="734">
      <c r="A734" s="292">
        <v>1677.0</v>
      </c>
      <c r="B734" s="279">
        <v>45814.0</v>
      </c>
      <c r="C734" s="280" t="s">
        <v>3530</v>
      </c>
      <c r="D734" s="280" t="s">
        <v>66</v>
      </c>
      <c r="E734" s="280" t="s">
        <v>3301</v>
      </c>
      <c r="F734" s="280" t="s">
        <v>160</v>
      </c>
      <c r="G734" s="282">
        <v>1.7611649E7</v>
      </c>
      <c r="H734" s="280" t="s">
        <v>120</v>
      </c>
      <c r="I734" s="283" t="s">
        <v>3531</v>
      </c>
      <c r="J734" s="284" t="s">
        <v>3532</v>
      </c>
      <c r="K734" s="303"/>
      <c r="L734" s="300"/>
      <c r="M734" s="295"/>
      <c r="N734" s="295"/>
      <c r="O734" s="293" t="s">
        <v>62</v>
      </c>
      <c r="P734" s="297">
        <v>46085.0</v>
      </c>
      <c r="Q734" s="298"/>
      <c r="R734" s="298"/>
      <c r="S734" s="298"/>
      <c r="T734" s="298"/>
      <c r="U734" s="293" t="s">
        <v>62</v>
      </c>
      <c r="V734" s="297">
        <v>46085.0</v>
      </c>
      <c r="W734" s="298"/>
      <c r="X734" s="298"/>
      <c r="Y734" s="298"/>
      <c r="Z734" s="298"/>
      <c r="AA734" s="295"/>
      <c r="AB734" s="295"/>
    </row>
    <row r="735">
      <c r="A735" s="278">
        <v>1742.0</v>
      </c>
      <c r="B735" s="279">
        <v>45895.0</v>
      </c>
      <c r="C735" s="280" t="s">
        <v>1385</v>
      </c>
      <c r="D735" s="281"/>
      <c r="E735" s="280" t="s">
        <v>1386</v>
      </c>
      <c r="F735" s="280" t="s">
        <v>1467</v>
      </c>
      <c r="G735" s="282">
        <v>1.5800378E7</v>
      </c>
      <c r="H735" s="280" t="s">
        <v>200</v>
      </c>
      <c r="I735" s="283" t="s">
        <v>3533</v>
      </c>
      <c r="J735" s="284" t="s">
        <v>3534</v>
      </c>
      <c r="K735" s="285" t="s">
        <v>1561</v>
      </c>
      <c r="L735" s="299"/>
      <c r="M735" s="287"/>
      <c r="N735" s="287"/>
      <c r="O735" s="290"/>
      <c r="P735" s="290"/>
      <c r="Q735" s="286" t="s">
        <v>62</v>
      </c>
      <c r="R735" s="289">
        <v>45902.0</v>
      </c>
      <c r="S735" s="290"/>
      <c r="T735" s="290"/>
      <c r="U735" s="285" t="s">
        <v>62</v>
      </c>
      <c r="V735" s="289">
        <v>45981.0</v>
      </c>
      <c r="W735" s="290"/>
      <c r="X735" s="290"/>
      <c r="Y735" s="290"/>
      <c r="Z735" s="290"/>
      <c r="AA735" s="287"/>
      <c r="AB735" s="287"/>
    </row>
    <row r="736">
      <c r="A736" s="292">
        <v>1953.0</v>
      </c>
      <c r="B736" s="395">
        <v>46003.0</v>
      </c>
      <c r="C736" s="280" t="s">
        <v>3535</v>
      </c>
      <c r="D736" s="281"/>
      <c r="E736" s="280" t="s">
        <v>893</v>
      </c>
      <c r="F736" s="280" t="s">
        <v>1680</v>
      </c>
      <c r="G736" s="282">
        <v>1.857033E7</v>
      </c>
      <c r="H736" s="280" t="s">
        <v>120</v>
      </c>
      <c r="I736" s="283" t="s">
        <v>3536</v>
      </c>
      <c r="J736" s="284" t="s">
        <v>3537</v>
      </c>
      <c r="K736" s="293" t="s">
        <v>897</v>
      </c>
      <c r="L736" s="294" t="s">
        <v>457</v>
      </c>
      <c r="M736" s="294" t="s">
        <v>3538</v>
      </c>
      <c r="N736" s="295"/>
      <c r="O736" s="298"/>
      <c r="P736" s="298"/>
      <c r="Q736" s="294" t="s">
        <v>62</v>
      </c>
      <c r="R736" s="885" t="s">
        <v>3539</v>
      </c>
      <c r="S736" s="298"/>
      <c r="T736" s="298"/>
      <c r="U736" s="885" t="s">
        <v>62</v>
      </c>
      <c r="V736" s="885" t="s">
        <v>3540</v>
      </c>
      <c r="W736" s="298"/>
      <c r="X736" s="298"/>
      <c r="Y736" s="298"/>
      <c r="Z736" s="298"/>
      <c r="AA736" s="295"/>
      <c r="AB736" s="295"/>
    </row>
    <row r="737">
      <c r="A737" s="278">
        <v>1998.0</v>
      </c>
      <c r="B737" s="279">
        <v>46048.0</v>
      </c>
      <c r="C737" s="280" t="s">
        <v>917</v>
      </c>
      <c r="D737" s="281"/>
      <c r="E737" s="280" t="s">
        <v>918</v>
      </c>
      <c r="F737" s="280" t="s">
        <v>300</v>
      </c>
      <c r="G737" s="280">
        <v>1.6352036E7</v>
      </c>
      <c r="H737" s="280" t="s">
        <v>32</v>
      </c>
      <c r="I737" s="283" t="s">
        <v>3541</v>
      </c>
      <c r="J737" s="886" t="s">
        <v>3542</v>
      </c>
      <c r="K737" s="285" t="s">
        <v>284</v>
      </c>
      <c r="L737" s="887"/>
      <c r="M737" s="287"/>
      <c r="N737" s="287"/>
      <c r="O737" s="290"/>
      <c r="P737" s="290"/>
      <c r="Q737" s="290"/>
      <c r="R737" s="290"/>
      <c r="S737" s="290"/>
      <c r="T737" s="290"/>
      <c r="U737" s="285" t="s">
        <v>62</v>
      </c>
      <c r="V737" s="289">
        <v>46094.0</v>
      </c>
      <c r="W737" s="290"/>
      <c r="X737" s="290"/>
      <c r="Y737" s="290"/>
      <c r="Z737" s="290"/>
      <c r="AA737" s="287"/>
      <c r="AB737" s="287"/>
    </row>
    <row r="738">
      <c r="A738" s="292">
        <v>2031.0</v>
      </c>
      <c r="B738" s="279">
        <v>46071.0</v>
      </c>
      <c r="C738" s="280" t="s">
        <v>1172</v>
      </c>
      <c r="D738" s="281"/>
      <c r="E738" s="280" t="s">
        <v>1173</v>
      </c>
      <c r="F738" s="280" t="s">
        <v>3543</v>
      </c>
      <c r="G738" s="282">
        <v>1.6791155E7</v>
      </c>
      <c r="H738" s="280" t="s">
        <v>42</v>
      </c>
      <c r="I738" s="283" t="s">
        <v>3544</v>
      </c>
      <c r="J738" s="873" t="s">
        <v>3545</v>
      </c>
      <c r="K738" s="293" t="s">
        <v>1176</v>
      </c>
      <c r="L738" s="872" t="s">
        <v>1177</v>
      </c>
      <c r="M738" s="294" t="s">
        <v>610</v>
      </c>
      <c r="N738" s="295"/>
      <c r="O738" s="293" t="s">
        <v>62</v>
      </c>
      <c r="P738" s="297">
        <v>46099.0</v>
      </c>
      <c r="Q738" s="298"/>
      <c r="R738" s="298"/>
      <c r="S738" s="298"/>
      <c r="T738" s="298"/>
      <c r="U738" s="293" t="s">
        <v>62</v>
      </c>
      <c r="V738" s="297">
        <v>46107.0</v>
      </c>
      <c r="W738" s="298"/>
      <c r="X738" s="298"/>
      <c r="Y738" s="298"/>
      <c r="Z738" s="298"/>
      <c r="AA738" s="295"/>
      <c r="AB738" s="295"/>
    </row>
    <row r="739">
      <c r="A739" s="278">
        <v>2032.0</v>
      </c>
      <c r="B739" s="279">
        <v>46071.0</v>
      </c>
      <c r="C739" s="280" t="s">
        <v>1172</v>
      </c>
      <c r="D739" s="281"/>
      <c r="E739" s="280" t="s">
        <v>1173</v>
      </c>
      <c r="F739" s="280" t="s">
        <v>3543</v>
      </c>
      <c r="G739" s="282">
        <v>1.6791158E7</v>
      </c>
      <c r="H739" s="280" t="s">
        <v>42</v>
      </c>
      <c r="I739" s="283" t="s">
        <v>3544</v>
      </c>
      <c r="J739" s="873" t="s">
        <v>3546</v>
      </c>
      <c r="K739" s="285" t="s">
        <v>1176</v>
      </c>
      <c r="L739" s="872" t="s">
        <v>1177</v>
      </c>
      <c r="M739" s="286" t="s">
        <v>610</v>
      </c>
      <c r="N739" s="287"/>
      <c r="O739" s="285" t="s">
        <v>62</v>
      </c>
      <c r="P739" s="289">
        <v>46099.0</v>
      </c>
      <c r="Q739" s="290"/>
      <c r="R739" s="290"/>
      <c r="S739" s="290"/>
      <c r="T739" s="290"/>
      <c r="U739" s="285" t="s">
        <v>62</v>
      </c>
      <c r="V739" s="289">
        <v>46113.0</v>
      </c>
      <c r="W739" s="290"/>
      <c r="X739" s="290"/>
      <c r="Y739" s="290"/>
      <c r="Z739" s="290"/>
      <c r="AA739" s="287"/>
      <c r="AB739" s="287"/>
    </row>
    <row r="740">
      <c r="A740" s="292">
        <v>2040.0</v>
      </c>
      <c r="B740" s="279">
        <v>46083.0</v>
      </c>
      <c r="C740" s="280" t="s">
        <v>917</v>
      </c>
      <c r="D740" s="281"/>
      <c r="E740" s="280" t="s">
        <v>918</v>
      </c>
      <c r="F740" s="280" t="s">
        <v>261</v>
      </c>
      <c r="G740" s="282">
        <v>1.6352049E7</v>
      </c>
      <c r="H740" s="280" t="s">
        <v>32</v>
      </c>
      <c r="I740" s="283" t="s">
        <v>3547</v>
      </c>
      <c r="J740" s="873" t="s">
        <v>3548</v>
      </c>
      <c r="K740" s="303"/>
      <c r="L740" s="299"/>
      <c r="M740" s="295"/>
      <c r="N740" s="295"/>
      <c r="O740" s="298"/>
      <c r="P740" s="298"/>
      <c r="Q740" s="298"/>
      <c r="R740" s="298"/>
      <c r="S740" s="298"/>
      <c r="T740" s="298"/>
      <c r="U740" s="293" t="s">
        <v>62</v>
      </c>
      <c r="V740" s="297">
        <v>46094.0</v>
      </c>
      <c r="W740" s="298"/>
      <c r="X740" s="298"/>
      <c r="Y740" s="298"/>
      <c r="Z740" s="298"/>
      <c r="AA740" s="295"/>
      <c r="AB740" s="295"/>
    </row>
    <row r="741">
      <c r="A741" s="278">
        <v>2043.0</v>
      </c>
      <c r="B741" s="279">
        <v>46083.0</v>
      </c>
      <c r="C741" s="280" t="s">
        <v>917</v>
      </c>
      <c r="D741" s="281"/>
      <c r="E741" s="280" t="s">
        <v>918</v>
      </c>
      <c r="F741" s="280" t="s">
        <v>300</v>
      </c>
      <c r="G741" s="282">
        <v>1.6352066E7</v>
      </c>
      <c r="H741" s="280" t="s">
        <v>32</v>
      </c>
      <c r="I741" s="283" t="s">
        <v>3549</v>
      </c>
      <c r="J741" s="873" t="s">
        <v>3550</v>
      </c>
      <c r="K741" s="285" t="s">
        <v>981</v>
      </c>
      <c r="L741" s="872" t="s">
        <v>905</v>
      </c>
      <c r="M741" s="287"/>
      <c r="N741" s="287"/>
      <c r="O741" s="290"/>
      <c r="P741" s="290"/>
      <c r="Q741" s="290"/>
      <c r="R741" s="290"/>
      <c r="S741" s="290"/>
      <c r="T741" s="290"/>
      <c r="U741" s="285" t="s">
        <v>62</v>
      </c>
      <c r="V741" s="289">
        <v>46094.0</v>
      </c>
      <c r="W741" s="290"/>
      <c r="X741" s="290"/>
      <c r="Y741" s="290"/>
      <c r="Z741" s="290"/>
      <c r="AA741" s="287"/>
      <c r="AB741" s="287"/>
    </row>
    <row r="742">
      <c r="A742" s="292">
        <v>2063.0</v>
      </c>
      <c r="B742" s="279">
        <v>46097.0</v>
      </c>
      <c r="C742" s="280" t="s">
        <v>1018</v>
      </c>
      <c r="D742" s="281"/>
      <c r="E742" s="280" t="s">
        <v>506</v>
      </c>
      <c r="F742" s="280" t="s">
        <v>49</v>
      </c>
      <c r="G742" s="282" t="s">
        <v>3551</v>
      </c>
      <c r="H742" s="280" t="s">
        <v>112</v>
      </c>
      <c r="I742" s="283" t="s">
        <v>3552</v>
      </c>
      <c r="J742" s="873" t="s">
        <v>3553</v>
      </c>
      <c r="K742" s="293" t="s">
        <v>811</v>
      </c>
      <c r="L742" s="872" t="s">
        <v>812</v>
      </c>
      <c r="M742" s="294" t="s">
        <v>610</v>
      </c>
      <c r="N742" s="295"/>
      <c r="O742" s="298"/>
      <c r="P742" s="298"/>
      <c r="Q742" s="298"/>
      <c r="R742" s="298"/>
      <c r="S742" s="298"/>
      <c r="T742" s="298"/>
      <c r="U742" s="293" t="s">
        <v>62</v>
      </c>
      <c r="V742" s="308">
        <v>46112.0</v>
      </c>
      <c r="W742" s="298"/>
      <c r="X742" s="298"/>
      <c r="Y742" s="298"/>
      <c r="Z742" s="298"/>
      <c r="AA742" s="295"/>
      <c r="AB742" s="295"/>
    </row>
    <row r="743">
      <c r="A743" s="278">
        <v>2075.0</v>
      </c>
      <c r="B743" s="279">
        <v>46108.0</v>
      </c>
      <c r="C743" s="280" t="s">
        <v>325</v>
      </c>
      <c r="D743" s="281"/>
      <c r="E743" s="280" t="s">
        <v>326</v>
      </c>
      <c r="F743" s="280" t="s">
        <v>49</v>
      </c>
      <c r="G743" s="282">
        <v>1.8860137E7</v>
      </c>
      <c r="H743" s="280" t="s">
        <v>42</v>
      </c>
      <c r="I743" s="283" t="s">
        <v>3554</v>
      </c>
      <c r="J743" s="888" t="s">
        <v>3555</v>
      </c>
      <c r="K743" s="285" t="s">
        <v>248</v>
      </c>
      <c r="L743" s="872" t="s">
        <v>585</v>
      </c>
      <c r="M743" s="889" t="s">
        <v>586</v>
      </c>
      <c r="N743" s="287"/>
      <c r="O743" s="285" t="s">
        <v>62</v>
      </c>
      <c r="P743" s="289">
        <v>46111.0</v>
      </c>
      <c r="Q743" s="290"/>
      <c r="R743" s="290"/>
      <c r="S743" s="290"/>
      <c r="T743" s="290"/>
      <c r="U743" s="285" t="s">
        <v>62</v>
      </c>
      <c r="V743" s="307">
        <v>46112.0</v>
      </c>
      <c r="W743" s="290"/>
      <c r="X743" s="290"/>
      <c r="Y743" s="290"/>
      <c r="Z743" s="290"/>
      <c r="AA743" s="287"/>
      <c r="AB743" s="287"/>
    </row>
    <row r="744">
      <c r="A744" s="292">
        <v>2076.0</v>
      </c>
      <c r="B744" s="279">
        <v>46108.0</v>
      </c>
      <c r="C744" s="280" t="s">
        <v>582</v>
      </c>
      <c r="D744" s="281"/>
      <c r="E744" s="280" t="s">
        <v>67</v>
      </c>
      <c r="F744" s="280" t="s">
        <v>49</v>
      </c>
      <c r="G744" s="282">
        <v>1.9050297E7</v>
      </c>
      <c r="H744" s="280" t="s">
        <v>42</v>
      </c>
      <c r="I744" s="283" t="s">
        <v>3556</v>
      </c>
      <c r="J744" s="888" t="s">
        <v>3555</v>
      </c>
      <c r="K744" s="293" t="s">
        <v>129</v>
      </c>
      <c r="L744" s="890" t="s">
        <v>585</v>
      </c>
      <c r="M744" s="889" t="s">
        <v>586</v>
      </c>
      <c r="N744" s="295"/>
      <c r="O744" s="293" t="s">
        <v>62</v>
      </c>
      <c r="P744" s="297">
        <v>46111.0</v>
      </c>
      <c r="Q744" s="298"/>
      <c r="R744" s="298"/>
      <c r="S744" s="298"/>
      <c r="T744" s="298"/>
      <c r="U744" s="293" t="s">
        <v>62</v>
      </c>
      <c r="V744" s="308">
        <v>46114.0</v>
      </c>
      <c r="W744" s="298"/>
      <c r="X744" s="298"/>
      <c r="Y744" s="298"/>
      <c r="Z744" s="298"/>
      <c r="AA744" s="295"/>
      <c r="AB744" s="295"/>
    </row>
    <row r="745">
      <c r="A745" s="278">
        <v>2077.0</v>
      </c>
      <c r="B745" s="279">
        <v>46111.0</v>
      </c>
      <c r="C745" s="280" t="s">
        <v>884</v>
      </c>
      <c r="D745" s="281"/>
      <c r="E745" s="280" t="s">
        <v>885</v>
      </c>
      <c r="F745" s="280" t="s">
        <v>49</v>
      </c>
      <c r="G745" s="282">
        <v>1.5781724E7</v>
      </c>
      <c r="H745" s="280" t="s">
        <v>32</v>
      </c>
      <c r="I745" s="283" t="s">
        <v>3557</v>
      </c>
      <c r="J745" s="888" t="s">
        <v>3558</v>
      </c>
      <c r="K745" s="285" t="s">
        <v>889</v>
      </c>
      <c r="L745" s="872" t="s">
        <v>3559</v>
      </c>
      <c r="M745" s="286" t="s">
        <v>1234</v>
      </c>
      <c r="N745" s="287"/>
      <c r="O745" s="290"/>
      <c r="P745" s="290"/>
      <c r="Q745" s="290"/>
      <c r="R745" s="290"/>
      <c r="S745" s="290"/>
      <c r="T745" s="290"/>
      <c r="U745" s="285" t="s">
        <v>62</v>
      </c>
      <c r="V745" s="307">
        <v>46112.0</v>
      </c>
      <c r="W745" s="290"/>
      <c r="X745" s="290"/>
      <c r="Y745" s="290"/>
      <c r="Z745" s="290"/>
      <c r="AA745" s="287"/>
      <c r="AB745" s="287"/>
    </row>
    <row r="746">
      <c r="A746" s="292">
        <v>2000.0</v>
      </c>
      <c r="B746" s="279">
        <v>46049.0</v>
      </c>
      <c r="C746" s="280" t="s">
        <v>917</v>
      </c>
      <c r="D746" s="281"/>
      <c r="E746" s="280" t="s">
        <v>918</v>
      </c>
      <c r="F746" s="280" t="s">
        <v>300</v>
      </c>
      <c r="G746" s="280">
        <v>1.6352064E7</v>
      </c>
      <c r="H746" s="280" t="s">
        <v>886</v>
      </c>
      <c r="I746" s="283" t="s">
        <v>919</v>
      </c>
      <c r="J746" s="284" t="s">
        <v>3560</v>
      </c>
      <c r="K746" s="293" t="s">
        <v>284</v>
      </c>
      <c r="L746" s="353" t="s">
        <v>905</v>
      </c>
      <c r="M746" s="891" t="s">
        <v>921</v>
      </c>
      <c r="N746" s="295"/>
      <c r="O746" s="298"/>
      <c r="P746" s="298"/>
      <c r="Q746" s="294" t="s">
        <v>62</v>
      </c>
      <c r="R746" s="297">
        <v>46069.0</v>
      </c>
      <c r="S746" s="298"/>
      <c r="T746" s="298"/>
      <c r="U746" s="293" t="s">
        <v>3561</v>
      </c>
      <c r="V746" s="297">
        <v>46094.0</v>
      </c>
      <c r="W746" s="298"/>
      <c r="X746" s="298"/>
      <c r="Y746" s="298"/>
      <c r="Z746" s="298"/>
      <c r="AA746" s="295"/>
      <c r="AB746" s="892" t="s">
        <v>3562</v>
      </c>
    </row>
    <row r="747">
      <c r="A747" s="278">
        <v>2001.0</v>
      </c>
      <c r="B747" s="279">
        <v>46049.0</v>
      </c>
      <c r="C747" s="280" t="s">
        <v>917</v>
      </c>
      <c r="D747" s="281"/>
      <c r="E747" s="280" t="s">
        <v>918</v>
      </c>
      <c r="F747" s="280" t="s">
        <v>300</v>
      </c>
      <c r="G747" s="280">
        <v>1.6352065E7</v>
      </c>
      <c r="H747" s="280" t="s">
        <v>886</v>
      </c>
      <c r="I747" s="283" t="s">
        <v>919</v>
      </c>
      <c r="J747" s="284" t="s">
        <v>3563</v>
      </c>
      <c r="K747" s="285" t="s">
        <v>284</v>
      </c>
      <c r="L747" s="893" t="s">
        <v>905</v>
      </c>
      <c r="M747" s="894" t="s">
        <v>921</v>
      </c>
      <c r="N747" s="287"/>
      <c r="O747" s="290"/>
      <c r="P747" s="290"/>
      <c r="Q747" s="286" t="s">
        <v>62</v>
      </c>
      <c r="R747" s="289">
        <v>46069.0</v>
      </c>
      <c r="S747" s="290"/>
      <c r="T747" s="290"/>
      <c r="U747" s="285" t="s">
        <v>3564</v>
      </c>
      <c r="V747" s="289">
        <v>46094.0</v>
      </c>
      <c r="W747" s="290"/>
      <c r="X747" s="290"/>
      <c r="Y747" s="290"/>
      <c r="Z747" s="290"/>
      <c r="AA747" s="287"/>
      <c r="AB747" s="895" t="s">
        <v>3562</v>
      </c>
    </row>
    <row r="748">
      <c r="A748" s="292">
        <v>2002.0</v>
      </c>
      <c r="B748" s="279">
        <v>46049.0</v>
      </c>
      <c r="C748" s="280" t="s">
        <v>917</v>
      </c>
      <c r="D748" s="281"/>
      <c r="E748" s="280" t="s">
        <v>918</v>
      </c>
      <c r="F748" s="280" t="s">
        <v>300</v>
      </c>
      <c r="G748" s="280">
        <v>1.6352066E7</v>
      </c>
      <c r="H748" s="280" t="s">
        <v>886</v>
      </c>
      <c r="I748" s="283" t="s">
        <v>919</v>
      </c>
      <c r="J748" s="284" t="s">
        <v>3563</v>
      </c>
      <c r="K748" s="285" t="s">
        <v>284</v>
      </c>
      <c r="L748" s="893" t="s">
        <v>905</v>
      </c>
      <c r="M748" s="891" t="s">
        <v>921</v>
      </c>
      <c r="N748" s="295"/>
      <c r="O748" s="298"/>
      <c r="P748" s="298"/>
      <c r="Q748" s="294" t="s">
        <v>62</v>
      </c>
      <c r="R748" s="297">
        <v>46069.0</v>
      </c>
      <c r="S748" s="298"/>
      <c r="T748" s="298"/>
      <c r="U748" s="293" t="s">
        <v>3565</v>
      </c>
      <c r="V748" s="297">
        <v>46094.0</v>
      </c>
      <c r="W748" s="298"/>
      <c r="X748" s="298"/>
      <c r="Y748" s="298"/>
      <c r="Z748" s="298"/>
      <c r="AA748" s="295"/>
      <c r="AB748" s="892" t="s">
        <v>3562</v>
      </c>
    </row>
    <row r="749">
      <c r="A749" s="278">
        <v>2003.0</v>
      </c>
      <c r="B749" s="279">
        <v>46049.0</v>
      </c>
      <c r="C749" s="280" t="s">
        <v>917</v>
      </c>
      <c r="D749" s="281"/>
      <c r="E749" s="280" t="s">
        <v>918</v>
      </c>
      <c r="F749" s="280" t="s">
        <v>300</v>
      </c>
      <c r="G749" s="280">
        <v>1.6352067E7</v>
      </c>
      <c r="H749" s="280" t="s">
        <v>886</v>
      </c>
      <c r="I749" s="283" t="s">
        <v>919</v>
      </c>
      <c r="J749" s="284" t="s">
        <v>3563</v>
      </c>
      <c r="K749" s="285" t="s">
        <v>284</v>
      </c>
      <c r="L749" s="893" t="s">
        <v>905</v>
      </c>
      <c r="M749" s="894" t="s">
        <v>921</v>
      </c>
      <c r="N749" s="287"/>
      <c r="O749" s="290"/>
      <c r="P749" s="290"/>
      <c r="Q749" s="286" t="s">
        <v>62</v>
      </c>
      <c r="R749" s="289">
        <v>46069.0</v>
      </c>
      <c r="S749" s="290"/>
      <c r="T749" s="290"/>
      <c r="U749" s="285" t="s">
        <v>3566</v>
      </c>
      <c r="V749" s="289">
        <v>46094.0</v>
      </c>
      <c r="W749" s="290"/>
      <c r="X749" s="290"/>
      <c r="Y749" s="290"/>
      <c r="Z749" s="290"/>
      <c r="AA749" s="287"/>
      <c r="AB749" s="895" t="s">
        <v>3562</v>
      </c>
    </row>
    <row r="750">
      <c r="A750" s="292">
        <v>2004.0</v>
      </c>
      <c r="B750" s="279">
        <v>46049.0</v>
      </c>
      <c r="C750" s="280" t="s">
        <v>917</v>
      </c>
      <c r="D750" s="281"/>
      <c r="E750" s="280" t="s">
        <v>918</v>
      </c>
      <c r="F750" s="280" t="s">
        <v>300</v>
      </c>
      <c r="G750" s="280">
        <v>1.6352068E7</v>
      </c>
      <c r="H750" s="280" t="s">
        <v>886</v>
      </c>
      <c r="I750" s="283" t="s">
        <v>919</v>
      </c>
      <c r="J750" s="284" t="s">
        <v>3563</v>
      </c>
      <c r="K750" s="285" t="s">
        <v>284</v>
      </c>
      <c r="L750" s="893" t="s">
        <v>905</v>
      </c>
      <c r="M750" s="891" t="s">
        <v>921</v>
      </c>
      <c r="N750" s="295"/>
      <c r="O750" s="298"/>
      <c r="P750" s="298"/>
      <c r="Q750" s="294" t="s">
        <v>62</v>
      </c>
      <c r="R750" s="297">
        <v>46069.0</v>
      </c>
      <c r="S750" s="298"/>
      <c r="T750" s="298"/>
      <c r="U750" s="293" t="s">
        <v>3567</v>
      </c>
      <c r="V750" s="297">
        <v>46094.0</v>
      </c>
      <c r="W750" s="298"/>
      <c r="X750" s="298"/>
      <c r="Y750" s="298"/>
      <c r="Z750" s="298"/>
      <c r="AA750" s="295"/>
      <c r="AB750" s="892" t="s">
        <v>3562</v>
      </c>
    </row>
    <row r="751">
      <c r="A751" s="278">
        <v>2013.0</v>
      </c>
      <c r="B751" s="279">
        <v>46056.0</v>
      </c>
      <c r="C751" s="280" t="s">
        <v>1190</v>
      </c>
      <c r="D751" s="281"/>
      <c r="E751" s="280" t="s">
        <v>417</v>
      </c>
      <c r="F751" s="280" t="s">
        <v>300</v>
      </c>
      <c r="G751" s="282">
        <v>1.6340625E7</v>
      </c>
      <c r="H751" s="280" t="s">
        <v>200</v>
      </c>
      <c r="I751" s="283" t="s">
        <v>3568</v>
      </c>
      <c r="J751" s="284" t="s">
        <v>3569</v>
      </c>
      <c r="K751" s="285" t="s">
        <v>420</v>
      </c>
      <c r="L751" s="872" t="s">
        <v>2476</v>
      </c>
      <c r="M751" s="287"/>
      <c r="N751" s="287"/>
      <c r="O751" s="285" t="s">
        <v>62</v>
      </c>
      <c r="P751" s="289">
        <v>46094.0</v>
      </c>
      <c r="Q751" s="290"/>
      <c r="R751" s="290"/>
      <c r="S751" s="290"/>
      <c r="T751" s="290"/>
      <c r="U751" s="285" t="s">
        <v>62</v>
      </c>
      <c r="V751" s="289">
        <v>46115.0</v>
      </c>
      <c r="W751" s="290"/>
      <c r="X751" s="290"/>
      <c r="Y751" s="290"/>
      <c r="Z751" s="290"/>
      <c r="AA751" s="287"/>
      <c r="AB751" s="287"/>
    </row>
    <row r="752">
      <c r="A752" s="292">
        <v>2017.0</v>
      </c>
      <c r="B752" s="866">
        <v>46058.0</v>
      </c>
      <c r="C752" s="867" t="s">
        <v>808</v>
      </c>
      <c r="D752" s="868"/>
      <c r="E752" s="867" t="s">
        <v>506</v>
      </c>
      <c r="F752" s="867" t="s">
        <v>49</v>
      </c>
      <c r="G752" s="869" t="s">
        <v>3570</v>
      </c>
      <c r="H752" s="867" t="s">
        <v>112</v>
      </c>
      <c r="I752" s="870" t="s">
        <v>3571</v>
      </c>
      <c r="J752" s="284" t="s">
        <v>3572</v>
      </c>
      <c r="K752" s="293" t="s">
        <v>811</v>
      </c>
      <c r="L752" s="872" t="s">
        <v>812</v>
      </c>
      <c r="M752" s="294" t="s">
        <v>610</v>
      </c>
      <c r="N752" s="295"/>
      <c r="O752" s="298"/>
      <c r="P752" s="298"/>
      <c r="Q752" s="298"/>
      <c r="R752" s="298"/>
      <c r="S752" s="298"/>
      <c r="T752" s="298"/>
      <c r="U752" s="293" t="s">
        <v>62</v>
      </c>
      <c r="V752" s="297">
        <v>46092.0</v>
      </c>
      <c r="W752" s="298"/>
      <c r="X752" s="298"/>
      <c r="Y752" s="298"/>
      <c r="Z752" s="298"/>
      <c r="AA752" s="295"/>
      <c r="AB752" s="295"/>
    </row>
    <row r="753">
      <c r="A753" s="278">
        <v>2039.0</v>
      </c>
      <c r="B753" s="279">
        <v>46080.0</v>
      </c>
      <c r="C753" s="280" t="s">
        <v>3573</v>
      </c>
      <c r="D753" s="281"/>
      <c r="E753" s="280" t="s">
        <v>3021</v>
      </c>
      <c r="F753" s="281"/>
      <c r="G753" s="282">
        <v>1.534051E7</v>
      </c>
      <c r="H753" s="280" t="s">
        <v>200</v>
      </c>
      <c r="I753" s="283" t="s">
        <v>3574</v>
      </c>
      <c r="J753" s="873" t="s">
        <v>3575</v>
      </c>
      <c r="K753" s="285" t="s">
        <v>3576</v>
      </c>
      <c r="L753" s="299"/>
      <c r="M753" s="286" t="s">
        <v>3577</v>
      </c>
      <c r="N753" s="287"/>
      <c r="O753" s="285" t="s">
        <v>62</v>
      </c>
      <c r="P753" s="289">
        <v>46104.0</v>
      </c>
      <c r="Q753" s="290"/>
      <c r="R753" s="290"/>
      <c r="S753" s="290"/>
      <c r="T753" s="290"/>
      <c r="U753" s="285" t="s">
        <v>62</v>
      </c>
      <c r="V753" s="289">
        <v>46115.0</v>
      </c>
      <c r="W753" s="290"/>
      <c r="X753" s="290"/>
      <c r="Y753" s="290"/>
      <c r="Z753" s="290"/>
      <c r="AA753" s="287"/>
      <c r="AB753" s="287"/>
    </row>
    <row r="754">
      <c r="A754" s="292">
        <v>2042.0</v>
      </c>
      <c r="B754" s="279">
        <v>46083.0</v>
      </c>
      <c r="C754" s="280" t="s">
        <v>1190</v>
      </c>
      <c r="D754" s="281"/>
      <c r="E754" s="280" t="s">
        <v>417</v>
      </c>
      <c r="F754" s="280" t="s">
        <v>300</v>
      </c>
      <c r="G754" s="282">
        <v>1.6340628E7</v>
      </c>
      <c r="H754" s="280" t="s">
        <v>200</v>
      </c>
      <c r="I754" s="283" t="s">
        <v>3578</v>
      </c>
      <c r="J754" s="873" t="s">
        <v>3579</v>
      </c>
      <c r="K754" s="293" t="s">
        <v>420</v>
      </c>
      <c r="L754" s="872" t="s">
        <v>3580</v>
      </c>
      <c r="M754" s="295"/>
      <c r="N754" s="295"/>
      <c r="O754" s="293" t="s">
        <v>62</v>
      </c>
      <c r="P754" s="297">
        <v>46094.0</v>
      </c>
      <c r="Q754" s="298"/>
      <c r="R754" s="298"/>
      <c r="S754" s="298"/>
      <c r="T754" s="298"/>
      <c r="U754" s="293" t="s">
        <v>62</v>
      </c>
      <c r="V754" s="297">
        <v>46115.0</v>
      </c>
      <c r="W754" s="298"/>
      <c r="X754" s="298"/>
      <c r="Y754" s="298"/>
      <c r="Z754" s="298"/>
      <c r="AA754" s="295"/>
      <c r="AB754" s="295"/>
    </row>
    <row r="755">
      <c r="A755" s="877">
        <v>858.0</v>
      </c>
      <c r="B755" s="878">
        <v>45285.0</v>
      </c>
      <c r="C755" s="280" t="s">
        <v>3581</v>
      </c>
      <c r="D755" s="879" t="s">
        <v>29</v>
      </c>
      <c r="E755" s="879" t="s">
        <v>2664</v>
      </c>
      <c r="F755" s="879" t="s">
        <v>49</v>
      </c>
      <c r="G755" s="879" t="s">
        <v>3582</v>
      </c>
      <c r="H755" s="879" t="s">
        <v>51</v>
      </c>
      <c r="I755" s="283" t="s">
        <v>3583</v>
      </c>
      <c r="J755" s="284" t="s">
        <v>3584</v>
      </c>
      <c r="K755" s="303"/>
      <c r="L755" s="300"/>
      <c r="M755" s="295"/>
      <c r="N755" s="295"/>
      <c r="O755" s="880" t="s">
        <v>62</v>
      </c>
      <c r="P755" s="881">
        <v>46100.0</v>
      </c>
      <c r="Q755" s="298"/>
      <c r="R755" s="298"/>
      <c r="S755" s="298"/>
      <c r="T755" s="298"/>
      <c r="U755" s="880" t="s">
        <v>62</v>
      </c>
      <c r="V755" s="896">
        <v>46127.0</v>
      </c>
      <c r="W755" s="298"/>
      <c r="X755" s="298"/>
      <c r="Y755" s="897"/>
      <c r="Z755" s="897"/>
      <c r="AA755" s="898" t="s">
        <v>3585</v>
      </c>
      <c r="AB755" s="884"/>
    </row>
    <row r="756">
      <c r="A756" s="278">
        <v>1676.0</v>
      </c>
      <c r="B756" s="279">
        <v>45813.0</v>
      </c>
      <c r="C756" s="280" t="s">
        <v>2198</v>
      </c>
      <c r="D756" s="280" t="s">
        <v>66</v>
      </c>
      <c r="E756" s="280" t="s">
        <v>404</v>
      </c>
      <c r="F756" s="280" t="s">
        <v>338</v>
      </c>
      <c r="G756" s="280" t="s">
        <v>3586</v>
      </c>
      <c r="H756" s="280" t="s">
        <v>200</v>
      </c>
      <c r="I756" s="283" t="s">
        <v>3587</v>
      </c>
      <c r="J756" s="284" t="s">
        <v>3588</v>
      </c>
      <c r="K756" s="285" t="s">
        <v>2472</v>
      </c>
      <c r="L756" s="302" t="s">
        <v>3589</v>
      </c>
      <c r="M756" s="286" t="s">
        <v>3590</v>
      </c>
      <c r="N756" s="287"/>
      <c r="O756" s="290"/>
      <c r="P756" s="290"/>
      <c r="Q756" s="286" t="s">
        <v>62</v>
      </c>
      <c r="R756" s="289">
        <v>46126.0</v>
      </c>
      <c r="S756" s="290"/>
      <c r="T756" s="290"/>
      <c r="U756" s="285" t="s">
        <v>62</v>
      </c>
      <c r="V756" s="289">
        <v>46128.0</v>
      </c>
      <c r="W756" s="290"/>
      <c r="X756" s="290"/>
      <c r="Y756" s="290"/>
      <c r="Z756" s="290"/>
      <c r="AA756" s="287"/>
      <c r="AB756" s="287"/>
    </row>
    <row r="757">
      <c r="A757" s="292">
        <v>1783.0</v>
      </c>
      <c r="B757" s="279">
        <v>45922.0</v>
      </c>
      <c r="C757" s="280" t="s">
        <v>3591</v>
      </c>
      <c r="D757" s="281"/>
      <c r="E757" s="280" t="s">
        <v>835</v>
      </c>
      <c r="F757" s="280" t="s">
        <v>3592</v>
      </c>
      <c r="G757" s="282">
        <v>1.9470079E7</v>
      </c>
      <c r="H757" s="280" t="s">
        <v>200</v>
      </c>
      <c r="I757" s="283" t="s">
        <v>3593</v>
      </c>
      <c r="J757" s="284" t="s">
        <v>3594</v>
      </c>
      <c r="K757" s="293" t="s">
        <v>50</v>
      </c>
      <c r="L757" s="294" t="s">
        <v>285</v>
      </c>
      <c r="M757" s="294" t="s">
        <v>3595</v>
      </c>
      <c r="N757" s="295"/>
      <c r="O757" s="298"/>
      <c r="P757" s="298"/>
      <c r="Q757" s="298"/>
      <c r="R757" s="298"/>
      <c r="S757" s="298"/>
      <c r="T757" s="298"/>
      <c r="U757" s="293" t="s">
        <v>62</v>
      </c>
      <c r="V757" s="297">
        <v>46121.0</v>
      </c>
      <c r="W757" s="298"/>
      <c r="X757" s="298"/>
      <c r="Y757" s="298"/>
      <c r="Z757" s="298"/>
      <c r="AA757" s="295"/>
      <c r="AB757" s="295"/>
    </row>
    <row r="758">
      <c r="A758" s="278">
        <v>2053.0</v>
      </c>
      <c r="B758" s="279">
        <v>46086.0</v>
      </c>
      <c r="C758" s="280" t="s">
        <v>3596</v>
      </c>
      <c r="D758" s="281"/>
      <c r="E758" s="280" t="s">
        <v>2600</v>
      </c>
      <c r="F758" s="280" t="s">
        <v>2601</v>
      </c>
      <c r="G758" s="282">
        <v>1.8510371E7</v>
      </c>
      <c r="H758" s="280" t="s">
        <v>200</v>
      </c>
      <c r="I758" s="283" t="s">
        <v>925</v>
      </c>
      <c r="J758" s="873" t="s">
        <v>3597</v>
      </c>
      <c r="K758" s="285" t="s">
        <v>2604</v>
      </c>
      <c r="L758" s="872" t="s">
        <v>3598</v>
      </c>
      <c r="M758" s="287"/>
      <c r="N758" s="287"/>
      <c r="O758" s="290"/>
      <c r="P758" s="290"/>
      <c r="Q758" s="286" t="s">
        <v>62</v>
      </c>
      <c r="R758" s="289">
        <v>46105.0</v>
      </c>
      <c r="S758" s="290"/>
      <c r="T758" s="290"/>
      <c r="U758" s="285" t="s">
        <v>62</v>
      </c>
      <c r="V758" s="289">
        <v>46122.0</v>
      </c>
      <c r="W758" s="290"/>
      <c r="X758" s="290"/>
      <c r="Y758" s="290"/>
      <c r="Z758" s="290"/>
      <c r="AA758" s="287"/>
      <c r="AB758" s="287"/>
    </row>
    <row r="759">
      <c r="A759" s="292">
        <v>2055.0</v>
      </c>
      <c r="B759" s="279">
        <v>46087.0</v>
      </c>
      <c r="C759" s="280" t="s">
        <v>874</v>
      </c>
      <c r="D759" s="281"/>
      <c r="E759" s="280" t="s">
        <v>759</v>
      </c>
      <c r="F759" s="280" t="s">
        <v>3599</v>
      </c>
      <c r="G759" s="282" t="s">
        <v>3600</v>
      </c>
      <c r="H759" s="280" t="s">
        <v>200</v>
      </c>
      <c r="I759" s="283" t="s">
        <v>3601</v>
      </c>
      <c r="J759" s="873" t="s">
        <v>3602</v>
      </c>
      <c r="K759" s="293" t="s">
        <v>904</v>
      </c>
      <c r="L759" s="295" t="s">
        <v>905</v>
      </c>
      <c r="M759" s="295" t="s">
        <v>906</v>
      </c>
      <c r="N759" s="295"/>
      <c r="O759" s="298"/>
      <c r="P759" s="298"/>
      <c r="Q759" s="298"/>
      <c r="R759" s="298"/>
      <c r="S759" s="294" t="s">
        <v>62</v>
      </c>
      <c r="T759" s="297">
        <v>46107.0</v>
      </c>
      <c r="U759" s="293" t="s">
        <v>62</v>
      </c>
      <c r="V759" s="297">
        <v>46121.0</v>
      </c>
      <c r="W759" s="298"/>
      <c r="X759" s="298"/>
      <c r="Y759" s="298"/>
      <c r="Z759" s="298"/>
      <c r="AA759" s="295"/>
      <c r="AB759" s="295"/>
    </row>
    <row r="760">
      <c r="A760" s="278">
        <v>2084.0</v>
      </c>
      <c r="B760" s="279">
        <v>46113.0</v>
      </c>
      <c r="C760" s="280" t="s">
        <v>1973</v>
      </c>
      <c r="D760" s="281"/>
      <c r="E760" s="280" t="s">
        <v>2154</v>
      </c>
      <c r="F760" s="280" t="s">
        <v>1305</v>
      </c>
      <c r="G760" s="282">
        <v>1.9110122E7</v>
      </c>
      <c r="H760" s="280" t="s">
        <v>200</v>
      </c>
      <c r="I760" s="283" t="s">
        <v>3603</v>
      </c>
      <c r="J760" s="284" t="s">
        <v>3604</v>
      </c>
      <c r="K760" s="285" t="s">
        <v>1309</v>
      </c>
      <c r="L760" s="302" t="s">
        <v>3605</v>
      </c>
      <c r="M760" s="286" t="s">
        <v>3606</v>
      </c>
      <c r="N760" s="287"/>
      <c r="O760" s="290"/>
      <c r="P760" s="290"/>
      <c r="Q760" s="290"/>
      <c r="R760" s="290"/>
      <c r="S760" s="286" t="s">
        <v>62</v>
      </c>
      <c r="T760" s="899">
        <v>46107.0</v>
      </c>
      <c r="U760" s="285" t="s">
        <v>62</v>
      </c>
      <c r="V760" s="307">
        <v>46121.0</v>
      </c>
      <c r="W760" s="290"/>
      <c r="X760" s="290"/>
      <c r="Y760" s="290"/>
      <c r="Z760" s="290"/>
      <c r="AA760" s="287"/>
      <c r="AB760" s="287"/>
    </row>
    <row r="761">
      <c r="A761" s="292">
        <v>2086.0</v>
      </c>
      <c r="B761" s="866">
        <v>46119.0</v>
      </c>
      <c r="C761" s="867" t="s">
        <v>1172</v>
      </c>
      <c r="D761" s="868"/>
      <c r="E761" s="867" t="s">
        <v>1173</v>
      </c>
      <c r="F761" s="867" t="s">
        <v>3607</v>
      </c>
      <c r="G761" s="869">
        <v>1.6791163E7</v>
      </c>
      <c r="H761" s="867" t="s">
        <v>42</v>
      </c>
      <c r="I761" s="870" t="s">
        <v>3544</v>
      </c>
      <c r="J761" s="284" t="s">
        <v>3608</v>
      </c>
      <c r="K761" s="293" t="s">
        <v>3609</v>
      </c>
      <c r="L761" s="301" t="s">
        <v>1177</v>
      </c>
      <c r="M761" s="294" t="s">
        <v>610</v>
      </c>
      <c r="N761" s="295"/>
      <c r="O761" s="293" t="s">
        <v>62</v>
      </c>
      <c r="P761" s="297">
        <v>46120.0</v>
      </c>
      <c r="Q761" s="298"/>
      <c r="R761" s="298"/>
      <c r="S761" s="295"/>
      <c r="T761" s="874">
        <v>46127.0</v>
      </c>
      <c r="U761" s="293" t="s">
        <v>62</v>
      </c>
      <c r="V761" s="298"/>
      <c r="W761" s="298"/>
      <c r="X761" s="298"/>
      <c r="Y761" s="298"/>
      <c r="Z761" s="298"/>
      <c r="AA761" s="295"/>
      <c r="AB761" s="295"/>
    </row>
    <row r="762">
      <c r="A762" s="278">
        <v>2087.0</v>
      </c>
      <c r="B762" s="279">
        <v>46120.0</v>
      </c>
      <c r="C762" s="280" t="s">
        <v>884</v>
      </c>
      <c r="D762" s="281"/>
      <c r="E762" s="280" t="s">
        <v>885</v>
      </c>
      <c r="F762" s="280" t="s">
        <v>49</v>
      </c>
      <c r="G762" s="282">
        <v>1.5781726E7</v>
      </c>
      <c r="H762" s="280" t="s">
        <v>32</v>
      </c>
      <c r="I762" s="283" t="s">
        <v>3610</v>
      </c>
      <c r="J762" s="284" t="s">
        <v>3611</v>
      </c>
      <c r="K762" s="285" t="s">
        <v>889</v>
      </c>
      <c r="L762" s="302" t="s">
        <v>3612</v>
      </c>
      <c r="M762" s="286" t="s">
        <v>1234</v>
      </c>
      <c r="N762" s="287"/>
      <c r="O762" s="285" t="s">
        <v>62</v>
      </c>
      <c r="P762" s="289">
        <v>46122.0</v>
      </c>
      <c r="Q762" s="290"/>
      <c r="R762" s="290"/>
      <c r="S762" s="287"/>
      <c r="T762" s="290"/>
      <c r="U762" s="285" t="s">
        <v>62</v>
      </c>
      <c r="V762" s="307">
        <v>46126.0</v>
      </c>
      <c r="W762" s="290"/>
      <c r="X762" s="290"/>
      <c r="Y762" s="290"/>
      <c r="Z762" s="290"/>
      <c r="AA762" s="287"/>
      <c r="AB762" s="287"/>
    </row>
    <row r="763">
      <c r="A763" s="900">
        <v>1007.0</v>
      </c>
      <c r="B763" s="901">
        <v>45363.0</v>
      </c>
      <c r="C763" s="902" t="s">
        <v>95</v>
      </c>
      <c r="D763" s="903" t="s">
        <v>29</v>
      </c>
      <c r="E763" s="903" t="s">
        <v>89</v>
      </c>
      <c r="F763" s="903" t="s">
        <v>41</v>
      </c>
      <c r="G763" s="904">
        <v>1.5831154E7</v>
      </c>
      <c r="H763" s="903" t="s">
        <v>51</v>
      </c>
      <c r="I763" s="905" t="s">
        <v>3613</v>
      </c>
      <c r="J763" s="906" t="s">
        <v>3614</v>
      </c>
      <c r="K763" s="880" t="s">
        <v>608</v>
      </c>
      <c r="L763" s="891" t="s">
        <v>511</v>
      </c>
      <c r="M763" s="891" t="s">
        <v>1938</v>
      </c>
      <c r="N763" s="295"/>
      <c r="O763" s="298"/>
      <c r="P763" s="298"/>
      <c r="Q763" s="298"/>
      <c r="R763" s="298"/>
      <c r="S763" s="298"/>
      <c r="T763" s="298"/>
      <c r="U763" s="298"/>
      <c r="V763" s="298"/>
      <c r="W763" s="298"/>
      <c r="X763" s="298"/>
      <c r="Y763" s="298"/>
      <c r="Z763" s="298"/>
      <c r="AA763" s="884"/>
      <c r="AB763" s="884"/>
    </row>
    <row r="764">
      <c r="A764" s="907">
        <v>1115.0</v>
      </c>
      <c r="B764" s="901">
        <v>45454.0</v>
      </c>
      <c r="C764" s="902" t="s">
        <v>3615</v>
      </c>
      <c r="D764" s="903" t="s">
        <v>66</v>
      </c>
      <c r="E764" s="903" t="s">
        <v>159</v>
      </c>
      <c r="F764" s="374"/>
      <c r="G764" s="903" t="s">
        <v>3616</v>
      </c>
      <c r="H764" s="903" t="s">
        <v>120</v>
      </c>
      <c r="I764" s="908" t="s">
        <v>175</v>
      </c>
      <c r="J764" s="909" t="s">
        <v>3617</v>
      </c>
      <c r="K764" s="304"/>
      <c r="L764" s="299"/>
      <c r="M764" s="910" t="s">
        <v>3618</v>
      </c>
      <c r="N764" s="287"/>
      <c r="O764" s="290"/>
      <c r="P764" s="290"/>
      <c r="Q764" s="290"/>
      <c r="R764" s="290"/>
      <c r="S764" s="894" t="s">
        <v>150</v>
      </c>
      <c r="T764" s="911" t="s">
        <v>166</v>
      </c>
      <c r="U764" s="290"/>
      <c r="V764" s="290"/>
      <c r="W764" s="912" t="s">
        <v>3619</v>
      </c>
      <c r="X764" s="290"/>
      <c r="Y764" s="290"/>
      <c r="Z764" s="290"/>
      <c r="AA764" s="913" t="s">
        <v>3620</v>
      </c>
      <c r="AB764" s="914"/>
    </row>
    <row r="765">
      <c r="A765" s="877">
        <v>1171.0</v>
      </c>
      <c r="B765" s="901">
        <v>45484.0</v>
      </c>
      <c r="C765" s="902" t="s">
        <v>1214</v>
      </c>
      <c r="D765" s="903" t="s">
        <v>29</v>
      </c>
      <c r="E765" s="903" t="s">
        <v>3621</v>
      </c>
      <c r="F765" s="903" t="s">
        <v>49</v>
      </c>
      <c r="G765" s="904">
        <v>1.8030775E7</v>
      </c>
      <c r="H765" s="903" t="s">
        <v>103</v>
      </c>
      <c r="I765" s="905" t="s">
        <v>3622</v>
      </c>
      <c r="J765" s="906" t="s">
        <v>3623</v>
      </c>
      <c r="K765" s="880" t="s">
        <v>313</v>
      </c>
      <c r="L765" s="915" t="s">
        <v>3624</v>
      </c>
      <c r="M765" s="891" t="s">
        <v>78</v>
      </c>
      <c r="N765" s="295"/>
      <c r="O765" s="298"/>
      <c r="P765" s="298"/>
      <c r="Q765" s="298"/>
      <c r="R765" s="298"/>
      <c r="S765" s="298"/>
      <c r="T765" s="298"/>
      <c r="U765" s="298"/>
      <c r="V765" s="298"/>
      <c r="W765" s="891" t="s">
        <v>150</v>
      </c>
      <c r="X765" s="298"/>
      <c r="Y765" s="298"/>
      <c r="Z765" s="298"/>
      <c r="AA765" s="916" t="s">
        <v>3620</v>
      </c>
      <c r="AB765" s="884"/>
    </row>
    <row r="766">
      <c r="A766" s="907">
        <v>1176.0</v>
      </c>
      <c r="B766" s="901">
        <v>45492.0</v>
      </c>
      <c r="C766" s="902" t="s">
        <v>3625</v>
      </c>
      <c r="D766" s="917" t="s">
        <v>66</v>
      </c>
      <c r="E766" s="903" t="s">
        <v>3626</v>
      </c>
      <c r="F766" s="903" t="s">
        <v>1459</v>
      </c>
      <c r="G766" s="904">
        <v>1.8690075E7</v>
      </c>
      <c r="H766" s="903" t="s">
        <v>32</v>
      </c>
      <c r="I766" s="905" t="s">
        <v>3627</v>
      </c>
      <c r="J766" s="906" t="s">
        <v>3628</v>
      </c>
      <c r="K766" s="304"/>
      <c r="L766" s="299"/>
      <c r="M766" s="287"/>
      <c r="N766" s="287"/>
      <c r="O766" s="290"/>
      <c r="P766" s="290"/>
      <c r="Q766" s="290"/>
      <c r="R766" s="290"/>
      <c r="S766" s="290"/>
      <c r="T766" s="290"/>
      <c r="U766" s="290"/>
      <c r="V766" s="290"/>
      <c r="W766" s="290"/>
      <c r="X766" s="290"/>
      <c r="Y766" s="290"/>
      <c r="Z766" s="290"/>
      <c r="AA766" s="287"/>
      <c r="AB766" s="914"/>
    </row>
    <row r="767">
      <c r="A767" s="877">
        <v>1189.0</v>
      </c>
      <c r="B767" s="901">
        <v>45455.0</v>
      </c>
      <c r="C767" s="902" t="s">
        <v>2284</v>
      </c>
      <c r="D767" s="903" t="s">
        <v>29</v>
      </c>
      <c r="E767" s="903" t="s">
        <v>227</v>
      </c>
      <c r="F767" s="903" t="s">
        <v>228</v>
      </c>
      <c r="G767" s="904">
        <v>1.962023E7</v>
      </c>
      <c r="H767" s="903" t="s">
        <v>135</v>
      </c>
      <c r="I767" s="905" t="s">
        <v>3629</v>
      </c>
      <c r="J767" s="906" t="s">
        <v>3630</v>
      </c>
      <c r="K767" s="880" t="s">
        <v>231</v>
      </c>
      <c r="L767" s="915" t="s">
        <v>1398</v>
      </c>
      <c r="M767" s="295"/>
      <c r="N767" s="295"/>
      <c r="O767" s="298"/>
      <c r="P767" s="298"/>
      <c r="Q767" s="298"/>
      <c r="R767" s="298"/>
      <c r="S767" s="298"/>
      <c r="T767" s="298"/>
      <c r="U767" s="298"/>
      <c r="V767" s="298"/>
      <c r="W767" s="298"/>
      <c r="X767" s="298"/>
      <c r="Y767" s="298"/>
      <c r="Z767" s="298"/>
      <c r="AA767" s="295"/>
      <c r="AB767" s="884"/>
    </row>
    <row r="768">
      <c r="A768" s="907">
        <v>1274.0</v>
      </c>
      <c r="B768" s="901">
        <v>45537.0</v>
      </c>
      <c r="C768" s="902" t="s">
        <v>204</v>
      </c>
      <c r="D768" s="902" t="s">
        <v>3631</v>
      </c>
      <c r="E768" s="902" t="s">
        <v>205</v>
      </c>
      <c r="F768" s="903" t="s">
        <v>49</v>
      </c>
      <c r="G768" s="903" t="s">
        <v>50</v>
      </c>
      <c r="H768" s="903" t="s">
        <v>51</v>
      </c>
      <c r="I768" s="905" t="s">
        <v>3632</v>
      </c>
      <c r="J768" s="906" t="s">
        <v>3633</v>
      </c>
      <c r="K768" s="918" t="s">
        <v>208</v>
      </c>
      <c r="L768" s="299"/>
      <c r="M768" s="287"/>
      <c r="N768" s="287"/>
      <c r="O768" s="290"/>
      <c r="P768" s="290"/>
      <c r="Q768" s="290"/>
      <c r="R768" s="290"/>
      <c r="S768" s="290"/>
      <c r="T768" s="290"/>
      <c r="U768" s="290"/>
      <c r="V768" s="290"/>
      <c r="W768" s="894" t="s">
        <v>150</v>
      </c>
      <c r="X768" s="290"/>
      <c r="Y768" s="290"/>
      <c r="Z768" s="290"/>
      <c r="AA768" s="913" t="s">
        <v>3620</v>
      </c>
      <c r="AB768" s="914"/>
    </row>
    <row r="769">
      <c r="A769" s="919">
        <v>1309.0</v>
      </c>
      <c r="B769" s="901">
        <v>45583.0</v>
      </c>
      <c r="C769" s="902" t="s">
        <v>1646</v>
      </c>
      <c r="D769" s="902" t="s">
        <v>29</v>
      </c>
      <c r="E769" s="902" t="s">
        <v>48</v>
      </c>
      <c r="F769" s="903" t="s">
        <v>49</v>
      </c>
      <c r="G769" s="903" t="s">
        <v>50</v>
      </c>
      <c r="H769" s="903" t="s">
        <v>51</v>
      </c>
      <c r="I769" s="905" t="s">
        <v>3634</v>
      </c>
      <c r="J769" s="906" t="s">
        <v>3635</v>
      </c>
      <c r="K769" s="880" t="s">
        <v>143</v>
      </c>
      <c r="L769" s="915" t="s">
        <v>3636</v>
      </c>
      <c r="M769" s="891" t="s">
        <v>3637</v>
      </c>
      <c r="N769" s="295"/>
      <c r="O769" s="298"/>
      <c r="P769" s="298"/>
      <c r="Q769" s="298"/>
      <c r="R769" s="298"/>
      <c r="S769" s="298"/>
      <c r="T769" s="298"/>
      <c r="U769" s="298"/>
      <c r="V769" s="298"/>
      <c r="W769" s="298"/>
      <c r="X769" s="298"/>
      <c r="Y769" s="298"/>
      <c r="Z769" s="298"/>
      <c r="AA769" s="916" t="s">
        <v>3638</v>
      </c>
      <c r="AB769" s="898" t="s">
        <v>58</v>
      </c>
    </row>
    <row r="770">
      <c r="A770" s="907">
        <v>1314.0</v>
      </c>
      <c r="B770" s="901">
        <v>45587.0</v>
      </c>
      <c r="C770" s="902" t="s">
        <v>151</v>
      </c>
      <c r="D770" s="902" t="s">
        <v>66</v>
      </c>
      <c r="E770" s="902" t="s">
        <v>152</v>
      </c>
      <c r="F770" s="903" t="s">
        <v>153</v>
      </c>
      <c r="G770" s="904">
        <v>1.6720271E7</v>
      </c>
      <c r="H770" s="903" t="s">
        <v>51</v>
      </c>
      <c r="I770" s="905" t="s">
        <v>3639</v>
      </c>
      <c r="J770" s="906" t="s">
        <v>3640</v>
      </c>
      <c r="K770" s="918" t="s">
        <v>156</v>
      </c>
      <c r="L770" s="910" t="s">
        <v>3641</v>
      </c>
      <c r="M770" s="894" t="s">
        <v>3642</v>
      </c>
      <c r="N770" s="287"/>
      <c r="O770" s="290"/>
      <c r="P770" s="290"/>
      <c r="Q770" s="290"/>
      <c r="R770" s="290"/>
      <c r="S770" s="290"/>
      <c r="T770" s="290"/>
      <c r="U770" s="290"/>
      <c r="V770" s="290"/>
      <c r="W770" s="894" t="s">
        <v>150</v>
      </c>
      <c r="X770" s="290"/>
      <c r="Y770" s="290"/>
      <c r="Z770" s="290"/>
      <c r="AA770" s="913" t="s">
        <v>3620</v>
      </c>
      <c r="AB770" s="914"/>
    </row>
    <row r="771">
      <c r="A771" s="877">
        <v>1327.0</v>
      </c>
      <c r="B771" s="901">
        <v>45594.0</v>
      </c>
      <c r="C771" s="902" t="s">
        <v>1949</v>
      </c>
      <c r="D771" s="902" t="s">
        <v>66</v>
      </c>
      <c r="E771" s="902" t="s">
        <v>759</v>
      </c>
      <c r="F771" s="903" t="s">
        <v>49</v>
      </c>
      <c r="G771" s="903" t="s">
        <v>50</v>
      </c>
      <c r="H771" s="903" t="s">
        <v>200</v>
      </c>
      <c r="I771" s="905" t="s">
        <v>3643</v>
      </c>
      <c r="J771" s="906" t="s">
        <v>3644</v>
      </c>
      <c r="K771" s="880" t="s">
        <v>2232</v>
      </c>
      <c r="L771" s="915" t="s">
        <v>3645</v>
      </c>
      <c r="M771" s="891" t="s">
        <v>3646</v>
      </c>
      <c r="N771" s="295"/>
      <c r="O771" s="298"/>
      <c r="P771" s="298"/>
      <c r="Q771" s="298"/>
      <c r="R771" s="298"/>
      <c r="S771" s="298"/>
      <c r="T771" s="298"/>
      <c r="U771" s="298"/>
      <c r="V771" s="298"/>
      <c r="W771" s="298"/>
      <c r="X771" s="298"/>
      <c r="Y771" s="298"/>
      <c r="Z771" s="298"/>
      <c r="AA771" s="920" t="s">
        <v>2067</v>
      </c>
      <c r="AB771" s="884"/>
    </row>
    <row r="772">
      <c r="A772" s="921">
        <v>1361.0</v>
      </c>
      <c r="B772" s="922">
        <v>45603.0</v>
      </c>
      <c r="C772" s="923" t="s">
        <v>1949</v>
      </c>
      <c r="D772" s="923" t="s">
        <v>66</v>
      </c>
      <c r="E772" s="923" t="s">
        <v>759</v>
      </c>
      <c r="F772" s="924" t="s">
        <v>3647</v>
      </c>
      <c r="G772" s="925">
        <v>1.9080161E7</v>
      </c>
      <c r="H772" s="903" t="s">
        <v>200</v>
      </c>
      <c r="I772" s="905" t="s">
        <v>3648</v>
      </c>
      <c r="J772" s="906" t="s">
        <v>3649</v>
      </c>
      <c r="K772" s="926" t="s">
        <v>904</v>
      </c>
      <c r="L772" s="927" t="s">
        <v>905</v>
      </c>
      <c r="M772" s="927" t="s">
        <v>2189</v>
      </c>
      <c r="N772" s="287"/>
      <c r="O772" s="290"/>
      <c r="P772" s="290"/>
      <c r="Q772" s="290"/>
      <c r="R772" s="290"/>
      <c r="S772" s="927" t="s">
        <v>62</v>
      </c>
      <c r="T772" s="928">
        <v>45632.0</v>
      </c>
      <c r="U772" s="290"/>
      <c r="V772" s="290"/>
      <c r="W772" s="290"/>
      <c r="X772" s="290"/>
      <c r="Y772" s="290"/>
      <c r="Z772" s="290"/>
      <c r="AA772" s="929" t="s">
        <v>2067</v>
      </c>
      <c r="AB772" s="914"/>
    </row>
    <row r="773">
      <c r="A773" s="292">
        <v>1468.0</v>
      </c>
      <c r="B773" s="930">
        <v>45673.0</v>
      </c>
      <c r="C773" s="902" t="s">
        <v>1567</v>
      </c>
      <c r="D773" s="902" t="s">
        <v>29</v>
      </c>
      <c r="E773" s="902" t="s">
        <v>1568</v>
      </c>
      <c r="F773" s="902" t="s">
        <v>310</v>
      </c>
      <c r="G773" s="931">
        <v>1.6270346E7</v>
      </c>
      <c r="H773" s="902" t="s">
        <v>51</v>
      </c>
      <c r="I773" s="905" t="s">
        <v>3650</v>
      </c>
      <c r="J773" s="906" t="s">
        <v>3651</v>
      </c>
      <c r="K773" s="293" t="s">
        <v>1571</v>
      </c>
      <c r="L773" s="300"/>
      <c r="M773" s="295"/>
      <c r="N773" s="295"/>
      <c r="O773" s="298"/>
      <c r="P773" s="298"/>
      <c r="Q773" s="298"/>
      <c r="R773" s="298"/>
      <c r="S773" s="298"/>
      <c r="T773" s="298"/>
      <c r="U773" s="298"/>
      <c r="V773" s="298"/>
      <c r="W773" s="298"/>
      <c r="X773" s="298"/>
      <c r="Y773" s="298"/>
      <c r="Z773" s="298"/>
      <c r="AA773" s="295"/>
      <c r="AB773" s="295"/>
    </row>
    <row r="774">
      <c r="A774" s="278">
        <v>1495.0</v>
      </c>
      <c r="B774" s="930">
        <v>45693.0</v>
      </c>
      <c r="C774" s="902" t="s">
        <v>3652</v>
      </c>
      <c r="D774" s="324" t="s">
        <v>29</v>
      </c>
      <c r="E774" s="902" t="s">
        <v>2406</v>
      </c>
      <c r="F774" s="902" t="s">
        <v>2407</v>
      </c>
      <c r="G774" s="374"/>
      <c r="H774" s="932" t="s">
        <v>135</v>
      </c>
      <c r="I774" s="905" t="s">
        <v>3653</v>
      </c>
      <c r="J774" s="906" t="s">
        <v>3654</v>
      </c>
      <c r="K774" s="285" t="s">
        <v>2410</v>
      </c>
      <c r="L774" s="299"/>
      <c r="M774" s="287"/>
      <c r="N774" s="287"/>
      <c r="O774" s="290"/>
      <c r="P774" s="290"/>
      <c r="Q774" s="290"/>
      <c r="R774" s="290"/>
      <c r="S774" s="290"/>
      <c r="T774" s="290"/>
      <c r="U774" s="290"/>
      <c r="V774" s="290"/>
      <c r="W774" s="933" t="s">
        <v>150</v>
      </c>
      <c r="X774" s="290"/>
      <c r="Y774" s="290"/>
      <c r="Z774" s="290"/>
      <c r="AA774" s="913" t="s">
        <v>3620</v>
      </c>
      <c r="AB774" s="287"/>
    </row>
    <row r="775">
      <c r="A775" s="292">
        <v>1553.0</v>
      </c>
      <c r="B775" s="930">
        <v>45643.0</v>
      </c>
      <c r="C775" s="902" t="s">
        <v>3655</v>
      </c>
      <c r="D775" s="902" t="s">
        <v>66</v>
      </c>
      <c r="E775" s="902" t="s">
        <v>759</v>
      </c>
      <c r="F775" s="902" t="s">
        <v>49</v>
      </c>
      <c r="G775" s="902" t="s">
        <v>3656</v>
      </c>
      <c r="H775" s="902" t="s">
        <v>200</v>
      </c>
      <c r="I775" s="905" t="s">
        <v>3657</v>
      </c>
      <c r="J775" s="906" t="s">
        <v>3658</v>
      </c>
      <c r="K775" s="293" t="s">
        <v>1986</v>
      </c>
      <c r="L775" s="294" t="s">
        <v>524</v>
      </c>
      <c r="M775" s="294" t="s">
        <v>3659</v>
      </c>
      <c r="N775" s="295"/>
      <c r="O775" s="298"/>
      <c r="P775" s="298"/>
      <c r="Q775" s="298"/>
      <c r="R775" s="298"/>
      <c r="S775" s="298"/>
      <c r="T775" s="298"/>
      <c r="U775" s="298"/>
      <c r="V775" s="298"/>
      <c r="W775" s="298"/>
      <c r="X775" s="298"/>
      <c r="Y775" s="298"/>
      <c r="Z775" s="298"/>
      <c r="AA775" s="934" t="s">
        <v>2067</v>
      </c>
      <c r="AB775" s="295"/>
    </row>
    <row r="776">
      <c r="A776" s="278">
        <v>1554.0</v>
      </c>
      <c r="B776" s="930">
        <v>45733.0</v>
      </c>
      <c r="C776" s="902" t="s">
        <v>3660</v>
      </c>
      <c r="D776" s="902" t="s">
        <v>29</v>
      </c>
      <c r="E776" s="902" t="s">
        <v>205</v>
      </c>
      <c r="F776" s="902" t="s">
        <v>49</v>
      </c>
      <c r="G776" s="902" t="s">
        <v>50</v>
      </c>
      <c r="H776" s="902" t="s">
        <v>51</v>
      </c>
      <c r="I776" s="905" t="s">
        <v>3661</v>
      </c>
      <c r="J776" s="906" t="s">
        <v>3662</v>
      </c>
      <c r="K776" s="285" t="s">
        <v>3663</v>
      </c>
      <c r="L776" s="299"/>
      <c r="M776" s="287"/>
      <c r="N776" s="287"/>
      <c r="O776" s="290"/>
      <c r="P776" s="290"/>
      <c r="Q776" s="290"/>
      <c r="R776" s="290"/>
      <c r="S776" s="290"/>
      <c r="T776" s="290"/>
      <c r="U776" s="290"/>
      <c r="V776" s="290"/>
      <c r="W776" s="290"/>
      <c r="X776" s="290"/>
      <c r="Y776" s="290"/>
      <c r="Z776" s="290"/>
      <c r="AA776" s="287"/>
      <c r="AB776" s="287"/>
    </row>
    <row r="777">
      <c r="A777" s="292">
        <v>1596.0</v>
      </c>
      <c r="B777" s="930">
        <v>45750.0</v>
      </c>
      <c r="C777" s="902" t="s">
        <v>2663</v>
      </c>
      <c r="D777" s="902" t="s">
        <v>29</v>
      </c>
      <c r="E777" s="902" t="s">
        <v>2664</v>
      </c>
      <c r="F777" s="902" t="s">
        <v>49</v>
      </c>
      <c r="G777" s="902" t="s">
        <v>50</v>
      </c>
      <c r="H777" s="902" t="s">
        <v>51</v>
      </c>
      <c r="I777" s="905" t="s">
        <v>3387</v>
      </c>
      <c r="J777" s="906" t="s">
        <v>3664</v>
      </c>
      <c r="K777" s="293" t="s">
        <v>2667</v>
      </c>
      <c r="L777" s="300"/>
      <c r="M777" s="295"/>
      <c r="N777" s="295"/>
      <c r="O777" s="298"/>
      <c r="P777" s="298"/>
      <c r="Q777" s="298"/>
      <c r="R777" s="298"/>
      <c r="S777" s="298"/>
      <c r="T777" s="298"/>
      <c r="U777" s="298"/>
      <c r="V777" s="298"/>
      <c r="W777" s="298"/>
      <c r="X777" s="298"/>
      <c r="Y777" s="298"/>
      <c r="Z777" s="298"/>
      <c r="AA777" s="295"/>
      <c r="AB777" s="295"/>
    </row>
    <row r="778">
      <c r="A778" s="278">
        <v>1613.0</v>
      </c>
      <c r="B778" s="930">
        <v>45775.0</v>
      </c>
      <c r="C778" s="902" t="s">
        <v>1567</v>
      </c>
      <c r="D778" s="902" t="s">
        <v>29</v>
      </c>
      <c r="E778" s="902" t="s">
        <v>1568</v>
      </c>
      <c r="F778" s="902" t="s">
        <v>49</v>
      </c>
      <c r="G778" s="931">
        <v>1.6270355E7</v>
      </c>
      <c r="H778" s="902" t="s">
        <v>51</v>
      </c>
      <c r="I778" s="905" t="s">
        <v>3665</v>
      </c>
      <c r="J778" s="906" t="s">
        <v>3666</v>
      </c>
      <c r="K778" s="304"/>
      <c r="L778" s="299"/>
      <c r="M778" s="287"/>
      <c r="N778" s="287"/>
      <c r="O778" s="290"/>
      <c r="P778" s="290"/>
      <c r="Q778" s="290"/>
      <c r="R778" s="290"/>
      <c r="S778" s="290"/>
      <c r="T778" s="290"/>
      <c r="U778" s="290"/>
      <c r="V778" s="290"/>
      <c r="W778" s="290"/>
      <c r="X778" s="290"/>
      <c r="Y778" s="290"/>
      <c r="Z778" s="290"/>
      <c r="AA778" s="287"/>
      <c r="AB778" s="287"/>
    </row>
    <row r="779">
      <c r="A779" s="292">
        <v>1668.0</v>
      </c>
      <c r="B779" s="930">
        <v>45152.0</v>
      </c>
      <c r="C779" s="902" t="s">
        <v>3667</v>
      </c>
      <c r="D779" s="902" t="s">
        <v>29</v>
      </c>
      <c r="E779" s="902" t="s">
        <v>3668</v>
      </c>
      <c r="F779" s="902" t="s">
        <v>3669</v>
      </c>
      <c r="G779" s="931">
        <v>1.8600968E7</v>
      </c>
      <c r="H779" s="902" t="s">
        <v>32</v>
      </c>
      <c r="I779" s="905" t="s">
        <v>3670</v>
      </c>
      <c r="J779" s="906" t="s">
        <v>3671</v>
      </c>
      <c r="K779" s="303"/>
      <c r="L779" s="300"/>
      <c r="M779" s="295"/>
      <c r="N779" s="295"/>
      <c r="O779" s="298"/>
      <c r="P779" s="298"/>
      <c r="Q779" s="298"/>
      <c r="R779" s="298"/>
      <c r="S779" s="298"/>
      <c r="T779" s="298"/>
      <c r="U779" s="298"/>
      <c r="V779" s="298"/>
      <c r="W779" s="298"/>
      <c r="X779" s="298"/>
      <c r="Y779" s="298"/>
      <c r="Z779" s="298"/>
      <c r="AA779" s="295"/>
      <c r="AB779" s="295"/>
    </row>
    <row r="780">
      <c r="A780" s="278">
        <v>1670.0</v>
      </c>
      <c r="B780" s="930">
        <v>45797.0</v>
      </c>
      <c r="C780" s="902" t="s">
        <v>3672</v>
      </c>
      <c r="D780" s="902" t="s">
        <v>66</v>
      </c>
      <c r="E780" s="902" t="s">
        <v>814</v>
      </c>
      <c r="F780" s="902" t="s">
        <v>1305</v>
      </c>
      <c r="G780" s="931">
        <v>1.8020403E7</v>
      </c>
      <c r="H780" s="902" t="s">
        <v>3673</v>
      </c>
      <c r="I780" s="905" t="s">
        <v>3674</v>
      </c>
      <c r="J780" s="906" t="s">
        <v>3675</v>
      </c>
      <c r="K780" s="285" t="s">
        <v>817</v>
      </c>
      <c r="L780" s="286" t="s">
        <v>3676</v>
      </c>
      <c r="M780" s="354" t="s">
        <v>3677</v>
      </c>
      <c r="N780" s="287"/>
      <c r="O780" s="290"/>
      <c r="P780" s="290"/>
      <c r="Q780" s="290"/>
      <c r="R780" s="290"/>
      <c r="S780" s="290"/>
      <c r="T780" s="290"/>
      <c r="U780" s="290"/>
      <c r="V780" s="290"/>
      <c r="W780" s="933" t="s">
        <v>150</v>
      </c>
      <c r="X780" s="290"/>
      <c r="Y780" s="290"/>
      <c r="Z780" s="290"/>
      <c r="AA780" s="913" t="s">
        <v>3620</v>
      </c>
      <c r="AB780" s="287"/>
    </row>
    <row r="781">
      <c r="A781" s="292">
        <v>1679.0</v>
      </c>
      <c r="B781" s="930">
        <v>45817.0</v>
      </c>
      <c r="C781" s="902" t="s">
        <v>3678</v>
      </c>
      <c r="D781" s="902" t="s">
        <v>66</v>
      </c>
      <c r="E781" s="902" t="s">
        <v>506</v>
      </c>
      <c r="F781" s="902" t="s">
        <v>49</v>
      </c>
      <c r="G781" s="902" t="s">
        <v>3679</v>
      </c>
      <c r="H781" s="902" t="s">
        <v>200</v>
      </c>
      <c r="I781" s="905" t="s">
        <v>3680</v>
      </c>
      <c r="J781" s="906" t="s">
        <v>3681</v>
      </c>
      <c r="K781" s="293" t="s">
        <v>811</v>
      </c>
      <c r="L781" s="294" t="s">
        <v>3682</v>
      </c>
      <c r="M781" s="295"/>
      <c r="N781" s="295"/>
      <c r="O781" s="293" t="s">
        <v>174</v>
      </c>
      <c r="P781" s="298"/>
      <c r="Q781" s="298"/>
      <c r="R781" s="298"/>
      <c r="S781" s="298"/>
      <c r="T781" s="298"/>
      <c r="U781" s="298"/>
      <c r="V781" s="298"/>
      <c r="W781" s="935" t="s">
        <v>62</v>
      </c>
      <c r="X781" s="297">
        <v>46112.0</v>
      </c>
      <c r="Y781" s="298"/>
      <c r="Z781" s="298"/>
      <c r="AA781" s="295"/>
      <c r="AB781" s="295"/>
    </row>
    <row r="782">
      <c r="A782" s="278">
        <v>1682.0</v>
      </c>
      <c r="B782" s="930">
        <v>45820.0</v>
      </c>
      <c r="C782" s="902" t="s">
        <v>3530</v>
      </c>
      <c r="D782" s="902" t="s">
        <v>66</v>
      </c>
      <c r="E782" s="902" t="s">
        <v>3301</v>
      </c>
      <c r="F782" s="902" t="s">
        <v>160</v>
      </c>
      <c r="G782" s="931">
        <v>1.761165E7</v>
      </c>
      <c r="H782" s="902" t="s">
        <v>120</v>
      </c>
      <c r="I782" s="905" t="s">
        <v>3683</v>
      </c>
      <c r="J782" s="906" t="s">
        <v>3684</v>
      </c>
      <c r="K782" s="304"/>
      <c r="L782" s="299"/>
      <c r="M782" s="287"/>
      <c r="N782" s="287"/>
      <c r="O782" s="290"/>
      <c r="P782" s="290"/>
      <c r="Q782" s="290"/>
      <c r="R782" s="290"/>
      <c r="S782" s="290"/>
      <c r="T782" s="290"/>
      <c r="U782" s="290"/>
      <c r="V782" s="290"/>
      <c r="W782" s="933" t="s">
        <v>150</v>
      </c>
      <c r="X782" s="290"/>
      <c r="Y782" s="290"/>
      <c r="Z782" s="290"/>
      <c r="AA782" s="913" t="s">
        <v>3620</v>
      </c>
      <c r="AB782" s="287"/>
    </row>
    <row r="783">
      <c r="A783" s="292">
        <v>1684.0</v>
      </c>
      <c r="B783" s="930">
        <v>45820.0</v>
      </c>
      <c r="C783" s="902" t="s">
        <v>3685</v>
      </c>
      <c r="D783" s="902" t="s">
        <v>66</v>
      </c>
      <c r="E783" s="902" t="s">
        <v>159</v>
      </c>
      <c r="F783" s="902" t="s">
        <v>160</v>
      </c>
      <c r="G783" s="936">
        <v>1.917081E7</v>
      </c>
      <c r="H783" s="903" t="s">
        <v>120</v>
      </c>
      <c r="I783" s="905" t="s">
        <v>3686</v>
      </c>
      <c r="J783" s="906" t="s">
        <v>3684</v>
      </c>
      <c r="K783" s="303"/>
      <c r="L783" s="300"/>
      <c r="M783" s="295"/>
      <c r="N783" s="295"/>
      <c r="O783" s="298"/>
      <c r="P783" s="298"/>
      <c r="Q783" s="298"/>
      <c r="R783" s="298"/>
      <c r="S783" s="298"/>
      <c r="T783" s="298"/>
      <c r="U783" s="298"/>
      <c r="V783" s="298"/>
      <c r="W783" s="937" t="s">
        <v>3687</v>
      </c>
      <c r="X783" s="298"/>
      <c r="Y783" s="298"/>
      <c r="Z783" s="298"/>
      <c r="AA783" s="916" t="s">
        <v>3620</v>
      </c>
      <c r="AB783" s="295"/>
    </row>
    <row r="784">
      <c r="A784" s="278">
        <v>1694.0</v>
      </c>
      <c r="B784" s="930">
        <v>45840.0</v>
      </c>
      <c r="C784" s="902" t="s">
        <v>3688</v>
      </c>
      <c r="D784" s="902" t="s">
        <v>66</v>
      </c>
      <c r="E784" s="902" t="s">
        <v>1304</v>
      </c>
      <c r="F784" s="902" t="s">
        <v>3689</v>
      </c>
      <c r="G784" s="902" t="s">
        <v>3690</v>
      </c>
      <c r="H784" s="902" t="s">
        <v>200</v>
      </c>
      <c r="I784" s="905" t="s">
        <v>3603</v>
      </c>
      <c r="J784" s="906" t="s">
        <v>3691</v>
      </c>
      <c r="K784" s="285" t="s">
        <v>1309</v>
      </c>
      <c r="L784" s="302" t="s">
        <v>3605</v>
      </c>
      <c r="M784" s="286" t="s">
        <v>3606</v>
      </c>
      <c r="N784" s="287"/>
      <c r="O784" s="290"/>
      <c r="P784" s="290"/>
      <c r="Q784" s="290"/>
      <c r="R784" s="290"/>
      <c r="S784" s="290"/>
      <c r="T784" s="290"/>
      <c r="U784" s="290"/>
      <c r="V784" s="290"/>
      <c r="W784" s="290"/>
      <c r="X784" s="290"/>
      <c r="Y784" s="290"/>
      <c r="Z784" s="290"/>
      <c r="AA784" s="287"/>
      <c r="AB784" s="287"/>
    </row>
    <row r="785">
      <c r="A785" s="292">
        <v>1831.0</v>
      </c>
      <c r="B785" s="930">
        <v>45957.0</v>
      </c>
      <c r="C785" s="902" t="s">
        <v>1949</v>
      </c>
      <c r="D785" s="374"/>
      <c r="E785" s="902" t="s">
        <v>759</v>
      </c>
      <c r="F785" s="902" t="s">
        <v>2194</v>
      </c>
      <c r="G785" s="902" t="s">
        <v>50</v>
      </c>
      <c r="H785" s="902" t="s">
        <v>516</v>
      </c>
      <c r="I785" s="905" t="s">
        <v>3692</v>
      </c>
      <c r="J785" s="906" t="s">
        <v>3693</v>
      </c>
      <c r="K785" s="293" t="s">
        <v>2197</v>
      </c>
      <c r="L785" s="294" t="s">
        <v>3694</v>
      </c>
      <c r="M785" s="294" t="s">
        <v>3695</v>
      </c>
      <c r="N785" s="295"/>
      <c r="O785" s="293" t="s">
        <v>62</v>
      </c>
      <c r="P785" s="297">
        <v>45967.0</v>
      </c>
      <c r="Q785" s="298"/>
      <c r="R785" s="298"/>
      <c r="S785" s="298"/>
      <c r="T785" s="298"/>
      <c r="U785" s="298"/>
      <c r="V785" s="298"/>
      <c r="W785" s="298"/>
      <c r="X785" s="298"/>
      <c r="Y785" s="298"/>
      <c r="Z785" s="298"/>
      <c r="AA785" s="295"/>
      <c r="AB785" s="295"/>
    </row>
    <row r="786">
      <c r="A786" s="278">
        <v>2064.0</v>
      </c>
      <c r="B786" s="930">
        <v>46097.0</v>
      </c>
      <c r="C786" s="902" t="s">
        <v>3696</v>
      </c>
      <c r="D786" s="374"/>
      <c r="E786" s="902" t="s">
        <v>2950</v>
      </c>
      <c r="F786" s="902" t="s">
        <v>721</v>
      </c>
      <c r="G786" s="931">
        <v>1.8210071E7</v>
      </c>
      <c r="H786" s="902" t="s">
        <v>831</v>
      </c>
      <c r="I786" s="905" t="s">
        <v>3697</v>
      </c>
      <c r="J786" s="938" t="s">
        <v>3698</v>
      </c>
      <c r="K786" s="285" t="s">
        <v>3699</v>
      </c>
      <c r="L786" s="299"/>
      <c r="M786" s="287"/>
      <c r="N786" s="287"/>
      <c r="O786" s="290"/>
      <c r="P786" s="290"/>
      <c r="Q786" s="290"/>
      <c r="R786" s="290"/>
      <c r="S786" s="290"/>
      <c r="T786" s="290"/>
      <c r="U786" s="290"/>
      <c r="V786" s="290"/>
      <c r="W786" s="290"/>
      <c r="X786" s="290"/>
      <c r="Y786" s="290"/>
      <c r="Z786" s="290"/>
      <c r="AA786" s="287"/>
      <c r="AB786" s="287"/>
    </row>
    <row r="787">
      <c r="A787" s="292">
        <v>1943.0</v>
      </c>
      <c r="B787" s="279">
        <v>45999.0</v>
      </c>
      <c r="C787" s="280" t="s">
        <v>3700</v>
      </c>
      <c r="D787" s="281"/>
      <c r="E787" s="280" t="s">
        <v>3701</v>
      </c>
      <c r="F787" s="280" t="s">
        <v>300</v>
      </c>
      <c r="G787" s="282">
        <v>2.0260005E7</v>
      </c>
      <c r="H787" s="280" t="s">
        <v>859</v>
      </c>
      <c r="I787" s="283" t="s">
        <v>3702</v>
      </c>
      <c r="J787" s="284" t="s">
        <v>3703</v>
      </c>
      <c r="K787" s="293" t="s">
        <v>3704</v>
      </c>
      <c r="L787" s="295"/>
      <c r="M787" s="295"/>
      <c r="N787" s="295"/>
      <c r="O787" s="293" t="s">
        <v>62</v>
      </c>
      <c r="P787" s="297">
        <v>46062.0</v>
      </c>
      <c r="Q787" s="298"/>
      <c r="R787" s="298"/>
      <c r="S787" s="298"/>
      <c r="T787" s="298"/>
      <c r="U787" s="293" t="s">
        <v>62</v>
      </c>
      <c r="V787" s="297">
        <v>46065.0</v>
      </c>
      <c r="W787" s="298"/>
      <c r="X787" s="298"/>
      <c r="Y787" s="298"/>
      <c r="Z787" s="298"/>
      <c r="AA787" s="295"/>
      <c r="AB787" s="295"/>
    </row>
    <row r="788">
      <c r="A788" s="278">
        <v>2007.0</v>
      </c>
      <c r="B788" s="279">
        <v>46050.0</v>
      </c>
      <c r="C788" s="280" t="s">
        <v>3705</v>
      </c>
      <c r="D788" s="281"/>
      <c r="E788" s="280" t="s">
        <v>3706</v>
      </c>
      <c r="F788" s="280" t="s">
        <v>49</v>
      </c>
      <c r="G788" s="280" t="s">
        <v>3707</v>
      </c>
      <c r="H788" s="280" t="s">
        <v>348</v>
      </c>
      <c r="I788" s="283" t="s">
        <v>3708</v>
      </c>
      <c r="J788" s="284" t="s">
        <v>3709</v>
      </c>
      <c r="K788" s="285" t="s">
        <v>811</v>
      </c>
      <c r="L788" s="872" t="s">
        <v>3710</v>
      </c>
      <c r="M788" s="894" t="s">
        <v>3711</v>
      </c>
      <c r="N788" s="287"/>
      <c r="O788" s="290"/>
      <c r="P788" s="290"/>
      <c r="Q788" s="290"/>
      <c r="R788" s="290"/>
      <c r="S788" s="286" t="s">
        <v>62</v>
      </c>
      <c r="T788" s="289">
        <v>46125.0</v>
      </c>
      <c r="U788" s="285" t="s">
        <v>62</v>
      </c>
      <c r="V788" s="289">
        <v>46135.0</v>
      </c>
      <c r="W788" s="290"/>
      <c r="X788" s="290"/>
      <c r="Y788" s="290"/>
      <c r="Z788" s="290"/>
      <c r="AA788" s="287"/>
      <c r="AB788" s="287"/>
    </row>
    <row r="789">
      <c r="A789" s="292">
        <v>2011.0</v>
      </c>
      <c r="B789" s="279">
        <v>46055.0</v>
      </c>
      <c r="C789" s="280" t="s">
        <v>937</v>
      </c>
      <c r="D789" s="281"/>
      <c r="E789" s="280" t="s">
        <v>814</v>
      </c>
      <c r="F789" s="280" t="s">
        <v>240</v>
      </c>
      <c r="G789" s="282">
        <v>1.8020408E7</v>
      </c>
      <c r="H789" s="280" t="s">
        <v>32</v>
      </c>
      <c r="I789" s="283" t="s">
        <v>3712</v>
      </c>
      <c r="J789" s="939" t="s">
        <v>3713</v>
      </c>
      <c r="K789" s="285" t="s">
        <v>817</v>
      </c>
      <c r="L789" s="299"/>
      <c r="M789" s="295"/>
      <c r="N789" s="295"/>
      <c r="O789" s="298"/>
      <c r="P789" s="298"/>
      <c r="Q789" s="294" t="s">
        <v>62</v>
      </c>
      <c r="R789" s="297">
        <v>46057.0</v>
      </c>
      <c r="S789" s="298"/>
      <c r="T789" s="298"/>
      <c r="U789" s="293" t="s">
        <v>62</v>
      </c>
      <c r="V789" s="297">
        <v>46114.0</v>
      </c>
      <c r="W789" s="298"/>
      <c r="X789" s="298"/>
      <c r="Y789" s="298"/>
      <c r="Z789" s="298"/>
      <c r="AA789" s="295"/>
      <c r="AB789" s="295"/>
    </row>
    <row r="790">
      <c r="A790" s="278">
        <v>2016.0</v>
      </c>
      <c r="B790" s="279">
        <v>46056.0</v>
      </c>
      <c r="C790" s="280" t="s">
        <v>968</v>
      </c>
      <c r="D790" s="281"/>
      <c r="E790" s="280" t="s">
        <v>954</v>
      </c>
      <c r="F790" s="280" t="s">
        <v>949</v>
      </c>
      <c r="G790" s="282">
        <v>2.0290011E7</v>
      </c>
      <c r="H790" s="280" t="s">
        <v>103</v>
      </c>
      <c r="I790" s="283" t="s">
        <v>3714</v>
      </c>
      <c r="J790" s="284" t="s">
        <v>3715</v>
      </c>
      <c r="K790" s="285" t="s">
        <v>952</v>
      </c>
      <c r="L790" s="299"/>
      <c r="M790" s="287"/>
      <c r="N790" s="287"/>
      <c r="O790" s="290"/>
      <c r="P790" s="290"/>
      <c r="Q790" s="290"/>
      <c r="R790" s="290"/>
      <c r="S790" s="290"/>
      <c r="T790" s="290"/>
      <c r="U790" s="285" t="s">
        <v>62</v>
      </c>
      <c r="V790" s="289">
        <v>46104.0</v>
      </c>
      <c r="W790" s="290"/>
      <c r="X790" s="290"/>
      <c r="Y790" s="290"/>
      <c r="Z790" s="290"/>
      <c r="AA790" s="287"/>
      <c r="AB790" s="287"/>
    </row>
    <row r="791">
      <c r="A791" s="292">
        <v>2088.0</v>
      </c>
      <c r="B791" s="279">
        <v>46120.0</v>
      </c>
      <c r="C791" s="280" t="s">
        <v>884</v>
      </c>
      <c r="D791" s="281"/>
      <c r="E791" s="280" t="s">
        <v>885</v>
      </c>
      <c r="F791" s="280" t="s">
        <v>49</v>
      </c>
      <c r="G791" s="282">
        <v>1.5781727E7</v>
      </c>
      <c r="H791" s="280" t="s">
        <v>32</v>
      </c>
      <c r="I791" s="283" t="s">
        <v>3716</v>
      </c>
      <c r="J791" s="284" t="s">
        <v>3717</v>
      </c>
      <c r="K791" s="293" t="s">
        <v>889</v>
      </c>
      <c r="L791" s="301" t="s">
        <v>1278</v>
      </c>
      <c r="M791" s="294" t="s">
        <v>1234</v>
      </c>
      <c r="N791" s="295"/>
      <c r="O791" s="293" t="s">
        <v>62</v>
      </c>
      <c r="P791" s="297">
        <v>46122.0</v>
      </c>
      <c r="Q791" s="298"/>
      <c r="R791" s="298"/>
      <c r="S791" s="295"/>
      <c r="T791" s="298"/>
      <c r="U791" s="293" t="s">
        <v>62</v>
      </c>
      <c r="V791" s="308">
        <v>46135.0</v>
      </c>
      <c r="W791" s="298"/>
      <c r="X791" s="298"/>
      <c r="Y791" s="298"/>
      <c r="Z791" s="298"/>
      <c r="AA791" s="295"/>
      <c r="AB791" s="295"/>
    </row>
    <row r="792">
      <c r="A792" s="278">
        <v>2089.0</v>
      </c>
      <c r="B792" s="279">
        <v>46120.0</v>
      </c>
      <c r="C792" s="280" t="s">
        <v>884</v>
      </c>
      <c r="D792" s="281"/>
      <c r="E792" s="280" t="s">
        <v>885</v>
      </c>
      <c r="F792" s="280" t="s">
        <v>49</v>
      </c>
      <c r="G792" s="282">
        <v>1.5781728E7</v>
      </c>
      <c r="H792" s="280" t="s">
        <v>32</v>
      </c>
      <c r="I792" s="283" t="s">
        <v>3718</v>
      </c>
      <c r="J792" s="284" t="s">
        <v>3719</v>
      </c>
      <c r="K792" s="285" t="s">
        <v>889</v>
      </c>
      <c r="L792" s="302" t="s">
        <v>3720</v>
      </c>
      <c r="M792" s="286" t="s">
        <v>1234</v>
      </c>
      <c r="N792" s="287"/>
      <c r="O792" s="285" t="s">
        <v>62</v>
      </c>
      <c r="P792" s="289">
        <v>46122.0</v>
      </c>
      <c r="Q792" s="290"/>
      <c r="R792" s="290"/>
      <c r="S792" s="287"/>
      <c r="T792" s="290"/>
      <c r="U792" s="285" t="s">
        <v>62</v>
      </c>
      <c r="V792" s="307">
        <v>46135.0</v>
      </c>
      <c r="W792" s="290"/>
      <c r="X792" s="290"/>
      <c r="Y792" s="290"/>
      <c r="Z792" s="290"/>
      <c r="AA792" s="287"/>
      <c r="AB792" s="287"/>
    </row>
    <row r="793">
      <c r="A793" s="292">
        <v>2090.0</v>
      </c>
      <c r="B793" s="279">
        <v>46120.0</v>
      </c>
      <c r="C793" s="280" t="s">
        <v>884</v>
      </c>
      <c r="D793" s="281"/>
      <c r="E793" s="280" t="s">
        <v>885</v>
      </c>
      <c r="F793" s="280" t="s">
        <v>49</v>
      </c>
      <c r="G793" s="282">
        <v>1.5781729E7</v>
      </c>
      <c r="H793" s="280" t="s">
        <v>32</v>
      </c>
      <c r="I793" s="283" t="s">
        <v>3721</v>
      </c>
      <c r="J793" s="284" t="s">
        <v>3717</v>
      </c>
      <c r="K793" s="293" t="s">
        <v>889</v>
      </c>
      <c r="L793" s="301" t="s">
        <v>3722</v>
      </c>
      <c r="M793" s="294" t="s">
        <v>1234</v>
      </c>
      <c r="N793" s="295"/>
      <c r="O793" s="293" t="s">
        <v>62</v>
      </c>
      <c r="P793" s="297">
        <v>46122.0</v>
      </c>
      <c r="Q793" s="298"/>
      <c r="R793" s="298"/>
      <c r="S793" s="295"/>
      <c r="T793" s="298"/>
      <c r="U793" s="293" t="s">
        <v>62</v>
      </c>
      <c r="V793" s="308">
        <v>46135.0</v>
      </c>
      <c r="W793" s="298"/>
      <c r="X793" s="298"/>
      <c r="Y793" s="298"/>
      <c r="Z793" s="298"/>
      <c r="AA793" s="295"/>
      <c r="AB793" s="295"/>
    </row>
    <row r="794">
      <c r="A794" s="278">
        <v>2091.0</v>
      </c>
      <c r="B794" s="279">
        <v>46120.0</v>
      </c>
      <c r="C794" s="280" t="s">
        <v>884</v>
      </c>
      <c r="D794" s="281"/>
      <c r="E794" s="280" t="s">
        <v>885</v>
      </c>
      <c r="F794" s="280" t="s">
        <v>49</v>
      </c>
      <c r="G794" s="282">
        <v>1.578173E7</v>
      </c>
      <c r="H794" s="280" t="s">
        <v>32</v>
      </c>
      <c r="I794" s="283" t="s">
        <v>3723</v>
      </c>
      <c r="J794" s="284" t="s">
        <v>3717</v>
      </c>
      <c r="K794" s="285" t="s">
        <v>889</v>
      </c>
      <c r="L794" s="302" t="s">
        <v>1276</v>
      </c>
      <c r="M794" s="286" t="s">
        <v>1234</v>
      </c>
      <c r="N794" s="287"/>
      <c r="O794" s="285" t="s">
        <v>62</v>
      </c>
      <c r="P794" s="289">
        <v>46122.0</v>
      </c>
      <c r="Q794" s="290"/>
      <c r="R794" s="290"/>
      <c r="S794" s="287"/>
      <c r="T794" s="290"/>
      <c r="U794" s="285" t="s">
        <v>62</v>
      </c>
      <c r="V794" s="307">
        <v>46135.0</v>
      </c>
      <c r="W794" s="290"/>
      <c r="X794" s="290"/>
      <c r="Y794" s="290"/>
      <c r="Z794" s="290"/>
      <c r="AA794" s="287"/>
      <c r="AB794" s="287"/>
    </row>
    <row r="795">
      <c r="A795" s="292">
        <v>2102.0</v>
      </c>
      <c r="B795" s="279">
        <v>46139.0</v>
      </c>
      <c r="C795" s="940" t="s">
        <v>2020</v>
      </c>
      <c r="D795" s="281"/>
      <c r="E795" s="280" t="s">
        <v>2021</v>
      </c>
      <c r="F795" s="280" t="s">
        <v>1865</v>
      </c>
      <c r="G795" s="282">
        <v>1.6363789E7</v>
      </c>
      <c r="H795" s="280" t="s">
        <v>42</v>
      </c>
      <c r="I795" s="283" t="s">
        <v>3724</v>
      </c>
      <c r="J795" s="284" t="s">
        <v>3725</v>
      </c>
      <c r="K795" s="293" t="s">
        <v>3726</v>
      </c>
      <c r="L795" s="301" t="s">
        <v>3727</v>
      </c>
      <c r="M795" s="941" t="s">
        <v>3728</v>
      </c>
      <c r="N795" s="295"/>
      <c r="O795" s="293" t="s">
        <v>62</v>
      </c>
      <c r="P795" s="297">
        <v>46139.0</v>
      </c>
      <c r="Q795" s="298"/>
      <c r="R795" s="298"/>
      <c r="S795" s="295"/>
      <c r="T795" s="298"/>
      <c r="U795" s="293" t="s">
        <v>62</v>
      </c>
      <c r="V795" s="308">
        <v>46139.0</v>
      </c>
      <c r="W795" s="298"/>
      <c r="X795" s="298"/>
      <c r="Y795" s="298"/>
      <c r="Z795" s="298"/>
      <c r="AA795" s="295"/>
      <c r="AB795" s="295"/>
    </row>
    <row r="796">
      <c r="A796" s="292">
        <v>1667.0</v>
      </c>
      <c r="B796" s="942">
        <v>45805.0</v>
      </c>
      <c r="C796" s="280" t="s">
        <v>1973</v>
      </c>
      <c r="D796" s="280" t="s">
        <v>66</v>
      </c>
      <c r="E796" s="280" t="s">
        <v>2154</v>
      </c>
      <c r="F796" s="280" t="s">
        <v>1305</v>
      </c>
      <c r="G796" s="282">
        <v>1.9110116E7</v>
      </c>
      <c r="H796" s="280" t="s">
        <v>200</v>
      </c>
      <c r="I796" s="283" t="s">
        <v>3729</v>
      </c>
      <c r="J796" s="284" t="s">
        <v>3730</v>
      </c>
      <c r="K796" s="293" t="s">
        <v>1309</v>
      </c>
      <c r="L796" s="301" t="s">
        <v>3731</v>
      </c>
      <c r="M796" s="295"/>
      <c r="N796" s="295"/>
      <c r="O796" s="298"/>
      <c r="P796" s="298"/>
      <c r="Q796" s="298"/>
      <c r="R796" s="298"/>
      <c r="S796" s="294" t="s">
        <v>62</v>
      </c>
      <c r="T796" s="297">
        <v>45905.0</v>
      </c>
      <c r="U796" s="293" t="s">
        <v>62</v>
      </c>
      <c r="V796" s="297">
        <v>46156.0</v>
      </c>
      <c r="W796" s="298"/>
      <c r="X796" s="298"/>
      <c r="Y796" s="298"/>
      <c r="Z796" s="298"/>
      <c r="AA796" s="295"/>
      <c r="AB796" s="295"/>
    </row>
    <row r="797">
      <c r="A797" s="278">
        <v>1688.0</v>
      </c>
      <c r="B797" s="942">
        <v>45828.0</v>
      </c>
      <c r="C797" s="280" t="s">
        <v>3732</v>
      </c>
      <c r="D797" s="280" t="s">
        <v>359</v>
      </c>
      <c r="E797" s="280" t="s">
        <v>367</v>
      </c>
      <c r="F797" s="280" t="s">
        <v>49</v>
      </c>
      <c r="G797" s="282">
        <v>1.4882801E7</v>
      </c>
      <c r="H797" s="280" t="s">
        <v>120</v>
      </c>
      <c r="I797" s="283" t="s">
        <v>3733</v>
      </c>
      <c r="J797" s="284" t="s">
        <v>3734</v>
      </c>
      <c r="K797" s="285" t="s">
        <v>370</v>
      </c>
      <c r="L797" s="286" t="s">
        <v>3735</v>
      </c>
      <c r="M797" s="286" t="s">
        <v>3736</v>
      </c>
      <c r="N797" s="287"/>
      <c r="O797" s="285" t="s">
        <v>62</v>
      </c>
      <c r="P797" s="289">
        <v>45869.0</v>
      </c>
      <c r="Q797" s="290"/>
      <c r="R797" s="290"/>
      <c r="S797" s="290"/>
      <c r="T797" s="290"/>
      <c r="U797" s="285" t="s">
        <v>62</v>
      </c>
      <c r="V797" s="289">
        <v>46142.0</v>
      </c>
      <c r="W797" s="290"/>
      <c r="X797" s="290"/>
      <c r="Y797" s="290"/>
      <c r="Z797" s="290"/>
      <c r="AA797" s="287"/>
      <c r="AB797" s="287"/>
    </row>
    <row r="798">
      <c r="A798" s="292">
        <v>1747.0</v>
      </c>
      <c r="B798" s="942">
        <v>45898.0</v>
      </c>
      <c r="C798" s="280" t="s">
        <v>1478</v>
      </c>
      <c r="D798" s="280" t="s">
        <v>29</v>
      </c>
      <c r="E798" s="280" t="s">
        <v>588</v>
      </c>
      <c r="F798" s="280" t="s">
        <v>589</v>
      </c>
      <c r="G798" s="282">
        <v>1.950009E7</v>
      </c>
      <c r="H798" s="280" t="s">
        <v>51</v>
      </c>
      <c r="I798" s="283" t="s">
        <v>3737</v>
      </c>
      <c r="J798" s="284" t="s">
        <v>3738</v>
      </c>
      <c r="K798" s="943" t="s">
        <v>592</v>
      </c>
      <c r="L798" s="294" t="s">
        <v>3739</v>
      </c>
      <c r="M798" s="294" t="s">
        <v>873</v>
      </c>
      <c r="N798" s="295"/>
      <c r="O798" s="298"/>
      <c r="P798" s="298"/>
      <c r="Q798" s="298"/>
      <c r="R798" s="298"/>
      <c r="S798" s="298"/>
      <c r="T798" s="298"/>
      <c r="U798" s="293" t="s">
        <v>62</v>
      </c>
      <c r="V798" s="297">
        <v>46141.0</v>
      </c>
      <c r="W798" s="298"/>
      <c r="X798" s="298"/>
      <c r="Y798" s="298"/>
      <c r="Z798" s="298"/>
      <c r="AA798" s="295"/>
      <c r="AB798" s="295"/>
    </row>
    <row r="799">
      <c r="A799" s="278">
        <v>1824.0</v>
      </c>
      <c r="B799" s="942">
        <v>45953.0</v>
      </c>
      <c r="C799" s="280" t="s">
        <v>834</v>
      </c>
      <c r="D799" s="280" t="s">
        <v>29</v>
      </c>
      <c r="E799" s="280" t="s">
        <v>835</v>
      </c>
      <c r="F799" s="280" t="s">
        <v>3592</v>
      </c>
      <c r="G799" s="282">
        <v>1.9470023E7</v>
      </c>
      <c r="H799" s="280" t="s">
        <v>200</v>
      </c>
      <c r="I799" s="283" t="s">
        <v>3740</v>
      </c>
      <c r="J799" s="284" t="s">
        <v>3741</v>
      </c>
      <c r="K799" s="285" t="s">
        <v>3742</v>
      </c>
      <c r="L799" s="302" t="s">
        <v>352</v>
      </c>
      <c r="M799" s="286" t="s">
        <v>3743</v>
      </c>
      <c r="N799" s="287"/>
      <c r="O799" s="285" t="s">
        <v>62</v>
      </c>
      <c r="P799" s="289">
        <v>46136.0</v>
      </c>
      <c r="Q799" s="290"/>
      <c r="R799" s="290"/>
      <c r="S799" s="290"/>
      <c r="T799" s="290"/>
      <c r="U799" s="285" t="s">
        <v>62</v>
      </c>
      <c r="V799" s="944">
        <v>46156.0</v>
      </c>
      <c r="W799" s="290"/>
      <c r="X799" s="290"/>
      <c r="Y799" s="290"/>
      <c r="Z799" s="290"/>
      <c r="AA799" s="287"/>
      <c r="AB799" s="287"/>
    </row>
    <row r="800">
      <c r="A800" s="292">
        <v>1837.0</v>
      </c>
      <c r="B800" s="945">
        <v>45960.0</v>
      </c>
      <c r="C800" s="940" t="s">
        <v>1760</v>
      </c>
      <c r="D800" s="281"/>
      <c r="E800" s="940" t="s">
        <v>768</v>
      </c>
      <c r="F800" s="940" t="s">
        <v>327</v>
      </c>
      <c r="G800" s="940" t="s">
        <v>3744</v>
      </c>
      <c r="H800" s="940" t="s">
        <v>200</v>
      </c>
      <c r="I800" s="946" t="s">
        <v>3373</v>
      </c>
      <c r="J800" s="947" t="s">
        <v>3745</v>
      </c>
      <c r="K800" s="293" t="s">
        <v>3375</v>
      </c>
      <c r="L800" s="301" t="s">
        <v>1077</v>
      </c>
      <c r="M800" s="294" t="s">
        <v>3746</v>
      </c>
      <c r="N800" s="295"/>
      <c r="O800" s="298"/>
      <c r="P800" s="298"/>
      <c r="Q800" s="295"/>
      <c r="R800" s="298"/>
      <c r="S800" s="294" t="s">
        <v>62</v>
      </c>
      <c r="T800" s="297">
        <v>46105.0</v>
      </c>
      <c r="U800" s="293" t="s">
        <v>62</v>
      </c>
      <c r="V800" s="297">
        <v>46156.0</v>
      </c>
      <c r="W800" s="298"/>
      <c r="X800" s="298"/>
      <c r="Y800" s="298"/>
      <c r="Z800" s="298"/>
      <c r="AA800" s="295"/>
      <c r="AB800" s="295"/>
    </row>
    <row r="801">
      <c r="A801" s="278">
        <v>1999.0</v>
      </c>
      <c r="B801" s="942">
        <v>46049.0</v>
      </c>
      <c r="C801" s="280" t="s">
        <v>960</v>
      </c>
      <c r="D801" s="281"/>
      <c r="E801" s="280" t="s">
        <v>588</v>
      </c>
      <c r="F801" s="281"/>
      <c r="G801" s="282">
        <v>1.950013E7</v>
      </c>
      <c r="H801" s="280" t="s">
        <v>51</v>
      </c>
      <c r="I801" s="283" t="s">
        <v>3747</v>
      </c>
      <c r="J801" s="284" t="s">
        <v>3748</v>
      </c>
      <c r="K801" s="304"/>
      <c r="L801" s="887"/>
      <c r="M801" s="287"/>
      <c r="N801" s="287"/>
      <c r="O801" s="290"/>
      <c r="P801" s="290"/>
      <c r="Q801" s="290"/>
      <c r="R801" s="290"/>
      <c r="S801" s="290"/>
      <c r="T801" s="290"/>
      <c r="U801" s="285" t="s">
        <v>62</v>
      </c>
      <c r="V801" s="289">
        <v>46154.0</v>
      </c>
      <c r="W801" s="290"/>
      <c r="X801" s="290"/>
      <c r="Y801" s="290"/>
      <c r="Z801" s="290"/>
      <c r="AA801" s="287"/>
      <c r="AB801" s="287"/>
    </row>
    <row r="802">
      <c r="A802" s="292">
        <v>2048.0</v>
      </c>
      <c r="B802" s="948">
        <v>46084.0</v>
      </c>
      <c r="C802" s="867" t="s">
        <v>3473</v>
      </c>
      <c r="D802" s="868"/>
      <c r="E802" s="867" t="s">
        <v>227</v>
      </c>
      <c r="F802" s="867" t="s">
        <v>228</v>
      </c>
      <c r="G802" s="869">
        <v>1.9620674E7</v>
      </c>
      <c r="H802" s="867" t="s">
        <v>135</v>
      </c>
      <c r="I802" s="870" t="s">
        <v>1061</v>
      </c>
      <c r="J802" s="873" t="s">
        <v>3749</v>
      </c>
      <c r="K802" s="293" t="s">
        <v>231</v>
      </c>
      <c r="L802" s="872" t="s">
        <v>2073</v>
      </c>
      <c r="M802" s="396" t="s">
        <v>1065</v>
      </c>
      <c r="N802" s="295"/>
      <c r="O802" s="293" t="s">
        <v>62</v>
      </c>
      <c r="P802" s="297">
        <v>46090.0</v>
      </c>
      <c r="Q802" s="298"/>
      <c r="R802" s="298"/>
      <c r="S802" s="298"/>
      <c r="T802" s="298"/>
      <c r="U802" s="293" t="s">
        <v>62</v>
      </c>
      <c r="V802" s="297">
        <v>45789.0</v>
      </c>
      <c r="W802" s="298"/>
      <c r="X802" s="298"/>
      <c r="Y802" s="298"/>
      <c r="Z802" s="298"/>
      <c r="AA802" s="295"/>
      <c r="AB802" s="295"/>
    </row>
    <row r="803">
      <c r="A803" s="278">
        <v>2092.0</v>
      </c>
      <c r="B803" s="942">
        <v>46120.0</v>
      </c>
      <c r="C803" s="280" t="s">
        <v>884</v>
      </c>
      <c r="D803" s="281"/>
      <c r="E803" s="280" t="s">
        <v>885</v>
      </c>
      <c r="F803" s="280" t="s">
        <v>49</v>
      </c>
      <c r="G803" s="282">
        <v>1.5781732E7</v>
      </c>
      <c r="H803" s="280" t="s">
        <v>32</v>
      </c>
      <c r="I803" s="283" t="s">
        <v>3750</v>
      </c>
      <c r="J803" s="284" t="s">
        <v>3751</v>
      </c>
      <c r="K803" s="285" t="s">
        <v>889</v>
      </c>
      <c r="L803" s="302" t="s">
        <v>1356</v>
      </c>
      <c r="M803" s="286" t="s">
        <v>610</v>
      </c>
      <c r="N803" s="287"/>
      <c r="O803" s="285" t="s">
        <v>62</v>
      </c>
      <c r="P803" s="289">
        <v>46122.0</v>
      </c>
      <c r="Q803" s="290"/>
      <c r="R803" s="290"/>
      <c r="S803" s="287"/>
      <c r="T803" s="290"/>
      <c r="U803" s="285" t="s">
        <v>62</v>
      </c>
      <c r="V803" s="307">
        <v>46150.0</v>
      </c>
      <c r="W803" s="290"/>
      <c r="X803" s="290"/>
      <c r="Y803" s="290"/>
      <c r="Z803" s="290"/>
      <c r="AA803" s="287"/>
      <c r="AB803" s="287"/>
    </row>
    <row r="804">
      <c r="A804" s="292">
        <v>2093.0</v>
      </c>
      <c r="B804" s="942">
        <v>46120.0</v>
      </c>
      <c r="C804" s="280" t="s">
        <v>884</v>
      </c>
      <c r="D804" s="281"/>
      <c r="E804" s="280" t="s">
        <v>885</v>
      </c>
      <c r="F804" s="280" t="s">
        <v>49</v>
      </c>
      <c r="G804" s="282">
        <v>1.5781733E7</v>
      </c>
      <c r="H804" s="280" t="s">
        <v>32</v>
      </c>
      <c r="I804" s="283" t="s">
        <v>3752</v>
      </c>
      <c r="J804" s="284" t="s">
        <v>3751</v>
      </c>
      <c r="K804" s="293" t="s">
        <v>889</v>
      </c>
      <c r="L804" s="301" t="s">
        <v>1278</v>
      </c>
      <c r="M804" s="294" t="s">
        <v>1234</v>
      </c>
      <c r="N804" s="295"/>
      <c r="O804" s="293" t="s">
        <v>62</v>
      </c>
      <c r="P804" s="297">
        <v>46122.0</v>
      </c>
      <c r="Q804" s="298"/>
      <c r="R804" s="298"/>
      <c r="S804" s="295"/>
      <c r="T804" s="298"/>
      <c r="U804" s="293" t="s">
        <v>62</v>
      </c>
      <c r="V804" s="308">
        <v>46150.0</v>
      </c>
      <c r="W804" s="298"/>
      <c r="X804" s="298"/>
      <c r="Y804" s="298"/>
      <c r="Z804" s="298"/>
      <c r="AA804" s="295"/>
      <c r="AB804" s="295"/>
    </row>
    <row r="805">
      <c r="A805" s="278">
        <v>2094.0</v>
      </c>
      <c r="B805" s="942">
        <v>46120.0</v>
      </c>
      <c r="C805" s="280" t="s">
        <v>884</v>
      </c>
      <c r="D805" s="281"/>
      <c r="E805" s="280" t="s">
        <v>885</v>
      </c>
      <c r="F805" s="280" t="s">
        <v>49</v>
      </c>
      <c r="G805" s="282">
        <v>1.5781734E7</v>
      </c>
      <c r="H805" s="280" t="s">
        <v>32</v>
      </c>
      <c r="I805" s="283" t="s">
        <v>3753</v>
      </c>
      <c r="J805" s="284" t="s">
        <v>3754</v>
      </c>
      <c r="K805" s="285" t="s">
        <v>889</v>
      </c>
      <c r="L805" s="302" t="s">
        <v>1374</v>
      </c>
      <c r="M805" s="286" t="s">
        <v>1234</v>
      </c>
      <c r="N805" s="287"/>
      <c r="O805" s="285" t="s">
        <v>62</v>
      </c>
      <c r="P805" s="289">
        <v>46121.0</v>
      </c>
      <c r="Q805" s="290"/>
      <c r="R805" s="290"/>
      <c r="S805" s="287"/>
      <c r="T805" s="290"/>
      <c r="U805" s="285" t="s">
        <v>62</v>
      </c>
      <c r="V805" s="307">
        <v>46150.0</v>
      </c>
      <c r="W805" s="290"/>
      <c r="X805" s="290"/>
      <c r="Y805" s="290"/>
      <c r="Z805" s="290"/>
      <c r="AA805" s="287"/>
      <c r="AB805" s="287"/>
    </row>
    <row r="806">
      <c r="A806" s="292">
        <v>2104.0</v>
      </c>
      <c r="B806" s="942">
        <v>46141.0</v>
      </c>
      <c r="C806" s="280" t="s">
        <v>1112</v>
      </c>
      <c r="D806" s="281"/>
      <c r="E806" s="280" t="s">
        <v>1113</v>
      </c>
      <c r="F806" s="280" t="s">
        <v>1114</v>
      </c>
      <c r="G806" s="282">
        <v>1.8010211E7</v>
      </c>
      <c r="H806" s="280" t="s">
        <v>32</v>
      </c>
      <c r="I806" s="283" t="s">
        <v>3755</v>
      </c>
      <c r="J806" s="939" t="s">
        <v>3756</v>
      </c>
      <c r="K806" s="293" t="s">
        <v>1117</v>
      </c>
      <c r="L806" s="300"/>
      <c r="M806" s="295"/>
      <c r="N806" s="295"/>
      <c r="O806" s="293" t="s">
        <v>62</v>
      </c>
      <c r="P806" s="297">
        <v>46141.0</v>
      </c>
      <c r="Q806" s="298"/>
      <c r="R806" s="298"/>
      <c r="S806" s="295"/>
      <c r="T806" s="298"/>
      <c r="U806" s="293" t="s">
        <v>62</v>
      </c>
      <c r="V806" s="308">
        <v>46142.0</v>
      </c>
      <c r="W806" s="298"/>
      <c r="X806" s="298"/>
      <c r="Y806" s="298"/>
      <c r="Z806" s="298"/>
      <c r="AA806" s="295"/>
      <c r="AB806" s="295"/>
    </row>
    <row r="807">
      <c r="A807" s="877">
        <v>944.0</v>
      </c>
      <c r="B807" s="949">
        <v>45344.0</v>
      </c>
      <c r="C807" s="280" t="s">
        <v>430</v>
      </c>
      <c r="D807" s="879" t="s">
        <v>29</v>
      </c>
      <c r="E807" s="879" t="s">
        <v>326</v>
      </c>
      <c r="F807" s="281"/>
      <c r="G807" s="281"/>
      <c r="H807" s="879" t="s">
        <v>42</v>
      </c>
      <c r="I807" s="283" t="s">
        <v>3757</v>
      </c>
      <c r="J807" s="284" t="s">
        <v>3758</v>
      </c>
      <c r="K807" s="303"/>
      <c r="L807" s="300"/>
      <c r="M807" s="295"/>
      <c r="N807" s="295"/>
      <c r="O807" s="298"/>
      <c r="P807" s="298"/>
      <c r="Q807" s="298"/>
      <c r="R807" s="298"/>
      <c r="S807" s="298"/>
      <c r="T807" s="298"/>
      <c r="U807" s="880" t="s">
        <v>62</v>
      </c>
      <c r="V807" s="298"/>
      <c r="W807" s="298"/>
      <c r="X807" s="298"/>
      <c r="Y807" s="298"/>
      <c r="Z807" s="298"/>
      <c r="AA807" s="916" t="s">
        <v>46</v>
      </c>
      <c r="AB807" s="884"/>
    </row>
    <row r="808">
      <c r="A808" s="278">
        <v>1612.0</v>
      </c>
      <c r="B808" s="942">
        <v>45775.0</v>
      </c>
      <c r="C808" s="280" t="s">
        <v>1760</v>
      </c>
      <c r="D808" s="280" t="s">
        <v>66</v>
      </c>
      <c r="E808" s="280" t="s">
        <v>768</v>
      </c>
      <c r="F808" s="280" t="s">
        <v>3759</v>
      </c>
      <c r="G808" s="282">
        <v>1.9090156E7</v>
      </c>
      <c r="H808" s="280" t="s">
        <v>200</v>
      </c>
      <c r="I808" s="283" t="s">
        <v>3760</v>
      </c>
      <c r="J808" s="284" t="s">
        <v>3761</v>
      </c>
      <c r="K808" s="285" t="s">
        <v>772</v>
      </c>
      <c r="L808" s="302" t="s">
        <v>495</v>
      </c>
      <c r="M808" s="287"/>
      <c r="N808" s="287"/>
      <c r="O808" s="290"/>
      <c r="P808" s="290"/>
      <c r="Q808" s="286" t="s">
        <v>62</v>
      </c>
      <c r="R808" s="289">
        <v>46105.0</v>
      </c>
      <c r="S808" s="290"/>
      <c r="T808" s="290"/>
      <c r="U808" s="285" t="s">
        <v>62</v>
      </c>
      <c r="V808" s="289">
        <v>46160.0</v>
      </c>
      <c r="W808" s="290"/>
      <c r="X808" s="290"/>
      <c r="Y808" s="290"/>
      <c r="Z808" s="290"/>
      <c r="AA808" s="287"/>
      <c r="AB808" s="287"/>
    </row>
    <row r="809">
      <c r="A809" s="292">
        <v>1722.0</v>
      </c>
      <c r="B809" s="948">
        <v>45870.0</v>
      </c>
      <c r="C809" s="867" t="s">
        <v>3762</v>
      </c>
      <c r="D809" s="867" t="s">
        <v>359</v>
      </c>
      <c r="E809" s="867" t="s">
        <v>3763</v>
      </c>
      <c r="F809" s="867" t="s">
        <v>769</v>
      </c>
      <c r="G809" s="867" t="s">
        <v>3764</v>
      </c>
      <c r="H809" s="867" t="s">
        <v>200</v>
      </c>
      <c r="I809" s="870" t="s">
        <v>3765</v>
      </c>
      <c r="J809" s="284" t="s">
        <v>3766</v>
      </c>
      <c r="K809" s="293" t="s">
        <v>772</v>
      </c>
      <c r="L809" s="301" t="s">
        <v>495</v>
      </c>
      <c r="M809" s="295"/>
      <c r="N809" s="295"/>
      <c r="O809" s="298"/>
      <c r="P809" s="298"/>
      <c r="Q809" s="294" t="s">
        <v>62</v>
      </c>
      <c r="R809" s="297">
        <v>46105.0</v>
      </c>
      <c r="S809" s="298"/>
      <c r="T809" s="298"/>
      <c r="U809" s="293" t="s">
        <v>62</v>
      </c>
      <c r="V809" s="297">
        <v>46171.0</v>
      </c>
      <c r="W809" s="298"/>
      <c r="X809" s="298"/>
      <c r="Y809" s="298"/>
      <c r="Z809" s="298"/>
      <c r="AA809" s="295"/>
      <c r="AB809" s="295"/>
    </row>
    <row r="810">
      <c r="A810" s="278">
        <v>1784.0</v>
      </c>
      <c r="B810" s="942">
        <v>45922.0</v>
      </c>
      <c r="C810" s="280" t="s">
        <v>3591</v>
      </c>
      <c r="D810" s="281"/>
      <c r="E810" s="280" t="s">
        <v>835</v>
      </c>
      <c r="F810" s="280" t="s">
        <v>3592</v>
      </c>
      <c r="G810" s="282">
        <v>1.947008E7</v>
      </c>
      <c r="H810" s="280" t="s">
        <v>200</v>
      </c>
      <c r="I810" s="283" t="s">
        <v>3593</v>
      </c>
      <c r="J810" s="284" t="s">
        <v>3767</v>
      </c>
      <c r="K810" s="285" t="s">
        <v>50</v>
      </c>
      <c r="L810" s="286" t="s">
        <v>285</v>
      </c>
      <c r="M810" s="286" t="s">
        <v>3595</v>
      </c>
      <c r="N810" s="287"/>
      <c r="O810" s="290"/>
      <c r="P810" s="290"/>
      <c r="Q810" s="290"/>
      <c r="R810" s="290"/>
      <c r="S810" s="290"/>
      <c r="T810" s="290"/>
      <c r="U810" s="285" t="s">
        <v>62</v>
      </c>
      <c r="V810" s="289">
        <v>46171.0</v>
      </c>
      <c r="W810" s="290"/>
      <c r="X810" s="290"/>
      <c r="Y810" s="290"/>
      <c r="Z810" s="290"/>
      <c r="AA810" s="287"/>
      <c r="AB810" s="287"/>
    </row>
    <row r="811">
      <c r="A811" s="292">
        <v>1972.0</v>
      </c>
      <c r="B811" s="942">
        <v>46038.0</v>
      </c>
      <c r="C811" s="280" t="s">
        <v>3420</v>
      </c>
      <c r="D811" s="281"/>
      <c r="E811" s="280" t="s">
        <v>1059</v>
      </c>
      <c r="F811" s="280" t="s">
        <v>1060</v>
      </c>
      <c r="G811" s="282">
        <v>1.9070718E7</v>
      </c>
      <c r="H811" s="280" t="s">
        <v>135</v>
      </c>
      <c r="I811" s="283" t="s">
        <v>1061</v>
      </c>
      <c r="J811" s="284" t="s">
        <v>3768</v>
      </c>
      <c r="K811" s="293" t="s">
        <v>1063</v>
      </c>
      <c r="L811" s="294" t="s">
        <v>1064</v>
      </c>
      <c r="M811" s="396" t="s">
        <v>1065</v>
      </c>
      <c r="N811" s="295"/>
      <c r="O811" s="293" t="s">
        <v>62</v>
      </c>
      <c r="P811" s="297">
        <v>46038.0</v>
      </c>
      <c r="Q811" s="298"/>
      <c r="R811" s="298"/>
      <c r="S811" s="298"/>
      <c r="T811" s="298"/>
      <c r="U811" s="293" t="s">
        <v>62</v>
      </c>
      <c r="V811" s="297">
        <v>46171.0</v>
      </c>
      <c r="W811" s="298"/>
      <c r="X811" s="298"/>
      <c r="Y811" s="298"/>
      <c r="Z811" s="298"/>
      <c r="AA811" s="295"/>
      <c r="AB811" s="295"/>
    </row>
    <row r="812">
      <c r="A812" s="278">
        <v>2057.0</v>
      </c>
      <c r="B812" s="942">
        <v>46090.0</v>
      </c>
      <c r="C812" s="280" t="s">
        <v>1760</v>
      </c>
      <c r="D812" s="281"/>
      <c r="E812" s="280" t="s">
        <v>768</v>
      </c>
      <c r="F812" s="280" t="s">
        <v>327</v>
      </c>
      <c r="G812" s="282">
        <v>1.9090158E7</v>
      </c>
      <c r="H812" s="280" t="s">
        <v>200</v>
      </c>
      <c r="I812" s="283" t="s">
        <v>3769</v>
      </c>
      <c r="J812" s="873" t="s">
        <v>3770</v>
      </c>
      <c r="K812" s="285" t="s">
        <v>867</v>
      </c>
      <c r="L812" s="287" t="s">
        <v>868</v>
      </c>
      <c r="M812" s="354" t="s">
        <v>869</v>
      </c>
      <c r="N812" s="287"/>
      <c r="O812" s="290"/>
      <c r="P812" s="290"/>
      <c r="Q812" s="290"/>
      <c r="R812" s="290"/>
      <c r="S812" s="286" t="s">
        <v>62</v>
      </c>
      <c r="T812" s="289">
        <v>46125.0</v>
      </c>
      <c r="U812" s="285" t="s">
        <v>62</v>
      </c>
      <c r="V812" s="289">
        <v>46171.0</v>
      </c>
      <c r="W812" s="290"/>
      <c r="X812" s="290"/>
      <c r="Y812" s="290"/>
      <c r="Z812" s="290"/>
      <c r="AA812" s="287"/>
      <c r="AB812" s="287"/>
    </row>
    <row r="813">
      <c r="A813" s="950"/>
      <c r="B813" s="951"/>
      <c r="C813" s="952"/>
      <c r="D813" s="953"/>
      <c r="E813" s="952"/>
      <c r="F813" s="952"/>
      <c r="G813" s="952"/>
      <c r="H813" s="952"/>
      <c r="I813" s="954"/>
      <c r="J813" s="955"/>
      <c r="K813" s="956"/>
      <c r="L813" s="957"/>
      <c r="M813" s="958"/>
      <c r="N813" s="959"/>
      <c r="O813" s="960"/>
      <c r="P813" s="961"/>
      <c r="Q813" s="959"/>
      <c r="R813" s="961"/>
      <c r="S813" s="959"/>
      <c r="T813" s="961"/>
      <c r="U813" s="962"/>
      <c r="V813" s="963"/>
      <c r="W813" s="959"/>
      <c r="X813" s="961"/>
      <c r="Y813" s="959"/>
      <c r="Z813" s="961"/>
      <c r="AA813" s="959"/>
      <c r="AB813" s="959"/>
    </row>
    <row r="814">
      <c r="A814" s="950"/>
      <c r="B814" s="951"/>
      <c r="C814" s="952"/>
      <c r="D814" s="953"/>
      <c r="E814" s="952"/>
      <c r="F814" s="952"/>
      <c r="G814" s="952"/>
      <c r="H814" s="952"/>
      <c r="I814" s="954"/>
      <c r="J814" s="955"/>
      <c r="K814" s="956"/>
      <c r="L814" s="957"/>
      <c r="M814" s="958"/>
      <c r="N814" s="959"/>
      <c r="O814" s="960"/>
      <c r="P814" s="961"/>
      <c r="Q814" s="959"/>
      <c r="R814" s="961"/>
      <c r="S814" s="959"/>
      <c r="T814" s="961"/>
      <c r="U814" s="962"/>
      <c r="V814" s="963"/>
      <c r="W814" s="959"/>
      <c r="X814" s="961"/>
      <c r="Y814" s="959"/>
      <c r="Z814" s="961"/>
      <c r="AA814" s="959"/>
      <c r="AB814" s="959"/>
    </row>
    <row r="815">
      <c r="A815" s="950"/>
      <c r="B815" s="951"/>
      <c r="C815" s="952"/>
      <c r="D815" s="953"/>
      <c r="E815" s="952"/>
      <c r="F815" s="952"/>
      <c r="G815" s="952"/>
      <c r="H815" s="952"/>
      <c r="I815" s="954"/>
      <c r="J815" s="955"/>
      <c r="K815" s="956"/>
      <c r="L815" s="957"/>
      <c r="M815" s="958"/>
      <c r="N815" s="959"/>
      <c r="O815" s="960"/>
      <c r="P815" s="961"/>
      <c r="Q815" s="959"/>
      <c r="R815" s="961"/>
      <c r="S815" s="959"/>
      <c r="T815" s="961"/>
      <c r="U815" s="962"/>
      <c r="V815" s="963"/>
      <c r="W815" s="959"/>
      <c r="X815" s="961"/>
      <c r="Y815" s="959"/>
      <c r="Z815" s="961"/>
      <c r="AA815" s="959"/>
      <c r="AB815" s="959"/>
    </row>
    <row r="816">
      <c r="A816" s="950"/>
      <c r="B816" s="951"/>
      <c r="C816" s="952"/>
      <c r="D816" s="953"/>
      <c r="E816" s="952"/>
      <c r="F816" s="952"/>
      <c r="G816" s="952"/>
      <c r="H816" s="952"/>
      <c r="I816" s="954"/>
      <c r="J816" s="955"/>
      <c r="K816" s="956"/>
      <c r="L816" s="957"/>
      <c r="M816" s="958"/>
      <c r="N816" s="959"/>
      <c r="O816" s="960"/>
      <c r="P816" s="961"/>
      <c r="Q816" s="959"/>
      <c r="R816" s="961"/>
      <c r="S816" s="959"/>
      <c r="T816" s="961"/>
      <c r="U816" s="962"/>
      <c r="V816" s="963"/>
      <c r="W816" s="959"/>
      <c r="X816" s="961"/>
      <c r="Y816" s="959"/>
      <c r="Z816" s="961"/>
      <c r="AA816" s="959"/>
      <c r="AB816" s="959"/>
    </row>
    <row r="817">
      <c r="A817" s="950"/>
      <c r="B817" s="951"/>
      <c r="C817" s="952"/>
      <c r="D817" s="953"/>
      <c r="E817" s="952"/>
      <c r="F817" s="952"/>
      <c r="G817" s="952"/>
      <c r="H817" s="952"/>
      <c r="I817" s="954"/>
      <c r="J817" s="955"/>
      <c r="K817" s="956"/>
      <c r="L817" s="957"/>
      <c r="M817" s="958"/>
      <c r="N817" s="959"/>
      <c r="O817" s="960"/>
      <c r="P817" s="961"/>
      <c r="Q817" s="959"/>
      <c r="R817" s="961"/>
      <c r="S817" s="959"/>
      <c r="T817" s="961"/>
      <c r="U817" s="962"/>
      <c r="V817" s="963"/>
      <c r="W817" s="959"/>
      <c r="X817" s="961"/>
      <c r="Y817" s="959"/>
      <c r="Z817" s="961"/>
      <c r="AA817" s="959"/>
      <c r="AB817" s="959"/>
    </row>
    <row r="818">
      <c r="A818" s="950"/>
      <c r="B818" s="951"/>
      <c r="C818" s="952"/>
      <c r="D818" s="953"/>
      <c r="E818" s="952"/>
      <c r="F818" s="952"/>
      <c r="G818" s="952"/>
      <c r="H818" s="952"/>
      <c r="I818" s="954"/>
      <c r="J818" s="955"/>
      <c r="K818" s="956"/>
      <c r="L818" s="957"/>
      <c r="M818" s="958"/>
      <c r="N818" s="959"/>
      <c r="O818" s="960"/>
      <c r="P818" s="961"/>
      <c r="Q818" s="959"/>
      <c r="R818" s="961"/>
      <c r="S818" s="959"/>
      <c r="T818" s="961"/>
      <c r="U818" s="962"/>
      <c r="V818" s="963"/>
      <c r="W818" s="959"/>
      <c r="X818" s="961"/>
      <c r="Y818" s="959"/>
      <c r="Z818" s="961"/>
      <c r="AA818" s="959"/>
      <c r="AB818" s="959"/>
    </row>
    <row r="819">
      <c r="A819" s="950"/>
      <c r="B819" s="951"/>
      <c r="C819" s="952"/>
      <c r="D819" s="953"/>
      <c r="E819" s="952"/>
      <c r="F819" s="952"/>
      <c r="G819" s="952"/>
      <c r="H819" s="952"/>
      <c r="I819" s="954"/>
      <c r="J819" s="955"/>
      <c r="K819" s="956"/>
      <c r="L819" s="957"/>
      <c r="M819" s="958"/>
      <c r="N819" s="959"/>
      <c r="O819" s="960"/>
      <c r="P819" s="961"/>
      <c r="Q819" s="959"/>
      <c r="R819" s="961"/>
      <c r="S819" s="959"/>
      <c r="T819" s="961"/>
      <c r="U819" s="962"/>
      <c r="V819" s="963"/>
      <c r="W819" s="959"/>
      <c r="X819" s="961"/>
      <c r="Y819" s="959"/>
      <c r="Z819" s="961"/>
      <c r="AA819" s="959"/>
      <c r="AB819" s="959"/>
    </row>
    <row r="820">
      <c r="A820" s="950"/>
      <c r="B820" s="951"/>
      <c r="C820" s="952"/>
      <c r="D820" s="953"/>
      <c r="E820" s="952"/>
      <c r="F820" s="952"/>
      <c r="G820" s="952"/>
      <c r="H820" s="952"/>
      <c r="I820" s="954"/>
      <c r="J820" s="955"/>
      <c r="K820" s="956"/>
      <c r="L820" s="957"/>
      <c r="M820" s="958"/>
      <c r="N820" s="959"/>
      <c r="O820" s="960"/>
      <c r="P820" s="961"/>
      <c r="Q820" s="959"/>
      <c r="R820" s="961"/>
      <c r="S820" s="959"/>
      <c r="T820" s="961"/>
      <c r="U820" s="962"/>
      <c r="V820" s="963"/>
      <c r="W820" s="959"/>
      <c r="X820" s="961"/>
      <c r="Y820" s="959"/>
      <c r="Z820" s="961"/>
      <c r="AA820" s="959"/>
      <c r="AB820" s="959"/>
    </row>
    <row r="821">
      <c r="A821" s="950"/>
      <c r="B821" s="951"/>
      <c r="C821" s="952"/>
      <c r="D821" s="953"/>
      <c r="E821" s="952"/>
      <c r="F821" s="952"/>
      <c r="G821" s="952"/>
      <c r="H821" s="952"/>
      <c r="I821" s="954"/>
      <c r="J821" s="955"/>
      <c r="K821" s="956"/>
      <c r="L821" s="957"/>
      <c r="M821" s="958"/>
      <c r="N821" s="959"/>
      <c r="O821" s="960"/>
      <c r="P821" s="961"/>
      <c r="Q821" s="959"/>
      <c r="R821" s="961"/>
      <c r="S821" s="959"/>
      <c r="T821" s="961"/>
      <c r="U821" s="962"/>
      <c r="V821" s="963"/>
      <c r="W821" s="959"/>
      <c r="X821" s="961"/>
      <c r="Y821" s="959"/>
      <c r="Z821" s="961"/>
      <c r="AA821" s="959"/>
      <c r="AB821" s="959"/>
    </row>
    <row r="822">
      <c r="A822" s="950"/>
      <c r="B822" s="951"/>
      <c r="C822" s="952"/>
      <c r="D822" s="953"/>
      <c r="E822" s="952"/>
      <c r="F822" s="952"/>
      <c r="G822" s="952"/>
      <c r="H822" s="952"/>
      <c r="I822" s="954"/>
      <c r="J822" s="955"/>
      <c r="K822" s="956"/>
      <c r="L822" s="957"/>
      <c r="M822" s="958"/>
      <c r="N822" s="959"/>
      <c r="O822" s="960"/>
      <c r="P822" s="961"/>
      <c r="Q822" s="959"/>
      <c r="R822" s="961"/>
      <c r="S822" s="959"/>
      <c r="T822" s="961"/>
      <c r="U822" s="962"/>
      <c r="V822" s="963"/>
      <c r="W822" s="959"/>
      <c r="X822" s="961"/>
      <c r="Y822" s="959"/>
      <c r="Z822" s="961"/>
      <c r="AA822" s="959"/>
      <c r="AB822" s="959"/>
    </row>
    <row r="823">
      <c r="A823" s="950"/>
      <c r="B823" s="951"/>
      <c r="C823" s="952"/>
      <c r="D823" s="953"/>
      <c r="E823" s="952"/>
      <c r="F823" s="952"/>
      <c r="G823" s="952"/>
      <c r="H823" s="952"/>
      <c r="I823" s="954"/>
      <c r="J823" s="955"/>
      <c r="K823" s="956"/>
      <c r="L823" s="957"/>
      <c r="M823" s="958"/>
      <c r="N823" s="959"/>
      <c r="O823" s="960"/>
      <c r="P823" s="961"/>
      <c r="Q823" s="959"/>
      <c r="R823" s="961"/>
      <c r="S823" s="959"/>
      <c r="T823" s="961"/>
      <c r="U823" s="962"/>
      <c r="V823" s="963"/>
      <c r="W823" s="959"/>
      <c r="X823" s="961"/>
      <c r="Y823" s="959"/>
      <c r="Z823" s="961"/>
      <c r="AA823" s="959"/>
      <c r="AB823" s="959"/>
    </row>
    <row r="824">
      <c r="A824" s="950"/>
      <c r="B824" s="951"/>
      <c r="C824" s="952"/>
      <c r="D824" s="953"/>
      <c r="E824" s="952"/>
      <c r="F824" s="952"/>
      <c r="G824" s="952"/>
      <c r="H824" s="952"/>
      <c r="I824" s="954"/>
      <c r="J824" s="955"/>
      <c r="K824" s="956"/>
      <c r="L824" s="957"/>
      <c r="M824" s="958"/>
      <c r="N824" s="959"/>
      <c r="O824" s="960"/>
      <c r="P824" s="961"/>
      <c r="Q824" s="959"/>
      <c r="R824" s="961"/>
      <c r="S824" s="959"/>
      <c r="T824" s="961"/>
      <c r="U824" s="962"/>
      <c r="V824" s="963"/>
      <c r="W824" s="959"/>
      <c r="X824" s="961"/>
      <c r="Y824" s="959"/>
      <c r="Z824" s="961"/>
      <c r="AA824" s="959"/>
      <c r="AB824" s="959"/>
    </row>
    <row r="825">
      <c r="A825" s="950"/>
      <c r="B825" s="951"/>
      <c r="C825" s="952"/>
      <c r="D825" s="953"/>
      <c r="E825" s="952"/>
      <c r="F825" s="952"/>
      <c r="G825" s="952"/>
      <c r="H825" s="952"/>
      <c r="I825" s="954"/>
      <c r="J825" s="955"/>
      <c r="K825" s="956"/>
      <c r="L825" s="957"/>
      <c r="M825" s="958"/>
      <c r="N825" s="959"/>
      <c r="O825" s="960"/>
      <c r="P825" s="961"/>
      <c r="Q825" s="959"/>
      <c r="R825" s="961"/>
      <c r="S825" s="959"/>
      <c r="T825" s="961"/>
      <c r="U825" s="962"/>
      <c r="V825" s="963"/>
      <c r="W825" s="959"/>
      <c r="X825" s="961"/>
      <c r="Y825" s="959"/>
      <c r="Z825" s="961"/>
      <c r="AA825" s="959"/>
      <c r="AB825" s="959"/>
    </row>
    <row r="826">
      <c r="A826" s="950"/>
      <c r="B826" s="951"/>
      <c r="C826" s="952"/>
      <c r="D826" s="953"/>
      <c r="E826" s="952"/>
      <c r="F826" s="952"/>
      <c r="G826" s="952"/>
      <c r="H826" s="952"/>
      <c r="I826" s="954"/>
      <c r="J826" s="955"/>
      <c r="K826" s="956"/>
      <c r="L826" s="957"/>
      <c r="M826" s="958"/>
      <c r="N826" s="959"/>
      <c r="O826" s="960"/>
      <c r="P826" s="961"/>
      <c r="Q826" s="959"/>
      <c r="R826" s="961"/>
      <c r="S826" s="959"/>
      <c r="T826" s="961"/>
      <c r="U826" s="962"/>
      <c r="V826" s="963"/>
      <c r="W826" s="959"/>
      <c r="X826" s="961"/>
      <c r="Y826" s="959"/>
      <c r="Z826" s="961"/>
      <c r="AA826" s="959"/>
      <c r="AB826" s="959"/>
    </row>
    <row r="827">
      <c r="A827" s="950"/>
      <c r="B827" s="951"/>
      <c r="C827" s="952"/>
      <c r="D827" s="953"/>
      <c r="E827" s="952"/>
      <c r="F827" s="952"/>
      <c r="G827" s="952"/>
      <c r="H827" s="952"/>
      <c r="I827" s="954"/>
      <c r="J827" s="955"/>
      <c r="K827" s="956"/>
      <c r="L827" s="957"/>
      <c r="M827" s="958"/>
      <c r="N827" s="959"/>
      <c r="O827" s="960"/>
      <c r="P827" s="961"/>
      <c r="Q827" s="959"/>
      <c r="R827" s="961"/>
      <c r="S827" s="959"/>
      <c r="T827" s="961"/>
      <c r="U827" s="962"/>
      <c r="V827" s="963"/>
      <c r="W827" s="959"/>
      <c r="X827" s="961"/>
      <c r="Y827" s="959"/>
      <c r="Z827" s="961"/>
      <c r="AA827" s="959"/>
      <c r="AB827" s="959"/>
    </row>
    <row r="828">
      <c r="A828" s="950"/>
      <c r="B828" s="951"/>
      <c r="C828" s="952"/>
      <c r="D828" s="953"/>
      <c r="E828" s="952"/>
      <c r="F828" s="952"/>
      <c r="G828" s="952"/>
      <c r="H828" s="952"/>
      <c r="I828" s="954"/>
      <c r="J828" s="955"/>
      <c r="K828" s="956"/>
      <c r="L828" s="957"/>
      <c r="M828" s="958"/>
      <c r="N828" s="959"/>
      <c r="O828" s="960"/>
      <c r="P828" s="961"/>
      <c r="Q828" s="959"/>
      <c r="R828" s="961"/>
      <c r="S828" s="959"/>
      <c r="T828" s="961"/>
      <c r="U828" s="962"/>
      <c r="V828" s="963"/>
      <c r="W828" s="959"/>
      <c r="X828" s="961"/>
      <c r="Y828" s="959"/>
      <c r="Z828" s="961"/>
      <c r="AA828" s="959"/>
      <c r="AB828" s="959"/>
    </row>
    <row r="829">
      <c r="A829" s="950"/>
      <c r="B829" s="951"/>
      <c r="C829" s="952"/>
      <c r="D829" s="953"/>
      <c r="E829" s="952"/>
      <c r="F829" s="952"/>
      <c r="G829" s="952"/>
      <c r="H829" s="952"/>
      <c r="I829" s="954"/>
      <c r="J829" s="955"/>
      <c r="K829" s="956"/>
      <c r="L829" s="957"/>
      <c r="M829" s="958"/>
      <c r="N829" s="959"/>
      <c r="O829" s="960"/>
      <c r="P829" s="961"/>
      <c r="Q829" s="959"/>
      <c r="R829" s="961"/>
      <c r="S829" s="959"/>
      <c r="T829" s="961"/>
      <c r="U829" s="962"/>
      <c r="V829" s="963"/>
      <c r="W829" s="959"/>
      <c r="X829" s="961"/>
      <c r="Y829" s="959"/>
      <c r="Z829" s="961"/>
      <c r="AA829" s="959"/>
      <c r="AB829" s="959"/>
    </row>
    <row r="830">
      <c r="A830" s="950"/>
      <c r="B830" s="951"/>
      <c r="C830" s="952"/>
      <c r="D830" s="953"/>
      <c r="E830" s="952"/>
      <c r="F830" s="952"/>
      <c r="G830" s="952"/>
      <c r="H830" s="952"/>
      <c r="I830" s="954"/>
      <c r="J830" s="955"/>
      <c r="K830" s="956"/>
      <c r="L830" s="957"/>
      <c r="M830" s="958"/>
      <c r="N830" s="959"/>
      <c r="O830" s="960"/>
      <c r="P830" s="961"/>
      <c r="Q830" s="959"/>
      <c r="R830" s="961"/>
      <c r="S830" s="959"/>
      <c r="T830" s="961"/>
      <c r="U830" s="962"/>
      <c r="V830" s="963"/>
      <c r="W830" s="959"/>
      <c r="X830" s="961"/>
      <c r="Y830" s="959"/>
      <c r="Z830" s="961"/>
      <c r="AA830" s="959"/>
      <c r="AB830" s="959"/>
    </row>
    <row r="831">
      <c r="A831" s="950"/>
      <c r="B831" s="951"/>
      <c r="C831" s="952"/>
      <c r="D831" s="953"/>
      <c r="E831" s="952"/>
      <c r="F831" s="952"/>
      <c r="G831" s="952"/>
      <c r="H831" s="952"/>
      <c r="I831" s="954"/>
      <c r="J831" s="955"/>
      <c r="K831" s="956"/>
      <c r="L831" s="957"/>
      <c r="M831" s="958"/>
      <c r="N831" s="959"/>
      <c r="O831" s="960"/>
      <c r="P831" s="961"/>
      <c r="Q831" s="959"/>
      <c r="R831" s="961"/>
      <c r="S831" s="959"/>
      <c r="T831" s="961"/>
      <c r="U831" s="962"/>
      <c r="V831" s="963"/>
      <c r="W831" s="959"/>
      <c r="X831" s="961"/>
      <c r="Y831" s="959"/>
      <c r="Z831" s="961"/>
      <c r="AA831" s="959"/>
      <c r="AB831" s="959"/>
    </row>
    <row r="832">
      <c r="A832" s="950"/>
      <c r="B832" s="951"/>
      <c r="C832" s="952"/>
      <c r="D832" s="953"/>
      <c r="E832" s="952"/>
      <c r="F832" s="952"/>
      <c r="G832" s="952"/>
      <c r="H832" s="952"/>
      <c r="I832" s="954"/>
      <c r="J832" s="955"/>
      <c r="K832" s="956"/>
      <c r="L832" s="957"/>
      <c r="M832" s="958"/>
      <c r="N832" s="959"/>
      <c r="O832" s="960"/>
      <c r="P832" s="961"/>
      <c r="Q832" s="959"/>
      <c r="R832" s="961"/>
      <c r="S832" s="959"/>
      <c r="T832" s="961"/>
      <c r="U832" s="962"/>
      <c r="V832" s="963"/>
      <c r="W832" s="959"/>
      <c r="X832" s="961"/>
      <c r="Y832" s="959"/>
      <c r="Z832" s="961"/>
      <c r="AA832" s="959"/>
      <c r="AB832" s="959"/>
    </row>
    <row r="833">
      <c r="A833" s="950"/>
      <c r="B833" s="951"/>
      <c r="C833" s="952"/>
      <c r="D833" s="953"/>
      <c r="E833" s="952"/>
      <c r="F833" s="952"/>
      <c r="G833" s="952"/>
      <c r="H833" s="952"/>
      <c r="I833" s="954"/>
      <c r="J833" s="955"/>
      <c r="K833" s="956"/>
      <c r="L833" s="957"/>
      <c r="M833" s="958"/>
      <c r="N833" s="959"/>
      <c r="O833" s="960"/>
      <c r="P833" s="961"/>
      <c r="Q833" s="959"/>
      <c r="R833" s="961"/>
      <c r="S833" s="959"/>
      <c r="T833" s="961"/>
      <c r="U833" s="962"/>
      <c r="V833" s="963"/>
      <c r="W833" s="959"/>
      <c r="X833" s="961"/>
      <c r="Y833" s="959"/>
      <c r="Z833" s="961"/>
      <c r="AA833" s="959"/>
      <c r="AB833" s="959"/>
    </row>
    <row r="834">
      <c r="A834" s="950"/>
      <c r="B834" s="951"/>
      <c r="C834" s="952"/>
      <c r="D834" s="953"/>
      <c r="E834" s="952"/>
      <c r="F834" s="952"/>
      <c r="G834" s="952"/>
      <c r="H834" s="952"/>
      <c r="I834" s="954"/>
      <c r="J834" s="955"/>
      <c r="K834" s="956"/>
      <c r="L834" s="957"/>
      <c r="M834" s="958"/>
      <c r="N834" s="959"/>
      <c r="O834" s="960"/>
      <c r="P834" s="961"/>
      <c r="Q834" s="959"/>
      <c r="R834" s="961"/>
      <c r="S834" s="959"/>
      <c r="T834" s="961"/>
      <c r="U834" s="962"/>
      <c r="V834" s="963"/>
      <c r="W834" s="959"/>
      <c r="X834" s="961"/>
      <c r="Y834" s="959"/>
      <c r="Z834" s="961"/>
      <c r="AA834" s="959"/>
      <c r="AB834" s="959"/>
    </row>
    <row r="835">
      <c r="A835" s="950"/>
      <c r="B835" s="951"/>
      <c r="C835" s="952"/>
      <c r="D835" s="953"/>
      <c r="E835" s="952"/>
      <c r="F835" s="952"/>
      <c r="G835" s="952"/>
      <c r="H835" s="952"/>
      <c r="I835" s="954"/>
      <c r="J835" s="955"/>
      <c r="K835" s="956"/>
      <c r="L835" s="957"/>
      <c r="M835" s="958"/>
      <c r="N835" s="959"/>
      <c r="O835" s="960"/>
      <c r="P835" s="961"/>
      <c r="Q835" s="959"/>
      <c r="R835" s="961"/>
      <c r="S835" s="959"/>
      <c r="T835" s="961"/>
      <c r="U835" s="962"/>
      <c r="V835" s="963"/>
      <c r="W835" s="959"/>
      <c r="X835" s="961"/>
      <c r="Y835" s="959"/>
      <c r="Z835" s="961"/>
      <c r="AA835" s="959"/>
      <c r="AB835" s="959"/>
    </row>
    <row r="836">
      <c r="A836" s="950"/>
      <c r="B836" s="951"/>
      <c r="C836" s="952"/>
      <c r="D836" s="953"/>
      <c r="E836" s="952"/>
      <c r="F836" s="952"/>
      <c r="G836" s="952"/>
      <c r="H836" s="952"/>
      <c r="I836" s="954"/>
      <c r="J836" s="955"/>
      <c r="K836" s="956"/>
      <c r="L836" s="957"/>
      <c r="M836" s="958"/>
      <c r="N836" s="959"/>
      <c r="O836" s="960"/>
      <c r="P836" s="961"/>
      <c r="Q836" s="959"/>
      <c r="R836" s="961"/>
      <c r="S836" s="959"/>
      <c r="T836" s="961"/>
      <c r="U836" s="962"/>
      <c r="V836" s="963"/>
      <c r="W836" s="959"/>
      <c r="X836" s="961"/>
      <c r="Y836" s="959"/>
      <c r="Z836" s="961"/>
      <c r="AA836" s="959"/>
      <c r="AB836" s="959"/>
    </row>
    <row r="837">
      <c r="A837" s="950"/>
      <c r="B837" s="951"/>
      <c r="C837" s="952"/>
      <c r="D837" s="953"/>
      <c r="E837" s="952"/>
      <c r="F837" s="952"/>
      <c r="G837" s="952"/>
      <c r="H837" s="952"/>
      <c r="I837" s="954"/>
      <c r="J837" s="955"/>
      <c r="K837" s="956"/>
      <c r="L837" s="957"/>
      <c r="M837" s="958"/>
      <c r="N837" s="959"/>
      <c r="O837" s="960"/>
      <c r="P837" s="961"/>
      <c r="Q837" s="959"/>
      <c r="R837" s="961"/>
      <c r="S837" s="959"/>
      <c r="T837" s="961"/>
      <c r="U837" s="962"/>
      <c r="V837" s="963"/>
      <c r="W837" s="959"/>
      <c r="X837" s="961"/>
      <c r="Y837" s="959"/>
      <c r="Z837" s="961"/>
      <c r="AA837" s="959"/>
      <c r="AB837" s="959"/>
    </row>
    <row r="838">
      <c r="A838" s="950"/>
      <c r="B838" s="951"/>
      <c r="C838" s="952"/>
      <c r="D838" s="953"/>
      <c r="E838" s="952"/>
      <c r="F838" s="952"/>
      <c r="G838" s="952"/>
      <c r="H838" s="952"/>
      <c r="I838" s="954"/>
      <c r="J838" s="955"/>
      <c r="K838" s="956"/>
      <c r="L838" s="957"/>
      <c r="M838" s="958"/>
      <c r="N838" s="959"/>
      <c r="O838" s="960"/>
      <c r="P838" s="961"/>
      <c r="Q838" s="959"/>
      <c r="R838" s="961"/>
      <c r="S838" s="959"/>
      <c r="T838" s="961"/>
      <c r="U838" s="962"/>
      <c r="V838" s="963"/>
      <c r="W838" s="959"/>
      <c r="X838" s="961"/>
      <c r="Y838" s="959"/>
      <c r="Z838" s="961"/>
      <c r="AA838" s="959"/>
      <c r="AB838" s="959"/>
    </row>
    <row r="839">
      <c r="A839" s="950"/>
      <c r="B839" s="951"/>
      <c r="C839" s="952"/>
      <c r="D839" s="953"/>
      <c r="E839" s="952"/>
      <c r="F839" s="952"/>
      <c r="G839" s="952"/>
      <c r="H839" s="952"/>
      <c r="I839" s="954"/>
      <c r="J839" s="955"/>
      <c r="K839" s="956"/>
      <c r="L839" s="957"/>
      <c r="M839" s="958"/>
      <c r="N839" s="959"/>
      <c r="O839" s="960"/>
      <c r="P839" s="961"/>
      <c r="Q839" s="959"/>
      <c r="R839" s="961"/>
      <c r="S839" s="959"/>
      <c r="T839" s="961"/>
      <c r="U839" s="962"/>
      <c r="V839" s="963"/>
      <c r="W839" s="959"/>
      <c r="X839" s="961"/>
      <c r="Y839" s="959"/>
      <c r="Z839" s="961"/>
      <c r="AA839" s="959"/>
      <c r="AB839" s="959"/>
    </row>
    <row r="840">
      <c r="A840" s="950"/>
      <c r="B840" s="951"/>
      <c r="C840" s="952"/>
      <c r="D840" s="953"/>
      <c r="E840" s="952"/>
      <c r="F840" s="952"/>
      <c r="G840" s="952"/>
      <c r="H840" s="952"/>
      <c r="I840" s="954"/>
      <c r="J840" s="955"/>
      <c r="K840" s="956"/>
      <c r="L840" s="957"/>
      <c r="M840" s="958"/>
      <c r="N840" s="959"/>
      <c r="O840" s="960"/>
      <c r="P840" s="961"/>
      <c r="Q840" s="959"/>
      <c r="R840" s="961"/>
      <c r="S840" s="959"/>
      <c r="T840" s="961"/>
      <c r="U840" s="962"/>
      <c r="V840" s="963"/>
      <c r="W840" s="959"/>
      <c r="X840" s="961"/>
      <c r="Y840" s="959"/>
      <c r="Z840" s="961"/>
      <c r="AA840" s="959"/>
      <c r="AB840" s="959"/>
    </row>
    <row r="841">
      <c r="A841" s="950"/>
      <c r="B841" s="951"/>
      <c r="C841" s="952"/>
      <c r="D841" s="953"/>
      <c r="E841" s="952"/>
      <c r="F841" s="952"/>
      <c r="G841" s="952"/>
      <c r="H841" s="952"/>
      <c r="I841" s="954"/>
      <c r="J841" s="955"/>
      <c r="K841" s="956"/>
      <c r="L841" s="957"/>
      <c r="M841" s="958"/>
      <c r="N841" s="959"/>
      <c r="O841" s="960"/>
      <c r="P841" s="961"/>
      <c r="Q841" s="959"/>
      <c r="R841" s="961"/>
      <c r="S841" s="959"/>
      <c r="T841" s="961"/>
      <c r="U841" s="962"/>
      <c r="V841" s="963"/>
      <c r="W841" s="959"/>
      <c r="X841" s="961"/>
      <c r="Y841" s="959"/>
      <c r="Z841" s="961"/>
      <c r="AA841" s="959"/>
      <c r="AB841" s="959"/>
    </row>
    <row r="842">
      <c r="A842" s="950"/>
      <c r="B842" s="951"/>
      <c r="C842" s="952"/>
      <c r="D842" s="953"/>
      <c r="E842" s="952"/>
      <c r="F842" s="952"/>
      <c r="G842" s="952"/>
      <c r="H842" s="952"/>
      <c r="I842" s="954"/>
      <c r="J842" s="955"/>
      <c r="K842" s="956"/>
      <c r="L842" s="957"/>
      <c r="M842" s="958"/>
      <c r="N842" s="959"/>
      <c r="O842" s="960"/>
      <c r="P842" s="961"/>
      <c r="Q842" s="959"/>
      <c r="R842" s="961"/>
      <c r="S842" s="959"/>
      <c r="T842" s="961"/>
      <c r="U842" s="962"/>
      <c r="V842" s="963"/>
      <c r="W842" s="959"/>
      <c r="X842" s="961"/>
      <c r="Y842" s="959"/>
      <c r="Z842" s="961"/>
      <c r="AA842" s="959"/>
      <c r="AB842" s="959"/>
    </row>
    <row r="843">
      <c r="A843" s="950"/>
      <c r="B843" s="951"/>
      <c r="C843" s="952"/>
      <c r="D843" s="953"/>
      <c r="E843" s="952"/>
      <c r="F843" s="952"/>
      <c r="G843" s="952"/>
      <c r="H843" s="952"/>
      <c r="I843" s="954"/>
      <c r="J843" s="955"/>
      <c r="K843" s="956"/>
      <c r="L843" s="957"/>
      <c r="M843" s="958"/>
      <c r="N843" s="959"/>
      <c r="O843" s="960"/>
      <c r="P843" s="961"/>
      <c r="Q843" s="959"/>
      <c r="R843" s="961"/>
      <c r="S843" s="959"/>
      <c r="T843" s="961"/>
      <c r="U843" s="962"/>
      <c r="V843" s="963"/>
      <c r="W843" s="959"/>
      <c r="X843" s="961"/>
      <c r="Y843" s="959"/>
      <c r="Z843" s="961"/>
      <c r="AA843" s="959"/>
      <c r="AB843" s="959"/>
    </row>
    <row r="844">
      <c r="A844" s="950"/>
      <c r="B844" s="951"/>
      <c r="C844" s="952"/>
      <c r="D844" s="953"/>
      <c r="E844" s="952"/>
      <c r="F844" s="952"/>
      <c r="G844" s="952"/>
      <c r="H844" s="952"/>
      <c r="I844" s="954"/>
      <c r="J844" s="955"/>
      <c r="K844" s="956"/>
      <c r="L844" s="957"/>
      <c r="M844" s="958"/>
      <c r="N844" s="959"/>
      <c r="O844" s="960"/>
      <c r="P844" s="961"/>
      <c r="Q844" s="959"/>
      <c r="R844" s="961"/>
      <c r="S844" s="959"/>
      <c r="T844" s="961"/>
      <c r="U844" s="962"/>
      <c r="V844" s="963"/>
      <c r="W844" s="959"/>
      <c r="X844" s="961"/>
      <c r="Y844" s="959"/>
      <c r="Z844" s="961"/>
      <c r="AA844" s="959"/>
      <c r="AB844" s="959"/>
    </row>
    <row r="845">
      <c r="A845" s="950"/>
      <c r="B845" s="951"/>
      <c r="C845" s="952"/>
      <c r="D845" s="953"/>
      <c r="E845" s="952"/>
      <c r="F845" s="952"/>
      <c r="G845" s="952"/>
      <c r="H845" s="952"/>
      <c r="I845" s="954"/>
      <c r="J845" s="955"/>
      <c r="K845" s="956"/>
      <c r="L845" s="957"/>
      <c r="M845" s="958"/>
      <c r="N845" s="959"/>
      <c r="O845" s="960"/>
      <c r="P845" s="961"/>
      <c r="Q845" s="959"/>
      <c r="R845" s="961"/>
      <c r="S845" s="959"/>
      <c r="T845" s="961"/>
      <c r="U845" s="962"/>
      <c r="V845" s="963"/>
      <c r="W845" s="959"/>
      <c r="X845" s="961"/>
      <c r="Y845" s="959"/>
      <c r="Z845" s="961"/>
      <c r="AA845" s="959"/>
      <c r="AB845" s="959"/>
    </row>
    <row r="846">
      <c r="A846" s="950"/>
      <c r="B846" s="951"/>
      <c r="C846" s="952"/>
      <c r="D846" s="953"/>
      <c r="E846" s="952"/>
      <c r="F846" s="952"/>
      <c r="G846" s="952"/>
      <c r="H846" s="952"/>
      <c r="I846" s="954"/>
      <c r="J846" s="955"/>
      <c r="K846" s="956"/>
      <c r="L846" s="957"/>
      <c r="M846" s="958"/>
      <c r="N846" s="959"/>
      <c r="O846" s="960"/>
      <c r="P846" s="961"/>
      <c r="Q846" s="959"/>
      <c r="R846" s="961"/>
      <c r="S846" s="959"/>
      <c r="T846" s="961"/>
      <c r="U846" s="962"/>
      <c r="V846" s="963"/>
      <c r="W846" s="959"/>
      <c r="X846" s="961"/>
      <c r="Y846" s="959"/>
      <c r="Z846" s="961"/>
      <c r="AA846" s="959"/>
      <c r="AB846" s="959"/>
    </row>
    <row r="847">
      <c r="A847" s="950"/>
      <c r="B847" s="951"/>
      <c r="C847" s="952"/>
      <c r="D847" s="953"/>
      <c r="E847" s="952"/>
      <c r="F847" s="952"/>
      <c r="G847" s="952"/>
      <c r="H847" s="952"/>
      <c r="I847" s="954"/>
      <c r="J847" s="955"/>
      <c r="K847" s="956"/>
      <c r="L847" s="957"/>
      <c r="M847" s="958"/>
      <c r="N847" s="959"/>
      <c r="O847" s="960"/>
      <c r="P847" s="961"/>
      <c r="Q847" s="959"/>
      <c r="R847" s="961"/>
      <c r="S847" s="959"/>
      <c r="T847" s="961"/>
      <c r="U847" s="962"/>
      <c r="V847" s="963"/>
      <c r="W847" s="959"/>
      <c r="X847" s="961"/>
      <c r="Y847" s="959"/>
      <c r="Z847" s="961"/>
      <c r="AA847" s="959"/>
      <c r="AB847" s="959"/>
    </row>
    <row r="848">
      <c r="A848" s="950"/>
      <c r="B848" s="951"/>
      <c r="C848" s="952"/>
      <c r="D848" s="953"/>
      <c r="E848" s="952"/>
      <c r="F848" s="952"/>
      <c r="G848" s="952"/>
      <c r="H848" s="952"/>
      <c r="I848" s="954"/>
      <c r="J848" s="955"/>
      <c r="K848" s="956"/>
      <c r="L848" s="957"/>
      <c r="M848" s="958"/>
      <c r="N848" s="959"/>
      <c r="O848" s="960"/>
      <c r="P848" s="961"/>
      <c r="Q848" s="959"/>
      <c r="R848" s="961"/>
      <c r="S848" s="959"/>
      <c r="T848" s="961"/>
      <c r="U848" s="962"/>
      <c r="V848" s="963"/>
      <c r="W848" s="959"/>
      <c r="X848" s="961"/>
      <c r="Y848" s="959"/>
      <c r="Z848" s="961"/>
      <c r="AA848" s="959"/>
      <c r="AB848" s="959"/>
    </row>
    <row r="849">
      <c r="A849" s="950"/>
      <c r="B849" s="951"/>
      <c r="C849" s="952"/>
      <c r="D849" s="953"/>
      <c r="E849" s="952"/>
      <c r="F849" s="952"/>
      <c r="G849" s="952"/>
      <c r="H849" s="952"/>
      <c r="I849" s="954"/>
      <c r="J849" s="955"/>
      <c r="K849" s="956"/>
      <c r="L849" s="957"/>
      <c r="M849" s="958"/>
      <c r="N849" s="959"/>
      <c r="O849" s="960"/>
      <c r="P849" s="961"/>
      <c r="Q849" s="959"/>
      <c r="R849" s="961"/>
      <c r="S849" s="959"/>
      <c r="T849" s="961"/>
      <c r="U849" s="962"/>
      <c r="V849" s="963"/>
      <c r="W849" s="959"/>
      <c r="X849" s="961"/>
      <c r="Y849" s="959"/>
      <c r="Z849" s="961"/>
      <c r="AA849" s="959"/>
      <c r="AB849" s="959"/>
    </row>
    <row r="850">
      <c r="A850" s="950"/>
      <c r="B850" s="951"/>
      <c r="C850" s="952"/>
      <c r="D850" s="953"/>
      <c r="E850" s="952"/>
      <c r="F850" s="952"/>
      <c r="G850" s="952"/>
      <c r="H850" s="952"/>
      <c r="I850" s="954"/>
      <c r="J850" s="955"/>
      <c r="K850" s="956"/>
      <c r="L850" s="957"/>
      <c r="M850" s="958"/>
      <c r="N850" s="959"/>
      <c r="O850" s="960"/>
      <c r="P850" s="961"/>
      <c r="Q850" s="959"/>
      <c r="R850" s="961"/>
      <c r="S850" s="959"/>
      <c r="T850" s="961"/>
      <c r="U850" s="962"/>
      <c r="V850" s="963"/>
      <c r="W850" s="959"/>
      <c r="X850" s="961"/>
      <c r="Y850" s="959"/>
      <c r="Z850" s="961"/>
      <c r="AA850" s="959"/>
      <c r="AB850" s="959"/>
    </row>
    <row r="851">
      <c r="A851" s="950"/>
      <c r="B851" s="951"/>
      <c r="C851" s="952"/>
      <c r="D851" s="953"/>
      <c r="E851" s="952"/>
      <c r="F851" s="952"/>
      <c r="G851" s="952"/>
      <c r="H851" s="952"/>
      <c r="I851" s="954"/>
      <c r="J851" s="955"/>
      <c r="K851" s="956"/>
      <c r="L851" s="957"/>
      <c r="M851" s="958"/>
      <c r="N851" s="959"/>
      <c r="O851" s="960"/>
      <c r="P851" s="961"/>
      <c r="Q851" s="959"/>
      <c r="R851" s="961"/>
      <c r="S851" s="959"/>
      <c r="T851" s="961"/>
      <c r="U851" s="962"/>
      <c r="V851" s="963"/>
      <c r="W851" s="959"/>
      <c r="X851" s="961"/>
      <c r="Y851" s="959"/>
      <c r="Z851" s="961"/>
      <c r="AA851" s="959"/>
      <c r="AB851" s="959"/>
    </row>
    <row r="852">
      <c r="A852" s="950"/>
      <c r="B852" s="951"/>
      <c r="C852" s="952"/>
      <c r="D852" s="953"/>
      <c r="E852" s="952"/>
      <c r="F852" s="952"/>
      <c r="G852" s="952"/>
      <c r="H852" s="952"/>
      <c r="I852" s="954"/>
      <c r="J852" s="955"/>
      <c r="K852" s="956"/>
      <c r="L852" s="957"/>
      <c r="M852" s="958"/>
      <c r="N852" s="959"/>
      <c r="O852" s="960"/>
      <c r="P852" s="961"/>
      <c r="Q852" s="959"/>
      <c r="R852" s="961"/>
      <c r="S852" s="959"/>
      <c r="T852" s="961"/>
      <c r="U852" s="962"/>
      <c r="V852" s="963"/>
      <c r="W852" s="959"/>
      <c r="X852" s="961"/>
      <c r="Y852" s="959"/>
      <c r="Z852" s="961"/>
      <c r="AA852" s="959"/>
      <c r="AB852" s="959"/>
    </row>
    <row r="853">
      <c r="A853" s="950"/>
      <c r="B853" s="951"/>
      <c r="C853" s="952"/>
      <c r="D853" s="953"/>
      <c r="E853" s="952"/>
      <c r="F853" s="952"/>
      <c r="G853" s="952"/>
      <c r="H853" s="952"/>
      <c r="I853" s="954"/>
      <c r="J853" s="955"/>
      <c r="K853" s="956"/>
      <c r="L853" s="957"/>
      <c r="M853" s="958"/>
      <c r="N853" s="959"/>
      <c r="O853" s="960"/>
      <c r="P853" s="961"/>
      <c r="Q853" s="959"/>
      <c r="R853" s="961"/>
      <c r="S853" s="959"/>
      <c r="T853" s="961"/>
      <c r="U853" s="962"/>
      <c r="V853" s="963"/>
      <c r="W853" s="959"/>
      <c r="X853" s="961"/>
      <c r="Y853" s="959"/>
      <c r="Z853" s="961"/>
      <c r="AA853" s="959"/>
      <c r="AB853" s="959"/>
    </row>
    <row r="854">
      <c r="A854" s="950"/>
      <c r="B854" s="951"/>
      <c r="C854" s="952"/>
      <c r="D854" s="953"/>
      <c r="E854" s="952"/>
      <c r="F854" s="952"/>
      <c r="G854" s="952"/>
      <c r="H854" s="952"/>
      <c r="I854" s="954"/>
      <c r="J854" s="955"/>
      <c r="K854" s="956"/>
      <c r="L854" s="957"/>
      <c r="M854" s="958"/>
      <c r="N854" s="959"/>
      <c r="O854" s="960"/>
      <c r="P854" s="961"/>
      <c r="Q854" s="959"/>
      <c r="R854" s="961"/>
      <c r="S854" s="959"/>
      <c r="T854" s="961"/>
      <c r="U854" s="962"/>
      <c r="V854" s="963"/>
      <c r="W854" s="959"/>
      <c r="X854" s="961"/>
      <c r="Y854" s="959"/>
      <c r="Z854" s="961"/>
      <c r="AA854" s="959"/>
      <c r="AB854" s="959"/>
    </row>
    <row r="855">
      <c r="A855" s="950"/>
      <c r="B855" s="951"/>
      <c r="C855" s="952"/>
      <c r="D855" s="953"/>
      <c r="E855" s="952"/>
      <c r="F855" s="952"/>
      <c r="G855" s="952"/>
      <c r="H855" s="952"/>
      <c r="I855" s="954"/>
      <c r="J855" s="955"/>
      <c r="K855" s="956"/>
      <c r="L855" s="957"/>
      <c r="M855" s="958"/>
      <c r="N855" s="959"/>
      <c r="O855" s="960"/>
      <c r="P855" s="961"/>
      <c r="Q855" s="959"/>
      <c r="R855" s="961"/>
      <c r="S855" s="959"/>
      <c r="T855" s="961"/>
      <c r="U855" s="962"/>
      <c r="V855" s="963"/>
      <c r="W855" s="959"/>
      <c r="X855" s="961"/>
      <c r="Y855" s="959"/>
      <c r="Z855" s="961"/>
      <c r="AA855" s="959"/>
      <c r="AB855" s="959"/>
    </row>
    <row r="856">
      <c r="A856" s="950"/>
      <c r="B856" s="951"/>
      <c r="C856" s="952"/>
      <c r="D856" s="953"/>
      <c r="E856" s="952"/>
      <c r="F856" s="952"/>
      <c r="G856" s="952"/>
      <c r="H856" s="952"/>
      <c r="I856" s="954"/>
      <c r="J856" s="955"/>
      <c r="K856" s="956"/>
      <c r="L856" s="957"/>
      <c r="M856" s="958"/>
      <c r="N856" s="959"/>
      <c r="O856" s="960"/>
      <c r="P856" s="961"/>
      <c r="Q856" s="959"/>
      <c r="R856" s="961"/>
      <c r="S856" s="959"/>
      <c r="T856" s="961"/>
      <c r="U856" s="962"/>
      <c r="V856" s="963"/>
      <c r="W856" s="959"/>
      <c r="X856" s="961"/>
      <c r="Y856" s="959"/>
      <c r="Z856" s="961"/>
      <c r="AA856" s="959"/>
      <c r="AB856" s="959"/>
    </row>
    <row r="857">
      <c r="A857" s="950"/>
      <c r="B857" s="951"/>
      <c r="C857" s="952"/>
      <c r="D857" s="953"/>
      <c r="E857" s="952"/>
      <c r="F857" s="952"/>
      <c r="G857" s="952"/>
      <c r="H857" s="952"/>
      <c r="I857" s="954"/>
      <c r="J857" s="955"/>
      <c r="K857" s="956"/>
      <c r="L857" s="957"/>
      <c r="M857" s="958"/>
      <c r="N857" s="959"/>
      <c r="O857" s="960"/>
      <c r="P857" s="961"/>
      <c r="Q857" s="959"/>
      <c r="R857" s="961"/>
      <c r="S857" s="959"/>
      <c r="T857" s="961"/>
      <c r="U857" s="962"/>
      <c r="V857" s="963"/>
      <c r="W857" s="959"/>
      <c r="X857" s="961"/>
      <c r="Y857" s="959"/>
      <c r="Z857" s="961"/>
      <c r="AA857" s="959"/>
      <c r="AB857" s="959"/>
    </row>
    <row r="858">
      <c r="A858" s="950"/>
      <c r="B858" s="951"/>
      <c r="C858" s="952"/>
      <c r="D858" s="953"/>
      <c r="E858" s="952"/>
      <c r="F858" s="952"/>
      <c r="G858" s="952"/>
      <c r="H858" s="952"/>
      <c r="I858" s="954"/>
      <c r="J858" s="955"/>
      <c r="K858" s="956"/>
      <c r="L858" s="957"/>
      <c r="M858" s="958"/>
      <c r="N858" s="959"/>
      <c r="O858" s="960"/>
      <c r="P858" s="961"/>
      <c r="Q858" s="959"/>
      <c r="R858" s="961"/>
      <c r="S858" s="959"/>
      <c r="T858" s="961"/>
      <c r="U858" s="962"/>
      <c r="V858" s="963"/>
      <c r="W858" s="959"/>
      <c r="X858" s="961"/>
      <c r="Y858" s="959"/>
      <c r="Z858" s="961"/>
      <c r="AA858" s="959"/>
      <c r="AB858" s="959"/>
    </row>
    <row r="859">
      <c r="A859" s="950"/>
      <c r="B859" s="951"/>
      <c r="C859" s="952"/>
      <c r="D859" s="953"/>
      <c r="E859" s="952"/>
      <c r="F859" s="952"/>
      <c r="G859" s="952"/>
      <c r="H859" s="952"/>
      <c r="I859" s="954"/>
      <c r="J859" s="955"/>
      <c r="K859" s="956"/>
      <c r="L859" s="957"/>
      <c r="M859" s="958"/>
      <c r="N859" s="959"/>
      <c r="O859" s="960"/>
      <c r="P859" s="961"/>
      <c r="Q859" s="959"/>
      <c r="R859" s="961"/>
      <c r="S859" s="959"/>
      <c r="T859" s="961"/>
      <c r="U859" s="962"/>
      <c r="V859" s="963"/>
      <c r="W859" s="959"/>
      <c r="X859" s="961"/>
      <c r="Y859" s="959"/>
      <c r="Z859" s="961"/>
      <c r="AA859" s="959"/>
      <c r="AB859" s="959"/>
    </row>
    <row r="860">
      <c r="A860" s="950"/>
      <c r="B860" s="951"/>
      <c r="C860" s="952"/>
      <c r="D860" s="953"/>
      <c r="E860" s="952"/>
      <c r="F860" s="952"/>
      <c r="G860" s="952"/>
      <c r="H860" s="952"/>
      <c r="I860" s="954"/>
      <c r="J860" s="955"/>
      <c r="K860" s="956"/>
      <c r="L860" s="957"/>
      <c r="M860" s="958"/>
      <c r="N860" s="959"/>
      <c r="O860" s="960"/>
      <c r="P860" s="961"/>
      <c r="Q860" s="959"/>
      <c r="R860" s="961"/>
      <c r="S860" s="959"/>
      <c r="T860" s="961"/>
      <c r="U860" s="962"/>
      <c r="V860" s="963"/>
      <c r="W860" s="959"/>
      <c r="X860" s="961"/>
      <c r="Y860" s="959"/>
      <c r="Z860" s="961"/>
      <c r="AA860" s="959"/>
      <c r="AB860" s="959"/>
    </row>
    <row r="861">
      <c r="A861" s="950"/>
      <c r="B861" s="951"/>
      <c r="C861" s="952"/>
      <c r="D861" s="953"/>
      <c r="E861" s="952"/>
      <c r="F861" s="952"/>
      <c r="G861" s="952"/>
      <c r="H861" s="952"/>
      <c r="I861" s="954"/>
      <c r="J861" s="955"/>
      <c r="K861" s="956"/>
      <c r="L861" s="957"/>
      <c r="M861" s="958"/>
      <c r="N861" s="959"/>
      <c r="O861" s="960"/>
      <c r="P861" s="961"/>
      <c r="Q861" s="959"/>
      <c r="R861" s="961"/>
      <c r="S861" s="959"/>
      <c r="T861" s="961"/>
      <c r="U861" s="962"/>
      <c r="V861" s="963"/>
      <c r="W861" s="959"/>
      <c r="X861" s="961"/>
      <c r="Y861" s="959"/>
      <c r="Z861" s="961"/>
      <c r="AA861" s="959"/>
      <c r="AB861" s="959"/>
    </row>
    <row r="862">
      <c r="A862" s="950"/>
      <c r="B862" s="951"/>
      <c r="C862" s="952"/>
      <c r="D862" s="953"/>
      <c r="E862" s="952"/>
      <c r="F862" s="952"/>
      <c r="G862" s="952"/>
      <c r="H862" s="952"/>
      <c r="I862" s="954"/>
      <c r="J862" s="955"/>
      <c r="K862" s="956"/>
      <c r="L862" s="957"/>
      <c r="M862" s="958"/>
      <c r="N862" s="959"/>
      <c r="O862" s="960"/>
      <c r="P862" s="961"/>
      <c r="Q862" s="959"/>
      <c r="R862" s="961"/>
      <c r="S862" s="959"/>
      <c r="T862" s="961"/>
      <c r="U862" s="962"/>
      <c r="V862" s="963"/>
      <c r="W862" s="959"/>
      <c r="X862" s="961"/>
      <c r="Y862" s="959"/>
      <c r="Z862" s="961"/>
      <c r="AA862" s="959"/>
      <c r="AB862" s="959"/>
    </row>
    <row r="863">
      <c r="A863" s="950"/>
      <c r="B863" s="951"/>
      <c r="C863" s="952"/>
      <c r="D863" s="953"/>
      <c r="E863" s="952"/>
      <c r="F863" s="952"/>
      <c r="G863" s="952"/>
      <c r="H863" s="952"/>
      <c r="I863" s="954"/>
      <c r="J863" s="955"/>
      <c r="K863" s="956"/>
      <c r="L863" s="957"/>
      <c r="M863" s="958"/>
      <c r="N863" s="959"/>
      <c r="O863" s="960"/>
      <c r="P863" s="961"/>
      <c r="Q863" s="959"/>
      <c r="R863" s="961"/>
      <c r="S863" s="959"/>
      <c r="T863" s="961"/>
      <c r="U863" s="962"/>
      <c r="V863" s="963"/>
      <c r="W863" s="959"/>
      <c r="X863" s="961"/>
      <c r="Y863" s="959"/>
      <c r="Z863" s="961"/>
      <c r="AA863" s="959"/>
      <c r="AB863" s="959"/>
    </row>
    <row r="864">
      <c r="A864" s="950"/>
      <c r="B864" s="951"/>
      <c r="C864" s="952"/>
      <c r="D864" s="953"/>
      <c r="E864" s="952"/>
      <c r="F864" s="952"/>
      <c r="G864" s="952"/>
      <c r="H864" s="952"/>
      <c r="I864" s="954"/>
      <c r="J864" s="955"/>
      <c r="K864" s="956"/>
      <c r="L864" s="957"/>
      <c r="M864" s="958"/>
      <c r="N864" s="959"/>
      <c r="O864" s="960"/>
      <c r="P864" s="961"/>
      <c r="Q864" s="959"/>
      <c r="R864" s="961"/>
      <c r="S864" s="959"/>
      <c r="T864" s="961"/>
      <c r="U864" s="962"/>
      <c r="V864" s="963"/>
      <c r="W864" s="959"/>
      <c r="X864" s="961"/>
      <c r="Y864" s="959"/>
      <c r="Z864" s="961"/>
      <c r="AA864" s="959"/>
      <c r="AB864" s="959"/>
    </row>
    <row r="865">
      <c r="A865" s="950"/>
      <c r="B865" s="951"/>
      <c r="C865" s="952"/>
      <c r="D865" s="953"/>
      <c r="E865" s="952"/>
      <c r="F865" s="952"/>
      <c r="G865" s="952"/>
      <c r="H865" s="952"/>
      <c r="I865" s="954"/>
      <c r="J865" s="955"/>
      <c r="K865" s="956"/>
      <c r="L865" s="957"/>
      <c r="M865" s="958"/>
      <c r="N865" s="959"/>
      <c r="O865" s="960"/>
      <c r="P865" s="961"/>
      <c r="Q865" s="959"/>
      <c r="R865" s="961"/>
      <c r="S865" s="959"/>
      <c r="T865" s="961"/>
      <c r="U865" s="962"/>
      <c r="V865" s="963"/>
      <c r="W865" s="959"/>
      <c r="X865" s="961"/>
      <c r="Y865" s="959"/>
      <c r="Z865" s="961"/>
      <c r="AA865" s="959"/>
      <c r="AB865" s="959"/>
    </row>
    <row r="866">
      <c r="A866" s="950"/>
      <c r="B866" s="951"/>
      <c r="C866" s="952"/>
      <c r="D866" s="953"/>
      <c r="E866" s="952"/>
      <c r="F866" s="952"/>
      <c r="G866" s="952"/>
      <c r="H866" s="952"/>
      <c r="I866" s="954"/>
      <c r="J866" s="955"/>
      <c r="K866" s="956"/>
      <c r="L866" s="957"/>
      <c r="M866" s="958"/>
      <c r="N866" s="959"/>
      <c r="O866" s="960"/>
      <c r="P866" s="961"/>
      <c r="Q866" s="959"/>
      <c r="R866" s="961"/>
      <c r="S866" s="959"/>
      <c r="T866" s="961"/>
      <c r="U866" s="962"/>
      <c r="V866" s="963"/>
      <c r="W866" s="959"/>
      <c r="X866" s="961"/>
      <c r="Y866" s="959"/>
      <c r="Z866" s="961"/>
      <c r="AA866" s="959"/>
      <c r="AB866" s="959"/>
    </row>
    <row r="867">
      <c r="A867" s="950"/>
      <c r="B867" s="951"/>
      <c r="C867" s="952"/>
      <c r="D867" s="953"/>
      <c r="E867" s="952"/>
      <c r="F867" s="952"/>
      <c r="G867" s="952"/>
      <c r="H867" s="952"/>
      <c r="I867" s="954"/>
      <c r="J867" s="955"/>
      <c r="K867" s="956"/>
      <c r="L867" s="957"/>
      <c r="M867" s="958"/>
      <c r="N867" s="959"/>
      <c r="O867" s="960"/>
      <c r="P867" s="961"/>
      <c r="Q867" s="959"/>
      <c r="R867" s="961"/>
      <c r="S867" s="959"/>
      <c r="T867" s="961"/>
      <c r="U867" s="962"/>
      <c r="V867" s="963"/>
      <c r="W867" s="959"/>
      <c r="X867" s="961"/>
      <c r="Y867" s="959"/>
      <c r="Z867" s="961"/>
      <c r="AA867" s="959"/>
      <c r="AB867" s="959"/>
    </row>
    <row r="868">
      <c r="A868" s="950"/>
      <c r="B868" s="951"/>
      <c r="C868" s="952"/>
      <c r="D868" s="953"/>
      <c r="E868" s="952"/>
      <c r="F868" s="952"/>
      <c r="G868" s="952"/>
      <c r="H868" s="952"/>
      <c r="I868" s="954"/>
      <c r="J868" s="955"/>
      <c r="K868" s="956"/>
      <c r="L868" s="957"/>
      <c r="M868" s="958"/>
      <c r="N868" s="959"/>
      <c r="O868" s="960"/>
      <c r="P868" s="961"/>
      <c r="Q868" s="959"/>
      <c r="R868" s="961"/>
      <c r="S868" s="959"/>
      <c r="T868" s="961"/>
      <c r="U868" s="962"/>
      <c r="V868" s="963"/>
      <c r="W868" s="959"/>
      <c r="X868" s="961"/>
      <c r="Y868" s="959"/>
      <c r="Z868" s="961"/>
      <c r="AA868" s="959"/>
      <c r="AB868" s="959"/>
    </row>
    <row r="869">
      <c r="A869" s="950"/>
      <c r="B869" s="951"/>
      <c r="C869" s="952"/>
      <c r="D869" s="953"/>
      <c r="E869" s="952"/>
      <c r="F869" s="952"/>
      <c r="G869" s="952"/>
      <c r="H869" s="952"/>
      <c r="I869" s="954"/>
      <c r="J869" s="955"/>
      <c r="K869" s="956"/>
      <c r="L869" s="957"/>
      <c r="M869" s="958"/>
      <c r="N869" s="959"/>
      <c r="O869" s="960"/>
      <c r="P869" s="961"/>
      <c r="Q869" s="959"/>
      <c r="R869" s="961"/>
      <c r="S869" s="959"/>
      <c r="T869" s="961"/>
      <c r="U869" s="962"/>
      <c r="V869" s="963"/>
      <c r="W869" s="959"/>
      <c r="X869" s="961"/>
      <c r="Y869" s="959"/>
      <c r="Z869" s="961"/>
      <c r="AA869" s="959"/>
      <c r="AB869" s="959"/>
    </row>
    <row r="870">
      <c r="A870" s="950"/>
      <c r="B870" s="951"/>
      <c r="C870" s="952"/>
      <c r="D870" s="953"/>
      <c r="E870" s="952"/>
      <c r="F870" s="952"/>
      <c r="G870" s="952"/>
      <c r="H870" s="952"/>
      <c r="I870" s="954"/>
      <c r="J870" s="955"/>
      <c r="K870" s="956"/>
      <c r="L870" s="957"/>
      <c r="M870" s="958"/>
      <c r="N870" s="959"/>
      <c r="O870" s="960"/>
      <c r="P870" s="961"/>
      <c r="Q870" s="959"/>
      <c r="R870" s="961"/>
      <c r="S870" s="959"/>
      <c r="T870" s="961"/>
      <c r="U870" s="962"/>
      <c r="V870" s="963"/>
      <c r="W870" s="959"/>
      <c r="X870" s="961"/>
      <c r="Y870" s="959"/>
      <c r="Z870" s="961"/>
      <c r="AA870" s="959"/>
      <c r="AB870" s="959"/>
    </row>
    <row r="871">
      <c r="A871" s="950"/>
      <c r="B871" s="951"/>
      <c r="C871" s="952"/>
      <c r="D871" s="953"/>
      <c r="E871" s="952"/>
      <c r="F871" s="952"/>
      <c r="G871" s="952"/>
      <c r="H871" s="952"/>
      <c r="I871" s="954"/>
      <c r="J871" s="955"/>
      <c r="K871" s="956"/>
      <c r="L871" s="957"/>
      <c r="M871" s="958"/>
      <c r="N871" s="959"/>
      <c r="O871" s="960"/>
      <c r="P871" s="961"/>
      <c r="Q871" s="959"/>
      <c r="R871" s="961"/>
      <c r="S871" s="959"/>
      <c r="T871" s="961"/>
      <c r="U871" s="962"/>
      <c r="V871" s="963"/>
      <c r="W871" s="959"/>
      <c r="X871" s="961"/>
      <c r="Y871" s="959"/>
      <c r="Z871" s="961"/>
      <c r="AA871" s="959"/>
      <c r="AB871" s="959"/>
    </row>
    <row r="872">
      <c r="A872" s="950"/>
      <c r="B872" s="951"/>
      <c r="C872" s="952"/>
      <c r="D872" s="953"/>
      <c r="E872" s="952"/>
      <c r="F872" s="952"/>
      <c r="G872" s="952"/>
      <c r="H872" s="952"/>
      <c r="I872" s="954"/>
      <c r="J872" s="955"/>
      <c r="K872" s="956"/>
      <c r="L872" s="957"/>
      <c r="M872" s="958"/>
      <c r="N872" s="959"/>
      <c r="O872" s="960"/>
      <c r="P872" s="961"/>
      <c r="Q872" s="959"/>
      <c r="R872" s="961"/>
      <c r="S872" s="959"/>
      <c r="T872" s="961"/>
      <c r="U872" s="962"/>
      <c r="V872" s="963"/>
      <c r="W872" s="959"/>
      <c r="X872" s="961"/>
      <c r="Y872" s="959"/>
      <c r="Z872" s="961"/>
      <c r="AA872" s="959"/>
      <c r="AB872" s="959"/>
    </row>
    <row r="873">
      <c r="A873" s="950"/>
      <c r="B873" s="951"/>
      <c r="C873" s="952"/>
      <c r="D873" s="953"/>
      <c r="E873" s="952"/>
      <c r="F873" s="952"/>
      <c r="G873" s="952"/>
      <c r="H873" s="952"/>
      <c r="I873" s="954"/>
      <c r="J873" s="955"/>
      <c r="K873" s="956"/>
      <c r="L873" s="957"/>
      <c r="M873" s="958"/>
      <c r="N873" s="959"/>
      <c r="O873" s="960"/>
      <c r="P873" s="961"/>
      <c r="Q873" s="959"/>
      <c r="R873" s="961"/>
      <c r="S873" s="959"/>
      <c r="T873" s="961"/>
      <c r="U873" s="962"/>
      <c r="V873" s="963"/>
      <c r="W873" s="959"/>
      <c r="X873" s="961"/>
      <c r="Y873" s="959"/>
      <c r="Z873" s="961"/>
      <c r="AA873" s="959"/>
      <c r="AB873" s="959"/>
    </row>
    <row r="874">
      <c r="A874" s="950"/>
      <c r="B874" s="951"/>
      <c r="C874" s="952"/>
      <c r="D874" s="953"/>
      <c r="E874" s="952"/>
      <c r="F874" s="952"/>
      <c r="G874" s="952"/>
      <c r="H874" s="952"/>
      <c r="I874" s="954"/>
      <c r="J874" s="955"/>
      <c r="K874" s="956"/>
      <c r="L874" s="957"/>
      <c r="M874" s="958"/>
      <c r="N874" s="959"/>
      <c r="O874" s="960"/>
      <c r="P874" s="961"/>
      <c r="Q874" s="959"/>
      <c r="R874" s="961"/>
      <c r="S874" s="959"/>
      <c r="T874" s="961"/>
      <c r="U874" s="962"/>
      <c r="V874" s="963"/>
      <c r="W874" s="959"/>
      <c r="X874" s="961"/>
      <c r="Y874" s="959"/>
      <c r="Z874" s="961"/>
      <c r="AA874" s="959"/>
      <c r="AB874" s="959"/>
    </row>
    <row r="875">
      <c r="A875" s="950"/>
      <c r="B875" s="951"/>
      <c r="C875" s="952"/>
      <c r="D875" s="953"/>
      <c r="E875" s="952"/>
      <c r="F875" s="952"/>
      <c r="G875" s="952"/>
      <c r="H875" s="952"/>
      <c r="I875" s="954"/>
      <c r="J875" s="955"/>
      <c r="K875" s="956"/>
      <c r="L875" s="957"/>
      <c r="M875" s="958"/>
      <c r="N875" s="959"/>
      <c r="O875" s="960"/>
      <c r="P875" s="961"/>
      <c r="Q875" s="959"/>
      <c r="R875" s="961"/>
      <c r="S875" s="959"/>
      <c r="T875" s="961"/>
      <c r="U875" s="962"/>
      <c r="V875" s="963"/>
      <c r="W875" s="959"/>
      <c r="X875" s="961"/>
      <c r="Y875" s="959"/>
      <c r="Z875" s="961"/>
      <c r="AA875" s="959"/>
      <c r="AB875" s="959"/>
    </row>
    <row r="876">
      <c r="A876" s="950"/>
      <c r="B876" s="951"/>
      <c r="C876" s="952"/>
      <c r="D876" s="953"/>
      <c r="E876" s="952"/>
      <c r="F876" s="952"/>
      <c r="G876" s="952"/>
      <c r="H876" s="952"/>
      <c r="I876" s="954"/>
      <c r="J876" s="955"/>
      <c r="K876" s="956"/>
      <c r="L876" s="957"/>
      <c r="M876" s="958"/>
      <c r="N876" s="959"/>
      <c r="O876" s="960"/>
      <c r="P876" s="961"/>
      <c r="Q876" s="959"/>
      <c r="R876" s="961"/>
      <c r="S876" s="959"/>
      <c r="T876" s="961"/>
      <c r="U876" s="962"/>
      <c r="V876" s="963"/>
      <c r="W876" s="959"/>
      <c r="X876" s="961"/>
      <c r="Y876" s="959"/>
      <c r="Z876" s="961"/>
      <c r="AA876" s="959"/>
      <c r="AB876" s="959"/>
    </row>
    <row r="877">
      <c r="A877" s="950"/>
      <c r="B877" s="951"/>
      <c r="C877" s="952"/>
      <c r="D877" s="953"/>
      <c r="E877" s="952"/>
      <c r="F877" s="952"/>
      <c r="G877" s="952"/>
      <c r="H877" s="952"/>
      <c r="I877" s="954"/>
      <c r="J877" s="955"/>
      <c r="K877" s="956"/>
      <c r="L877" s="957"/>
      <c r="M877" s="958"/>
      <c r="N877" s="959"/>
      <c r="O877" s="960"/>
      <c r="P877" s="961"/>
      <c r="Q877" s="959"/>
      <c r="R877" s="961"/>
      <c r="S877" s="959"/>
      <c r="T877" s="961"/>
      <c r="U877" s="962"/>
      <c r="V877" s="963"/>
      <c r="W877" s="959"/>
      <c r="X877" s="961"/>
      <c r="Y877" s="959"/>
      <c r="Z877" s="961"/>
      <c r="AA877" s="959"/>
      <c r="AB877" s="959"/>
    </row>
    <row r="878">
      <c r="A878" s="950"/>
      <c r="B878" s="951"/>
      <c r="C878" s="952"/>
      <c r="D878" s="953"/>
      <c r="E878" s="952"/>
      <c r="F878" s="952"/>
      <c r="G878" s="952"/>
      <c r="H878" s="952"/>
      <c r="I878" s="954"/>
      <c r="J878" s="955"/>
      <c r="K878" s="956"/>
      <c r="L878" s="957"/>
      <c r="M878" s="958"/>
      <c r="N878" s="959"/>
      <c r="O878" s="960"/>
      <c r="P878" s="961"/>
      <c r="Q878" s="959"/>
      <c r="R878" s="961"/>
      <c r="S878" s="959"/>
      <c r="T878" s="961"/>
      <c r="U878" s="962"/>
      <c r="V878" s="963"/>
      <c r="W878" s="959"/>
      <c r="X878" s="961"/>
      <c r="Y878" s="959"/>
      <c r="Z878" s="961"/>
      <c r="AA878" s="959"/>
      <c r="AB878" s="959"/>
    </row>
    <row r="879">
      <c r="A879" s="950"/>
      <c r="B879" s="951"/>
      <c r="C879" s="952"/>
      <c r="D879" s="953"/>
      <c r="E879" s="952"/>
      <c r="F879" s="952"/>
      <c r="G879" s="952"/>
      <c r="H879" s="952"/>
      <c r="I879" s="954"/>
      <c r="J879" s="955"/>
      <c r="K879" s="956"/>
      <c r="L879" s="957"/>
      <c r="M879" s="958"/>
      <c r="N879" s="959"/>
      <c r="O879" s="960"/>
      <c r="P879" s="961"/>
      <c r="Q879" s="959"/>
      <c r="R879" s="961"/>
      <c r="S879" s="959"/>
      <c r="T879" s="961"/>
      <c r="U879" s="962"/>
      <c r="V879" s="963"/>
      <c r="W879" s="959"/>
      <c r="X879" s="961"/>
      <c r="Y879" s="959"/>
      <c r="Z879" s="961"/>
      <c r="AA879" s="959"/>
      <c r="AB879" s="959"/>
    </row>
    <row r="880">
      <c r="A880" s="950"/>
      <c r="B880" s="951"/>
      <c r="C880" s="952"/>
      <c r="D880" s="953"/>
      <c r="E880" s="952"/>
      <c r="F880" s="952"/>
      <c r="G880" s="952"/>
      <c r="H880" s="952"/>
      <c r="I880" s="954"/>
      <c r="J880" s="955"/>
      <c r="K880" s="956"/>
      <c r="L880" s="957"/>
      <c r="M880" s="958"/>
      <c r="N880" s="959"/>
      <c r="O880" s="960"/>
      <c r="P880" s="961"/>
      <c r="Q880" s="959"/>
      <c r="R880" s="961"/>
      <c r="S880" s="959"/>
      <c r="T880" s="961"/>
      <c r="U880" s="962"/>
      <c r="V880" s="963"/>
      <c r="W880" s="959"/>
      <c r="X880" s="961"/>
      <c r="Y880" s="959"/>
      <c r="Z880" s="961"/>
      <c r="AA880" s="959"/>
      <c r="AB880" s="959"/>
    </row>
    <row r="881">
      <c r="A881" s="950"/>
      <c r="B881" s="951"/>
      <c r="C881" s="952"/>
      <c r="D881" s="953"/>
      <c r="E881" s="952"/>
      <c r="F881" s="952"/>
      <c r="G881" s="952"/>
      <c r="H881" s="952"/>
      <c r="I881" s="954"/>
      <c r="J881" s="955"/>
      <c r="K881" s="956"/>
      <c r="L881" s="957"/>
      <c r="M881" s="958"/>
      <c r="N881" s="959"/>
      <c r="O881" s="960"/>
      <c r="P881" s="961"/>
      <c r="Q881" s="959"/>
      <c r="R881" s="961"/>
      <c r="S881" s="959"/>
      <c r="T881" s="961"/>
      <c r="U881" s="962"/>
      <c r="V881" s="963"/>
      <c r="W881" s="959"/>
      <c r="X881" s="961"/>
      <c r="Y881" s="959"/>
      <c r="Z881" s="961"/>
      <c r="AA881" s="959"/>
      <c r="AB881" s="959"/>
    </row>
    <row r="882">
      <c r="A882" s="950"/>
      <c r="B882" s="951"/>
      <c r="C882" s="952"/>
      <c r="D882" s="953"/>
      <c r="E882" s="952"/>
      <c r="F882" s="952"/>
      <c r="G882" s="952"/>
      <c r="H882" s="952"/>
      <c r="I882" s="954"/>
      <c r="J882" s="955"/>
      <c r="K882" s="956"/>
      <c r="L882" s="957"/>
      <c r="M882" s="958"/>
      <c r="N882" s="959"/>
      <c r="O882" s="960"/>
      <c r="P882" s="961"/>
      <c r="Q882" s="959"/>
      <c r="R882" s="961"/>
      <c r="S882" s="959"/>
      <c r="T882" s="961"/>
      <c r="U882" s="962"/>
      <c r="V882" s="963"/>
      <c r="W882" s="959"/>
      <c r="X882" s="961"/>
      <c r="Y882" s="959"/>
      <c r="Z882" s="961"/>
      <c r="AA882" s="959"/>
      <c r="AB882" s="959"/>
    </row>
    <row r="883">
      <c r="A883" s="950"/>
      <c r="B883" s="951"/>
      <c r="C883" s="952"/>
      <c r="D883" s="953"/>
      <c r="E883" s="952"/>
      <c r="F883" s="952"/>
      <c r="G883" s="952"/>
      <c r="H883" s="952"/>
      <c r="I883" s="954"/>
      <c r="J883" s="955"/>
      <c r="K883" s="956"/>
      <c r="L883" s="957"/>
      <c r="M883" s="958"/>
      <c r="N883" s="959"/>
      <c r="O883" s="960"/>
      <c r="P883" s="961"/>
      <c r="Q883" s="959"/>
      <c r="R883" s="961"/>
      <c r="S883" s="959"/>
      <c r="T883" s="961"/>
      <c r="U883" s="962"/>
      <c r="V883" s="963"/>
      <c r="W883" s="959"/>
      <c r="X883" s="961"/>
      <c r="Y883" s="959"/>
      <c r="Z883" s="961"/>
      <c r="AA883" s="959"/>
      <c r="AB883" s="959"/>
    </row>
    <row r="884">
      <c r="A884" s="950"/>
      <c r="B884" s="951"/>
      <c r="C884" s="952"/>
      <c r="D884" s="953"/>
      <c r="E884" s="952"/>
      <c r="F884" s="952"/>
      <c r="G884" s="952"/>
      <c r="H884" s="952"/>
      <c r="I884" s="954"/>
      <c r="J884" s="955"/>
      <c r="K884" s="956"/>
      <c r="L884" s="957"/>
      <c r="M884" s="958"/>
      <c r="N884" s="959"/>
      <c r="O884" s="960"/>
      <c r="P884" s="961"/>
      <c r="Q884" s="959"/>
      <c r="R884" s="961"/>
      <c r="S884" s="959"/>
      <c r="T884" s="961"/>
      <c r="U884" s="962"/>
      <c r="V884" s="963"/>
      <c r="W884" s="959"/>
      <c r="X884" s="961"/>
      <c r="Y884" s="959"/>
      <c r="Z884" s="961"/>
      <c r="AA884" s="959"/>
      <c r="AB884" s="959"/>
    </row>
    <row r="885">
      <c r="A885" s="950"/>
      <c r="B885" s="951"/>
      <c r="C885" s="952"/>
      <c r="D885" s="953"/>
      <c r="E885" s="952"/>
      <c r="F885" s="952"/>
      <c r="G885" s="952"/>
      <c r="H885" s="952"/>
      <c r="I885" s="954"/>
      <c r="J885" s="955"/>
      <c r="K885" s="956"/>
      <c r="L885" s="957"/>
      <c r="M885" s="958"/>
      <c r="N885" s="959"/>
      <c r="O885" s="960"/>
      <c r="P885" s="961"/>
      <c r="Q885" s="959"/>
      <c r="R885" s="961"/>
      <c r="S885" s="959"/>
      <c r="T885" s="961"/>
      <c r="U885" s="962"/>
      <c r="V885" s="963"/>
      <c r="W885" s="959"/>
      <c r="X885" s="961"/>
      <c r="Y885" s="959"/>
      <c r="Z885" s="961"/>
      <c r="AA885" s="959"/>
      <c r="AB885" s="959"/>
    </row>
    <row r="886">
      <c r="A886" s="950"/>
      <c r="B886" s="951"/>
      <c r="C886" s="952"/>
      <c r="D886" s="953"/>
      <c r="E886" s="952"/>
      <c r="F886" s="952"/>
      <c r="G886" s="952"/>
      <c r="H886" s="952"/>
      <c r="I886" s="954"/>
      <c r="J886" s="955"/>
      <c r="K886" s="956"/>
      <c r="L886" s="957"/>
      <c r="M886" s="958"/>
      <c r="N886" s="959"/>
      <c r="O886" s="960"/>
      <c r="P886" s="961"/>
      <c r="Q886" s="959"/>
      <c r="R886" s="961"/>
      <c r="S886" s="959"/>
      <c r="T886" s="961"/>
      <c r="U886" s="962"/>
      <c r="V886" s="963"/>
      <c r="W886" s="959"/>
      <c r="X886" s="961"/>
      <c r="Y886" s="959"/>
      <c r="Z886" s="961"/>
      <c r="AA886" s="959"/>
      <c r="AB886" s="959"/>
    </row>
    <row r="887">
      <c r="A887" s="950"/>
      <c r="B887" s="951"/>
      <c r="C887" s="952"/>
      <c r="D887" s="953"/>
      <c r="E887" s="952"/>
      <c r="F887" s="952"/>
      <c r="G887" s="952"/>
      <c r="H887" s="952"/>
      <c r="I887" s="954"/>
      <c r="J887" s="955"/>
      <c r="K887" s="956"/>
      <c r="L887" s="957"/>
      <c r="M887" s="958"/>
      <c r="N887" s="959"/>
      <c r="O887" s="960"/>
      <c r="P887" s="961"/>
      <c r="Q887" s="959"/>
      <c r="R887" s="961"/>
      <c r="S887" s="959"/>
      <c r="T887" s="961"/>
      <c r="U887" s="962"/>
      <c r="V887" s="963"/>
      <c r="W887" s="959"/>
      <c r="X887" s="961"/>
      <c r="Y887" s="959"/>
      <c r="Z887" s="961"/>
      <c r="AA887" s="959"/>
      <c r="AB887" s="959"/>
    </row>
    <row r="888">
      <c r="A888" s="950"/>
      <c r="B888" s="951"/>
      <c r="C888" s="952"/>
      <c r="D888" s="953"/>
      <c r="E888" s="952"/>
      <c r="F888" s="952"/>
      <c r="G888" s="952"/>
      <c r="H888" s="952"/>
      <c r="I888" s="954"/>
      <c r="J888" s="955"/>
      <c r="K888" s="956"/>
      <c r="L888" s="957"/>
      <c r="M888" s="958"/>
      <c r="N888" s="959"/>
      <c r="O888" s="960"/>
      <c r="P888" s="961"/>
      <c r="Q888" s="959"/>
      <c r="R888" s="961"/>
      <c r="S888" s="959"/>
      <c r="T888" s="961"/>
      <c r="U888" s="962"/>
      <c r="V888" s="963"/>
      <c r="W888" s="959"/>
      <c r="X888" s="961"/>
      <c r="Y888" s="959"/>
      <c r="Z888" s="961"/>
      <c r="AA888" s="959"/>
      <c r="AB888" s="959"/>
    </row>
    <row r="889">
      <c r="A889" s="950"/>
      <c r="B889" s="951"/>
      <c r="C889" s="952"/>
      <c r="D889" s="953"/>
      <c r="E889" s="952"/>
      <c r="F889" s="952"/>
      <c r="G889" s="952"/>
      <c r="H889" s="952"/>
      <c r="I889" s="954"/>
      <c r="J889" s="955"/>
      <c r="K889" s="956"/>
      <c r="L889" s="957"/>
      <c r="M889" s="958"/>
      <c r="N889" s="959"/>
      <c r="O889" s="960"/>
      <c r="P889" s="961"/>
      <c r="Q889" s="959"/>
      <c r="R889" s="961"/>
      <c r="S889" s="959"/>
      <c r="T889" s="961"/>
      <c r="U889" s="962"/>
      <c r="V889" s="963"/>
      <c r="W889" s="959"/>
      <c r="X889" s="961"/>
      <c r="Y889" s="959"/>
      <c r="Z889" s="961"/>
      <c r="AA889" s="959"/>
      <c r="AB889" s="959"/>
    </row>
    <row r="890">
      <c r="A890" s="950"/>
      <c r="B890" s="951"/>
      <c r="C890" s="952"/>
      <c r="D890" s="953"/>
      <c r="E890" s="952"/>
      <c r="F890" s="952"/>
      <c r="G890" s="952"/>
      <c r="H890" s="952"/>
      <c r="I890" s="954"/>
      <c r="J890" s="955"/>
      <c r="K890" s="956"/>
      <c r="L890" s="957"/>
      <c r="M890" s="958"/>
      <c r="N890" s="959"/>
      <c r="O890" s="960"/>
      <c r="P890" s="961"/>
      <c r="Q890" s="959"/>
      <c r="R890" s="961"/>
      <c r="S890" s="959"/>
      <c r="T890" s="961"/>
      <c r="U890" s="962"/>
      <c r="V890" s="963"/>
      <c r="W890" s="959"/>
      <c r="X890" s="961"/>
      <c r="Y890" s="959"/>
      <c r="Z890" s="961"/>
      <c r="AA890" s="959"/>
      <c r="AB890" s="959"/>
    </row>
    <row r="891">
      <c r="A891" s="950"/>
      <c r="B891" s="951"/>
      <c r="C891" s="952"/>
      <c r="D891" s="953"/>
      <c r="E891" s="952"/>
      <c r="F891" s="952"/>
      <c r="G891" s="952"/>
      <c r="H891" s="952"/>
      <c r="I891" s="954"/>
      <c r="J891" s="955"/>
      <c r="K891" s="956"/>
      <c r="L891" s="957"/>
      <c r="M891" s="958"/>
      <c r="N891" s="959"/>
      <c r="O891" s="960"/>
      <c r="P891" s="961"/>
      <c r="Q891" s="959"/>
      <c r="R891" s="961"/>
      <c r="S891" s="959"/>
      <c r="T891" s="961"/>
      <c r="U891" s="962"/>
      <c r="V891" s="963"/>
      <c r="W891" s="959"/>
      <c r="X891" s="961"/>
      <c r="Y891" s="959"/>
      <c r="Z891" s="961"/>
      <c r="AA891" s="959"/>
      <c r="AB891" s="959"/>
    </row>
    <row r="892">
      <c r="A892" s="950"/>
      <c r="B892" s="951"/>
      <c r="C892" s="952"/>
      <c r="D892" s="953"/>
      <c r="E892" s="952"/>
      <c r="F892" s="952"/>
      <c r="G892" s="952"/>
      <c r="H892" s="952"/>
      <c r="I892" s="954"/>
      <c r="J892" s="955"/>
      <c r="K892" s="956"/>
      <c r="L892" s="957"/>
      <c r="M892" s="958"/>
      <c r="N892" s="959"/>
      <c r="O892" s="960"/>
      <c r="P892" s="961"/>
      <c r="Q892" s="959"/>
      <c r="R892" s="961"/>
      <c r="S892" s="959"/>
      <c r="T892" s="961"/>
      <c r="U892" s="962"/>
      <c r="V892" s="963"/>
      <c r="W892" s="959"/>
      <c r="X892" s="961"/>
      <c r="Y892" s="959"/>
      <c r="Z892" s="961"/>
      <c r="AA892" s="959"/>
      <c r="AB892" s="959"/>
    </row>
    <row r="893">
      <c r="A893" s="950"/>
      <c r="B893" s="951"/>
      <c r="C893" s="952"/>
      <c r="D893" s="953"/>
      <c r="E893" s="952"/>
      <c r="F893" s="952"/>
      <c r="G893" s="952"/>
      <c r="H893" s="952"/>
      <c r="I893" s="954"/>
      <c r="J893" s="955"/>
      <c r="K893" s="956"/>
      <c r="L893" s="957"/>
      <c r="M893" s="958"/>
      <c r="N893" s="959"/>
      <c r="O893" s="960"/>
      <c r="P893" s="961"/>
      <c r="Q893" s="959"/>
      <c r="R893" s="961"/>
      <c r="S893" s="959"/>
      <c r="T893" s="961"/>
      <c r="U893" s="962"/>
      <c r="V893" s="963"/>
      <c r="W893" s="959"/>
      <c r="X893" s="961"/>
      <c r="Y893" s="959"/>
      <c r="Z893" s="961"/>
      <c r="AA893" s="959"/>
      <c r="AB893" s="959"/>
    </row>
    <row r="894">
      <c r="A894" s="950"/>
      <c r="B894" s="951"/>
      <c r="C894" s="952"/>
      <c r="D894" s="953"/>
      <c r="E894" s="952"/>
      <c r="F894" s="952"/>
      <c r="G894" s="952"/>
      <c r="H894" s="952"/>
      <c r="I894" s="954"/>
      <c r="J894" s="955"/>
      <c r="K894" s="956"/>
      <c r="L894" s="957"/>
      <c r="M894" s="958"/>
      <c r="N894" s="959"/>
      <c r="O894" s="960"/>
      <c r="P894" s="961"/>
      <c r="Q894" s="959"/>
      <c r="R894" s="961"/>
      <c r="S894" s="959"/>
      <c r="T894" s="961"/>
      <c r="U894" s="962"/>
      <c r="V894" s="963"/>
      <c r="W894" s="959"/>
      <c r="X894" s="961"/>
      <c r="Y894" s="959"/>
      <c r="Z894" s="961"/>
      <c r="AA894" s="959"/>
      <c r="AB894" s="959"/>
    </row>
    <row r="895">
      <c r="A895" s="950"/>
      <c r="B895" s="951"/>
      <c r="C895" s="952"/>
      <c r="D895" s="953"/>
      <c r="E895" s="952"/>
      <c r="F895" s="952"/>
      <c r="G895" s="952"/>
      <c r="H895" s="952"/>
      <c r="I895" s="954"/>
      <c r="J895" s="955"/>
      <c r="K895" s="956"/>
      <c r="L895" s="957"/>
      <c r="M895" s="958"/>
      <c r="N895" s="959"/>
      <c r="O895" s="960"/>
      <c r="P895" s="961"/>
      <c r="Q895" s="959"/>
      <c r="R895" s="961"/>
      <c r="S895" s="959"/>
      <c r="T895" s="961"/>
      <c r="U895" s="962"/>
      <c r="V895" s="963"/>
      <c r="W895" s="959"/>
      <c r="X895" s="961"/>
      <c r="Y895" s="959"/>
      <c r="Z895" s="961"/>
      <c r="AA895" s="959"/>
      <c r="AB895" s="959"/>
    </row>
    <row r="896">
      <c r="A896" s="950"/>
      <c r="B896" s="951"/>
      <c r="C896" s="952"/>
      <c r="D896" s="953"/>
      <c r="E896" s="952"/>
      <c r="F896" s="952"/>
      <c r="G896" s="952"/>
      <c r="H896" s="952"/>
      <c r="I896" s="954"/>
      <c r="J896" s="955"/>
      <c r="K896" s="956"/>
      <c r="L896" s="957"/>
      <c r="M896" s="958"/>
      <c r="N896" s="959"/>
      <c r="O896" s="960"/>
      <c r="P896" s="961"/>
      <c r="Q896" s="959"/>
      <c r="R896" s="961"/>
      <c r="S896" s="959"/>
      <c r="T896" s="961"/>
      <c r="U896" s="962"/>
      <c r="V896" s="963"/>
      <c r="W896" s="959"/>
      <c r="X896" s="961"/>
      <c r="Y896" s="959"/>
      <c r="Z896" s="961"/>
      <c r="AA896" s="959"/>
      <c r="AB896" s="959"/>
    </row>
    <row r="897">
      <c r="A897" s="950"/>
      <c r="B897" s="951"/>
      <c r="C897" s="952"/>
      <c r="D897" s="953"/>
      <c r="E897" s="952"/>
      <c r="F897" s="952"/>
      <c r="G897" s="952"/>
      <c r="H897" s="952"/>
      <c r="I897" s="954"/>
      <c r="J897" s="955"/>
      <c r="K897" s="956"/>
      <c r="L897" s="957"/>
      <c r="M897" s="958"/>
      <c r="N897" s="959"/>
      <c r="O897" s="960"/>
      <c r="P897" s="961"/>
      <c r="Q897" s="959"/>
      <c r="R897" s="961"/>
      <c r="S897" s="959"/>
      <c r="T897" s="961"/>
      <c r="U897" s="962"/>
      <c r="V897" s="963"/>
      <c r="W897" s="959"/>
      <c r="X897" s="961"/>
      <c r="Y897" s="959"/>
      <c r="Z897" s="961"/>
      <c r="AA897" s="959"/>
      <c r="AB897" s="959"/>
    </row>
    <row r="898">
      <c r="A898" s="950"/>
      <c r="B898" s="951"/>
      <c r="C898" s="952"/>
      <c r="D898" s="953"/>
      <c r="E898" s="952"/>
      <c r="F898" s="952"/>
      <c r="G898" s="952"/>
      <c r="H898" s="952"/>
      <c r="I898" s="954"/>
      <c r="J898" s="955"/>
      <c r="K898" s="956"/>
      <c r="L898" s="957"/>
      <c r="M898" s="958"/>
      <c r="N898" s="959"/>
      <c r="O898" s="960"/>
      <c r="P898" s="961"/>
      <c r="Q898" s="959"/>
      <c r="R898" s="961"/>
      <c r="S898" s="959"/>
      <c r="T898" s="961"/>
      <c r="U898" s="962"/>
      <c r="V898" s="963"/>
      <c r="W898" s="959"/>
      <c r="X898" s="961"/>
      <c r="Y898" s="959"/>
      <c r="Z898" s="961"/>
      <c r="AA898" s="959"/>
      <c r="AB898" s="959"/>
    </row>
    <row r="899">
      <c r="A899" s="950"/>
      <c r="B899" s="951"/>
      <c r="C899" s="952"/>
      <c r="D899" s="953"/>
      <c r="E899" s="952"/>
      <c r="F899" s="952"/>
      <c r="G899" s="952"/>
      <c r="H899" s="952"/>
      <c r="I899" s="954"/>
      <c r="J899" s="955"/>
      <c r="K899" s="956"/>
      <c r="L899" s="957"/>
      <c r="M899" s="958"/>
      <c r="N899" s="959"/>
      <c r="O899" s="960"/>
      <c r="P899" s="961"/>
      <c r="Q899" s="959"/>
      <c r="R899" s="961"/>
      <c r="S899" s="959"/>
      <c r="T899" s="961"/>
      <c r="U899" s="962"/>
      <c r="V899" s="963"/>
      <c r="W899" s="959"/>
      <c r="X899" s="961"/>
      <c r="Y899" s="959"/>
      <c r="Z899" s="961"/>
      <c r="AA899" s="959"/>
      <c r="AB899" s="959"/>
    </row>
    <row r="900">
      <c r="A900" s="950"/>
      <c r="B900" s="951"/>
      <c r="C900" s="952"/>
      <c r="D900" s="953"/>
      <c r="E900" s="952"/>
      <c r="F900" s="952"/>
      <c r="G900" s="952"/>
      <c r="H900" s="952"/>
      <c r="I900" s="954"/>
      <c r="J900" s="955"/>
      <c r="K900" s="956"/>
      <c r="L900" s="957"/>
      <c r="M900" s="958"/>
      <c r="N900" s="959"/>
      <c r="O900" s="960"/>
      <c r="P900" s="961"/>
      <c r="Q900" s="959"/>
      <c r="R900" s="961"/>
      <c r="S900" s="959"/>
      <c r="T900" s="961"/>
      <c r="U900" s="962"/>
      <c r="V900" s="963"/>
      <c r="W900" s="959"/>
      <c r="X900" s="961"/>
      <c r="Y900" s="959"/>
      <c r="Z900" s="961"/>
      <c r="AA900" s="959"/>
      <c r="AB900" s="959"/>
    </row>
    <row r="901">
      <c r="A901" s="950"/>
      <c r="B901" s="951"/>
      <c r="C901" s="952"/>
      <c r="D901" s="953"/>
      <c r="E901" s="952"/>
      <c r="F901" s="952"/>
      <c r="G901" s="952"/>
      <c r="H901" s="952"/>
      <c r="I901" s="954"/>
      <c r="J901" s="955"/>
      <c r="K901" s="956"/>
      <c r="L901" s="957"/>
      <c r="M901" s="958"/>
      <c r="N901" s="959"/>
      <c r="O901" s="960"/>
      <c r="P901" s="961"/>
      <c r="Q901" s="959"/>
      <c r="R901" s="961"/>
      <c r="S901" s="959"/>
      <c r="T901" s="961"/>
      <c r="U901" s="962"/>
      <c r="V901" s="963"/>
      <c r="W901" s="959"/>
      <c r="X901" s="961"/>
      <c r="Y901" s="959"/>
      <c r="Z901" s="961"/>
      <c r="AA901" s="959"/>
      <c r="AB901" s="959"/>
    </row>
    <row r="902">
      <c r="A902" s="950"/>
      <c r="B902" s="951"/>
      <c r="C902" s="952"/>
      <c r="D902" s="953"/>
      <c r="E902" s="952"/>
      <c r="F902" s="952"/>
      <c r="G902" s="952"/>
      <c r="H902" s="952"/>
      <c r="I902" s="954"/>
      <c r="J902" s="955"/>
      <c r="K902" s="956"/>
      <c r="L902" s="957"/>
      <c r="M902" s="958"/>
      <c r="N902" s="959"/>
      <c r="O902" s="960"/>
      <c r="P902" s="961"/>
      <c r="Q902" s="959"/>
      <c r="R902" s="961"/>
      <c r="S902" s="959"/>
      <c r="T902" s="961"/>
      <c r="U902" s="962"/>
      <c r="V902" s="963"/>
      <c r="W902" s="959"/>
      <c r="X902" s="961"/>
      <c r="Y902" s="959"/>
      <c r="Z902" s="961"/>
      <c r="AA902" s="959"/>
      <c r="AB902" s="959"/>
    </row>
    <row r="903">
      <c r="A903" s="950"/>
      <c r="B903" s="951"/>
      <c r="C903" s="952"/>
      <c r="D903" s="953"/>
      <c r="E903" s="952"/>
      <c r="F903" s="952"/>
      <c r="G903" s="952"/>
      <c r="H903" s="952"/>
      <c r="I903" s="954"/>
      <c r="J903" s="955"/>
      <c r="K903" s="956"/>
      <c r="L903" s="957"/>
      <c r="M903" s="958"/>
      <c r="N903" s="959"/>
      <c r="O903" s="960"/>
      <c r="P903" s="961"/>
      <c r="Q903" s="959"/>
      <c r="R903" s="961"/>
      <c r="S903" s="959"/>
      <c r="T903" s="961"/>
      <c r="U903" s="962"/>
      <c r="V903" s="963"/>
      <c r="W903" s="959"/>
      <c r="X903" s="961"/>
      <c r="Y903" s="959"/>
      <c r="Z903" s="961"/>
      <c r="AA903" s="959"/>
      <c r="AB903" s="959"/>
    </row>
  </sheetData>
  <autoFilter ref="$A$1:$AB$657">
    <sortState ref="A1:AB657">
      <sortCondition descending="1" ref="A1:A657"/>
    </sortState>
  </autoFilter>
  <customSheetViews>
    <customSheetView guid="{B56A2066-89A6-4F6E-B1B3-80A459BC1835}" filter="1" showAutoFilter="1">
      <autoFilter ref="$A$1:$AB$357">
        <filterColumn colId="4">
          <filters>
            <filter val="FA-16IO-B12G"/>
            <filter val="FA-1010&#10;(FA-505)"/>
            <filter val="MBP-P308&#10;(EzV-410)"/>
            <filter val="FA-10AES"/>
            <filter val="MV-1640IP"/>
            <filter val="MBP-210MF"/>
            <filter val="FA-1616MF&#10;(FA-16IO-HB3G)"/>
            <filter val="HVS-2240OUA"/>
            <filter val="HVS-490MF"/>
            <filter val="MFR-TALM"/>
            <filter val="MFR-4100"/>
            <filter val="FA-1010"/>
            <filter val="MFR-16SDOA(MFR-SDO)"/>
            <filter val="HVS-3355OU"/>
            <filter val="HVS-100DI-A"/>
            <filter val="MV-4200MAIN"/>
            <filter val="MFR-8AVDL12G"/>
            <filter val="FA16IO_HB-12G"/>
            <filter val="MFR-SRCPU"/>
            <filter val="MFR-GPI"/>
            <filter val="MFR-6100&#10;⇒MFR-4100"/>
            <filter val="FA-1010&#10;⇒FA-505"/>
            <filter val="FA-1010&#10;(FA-505MF)"/>
            <filter val="MV-420SDI"/>
            <filter val="MFR-16DTIO"/>
            <filter val="FA-16MOIP"/>
            <filter val="FA-1010(FA-505)"/>
            <filter val="FA-16IO-HB12G"/>
            <filter val="CC-106B"/>
            <filter val="MFR-31CPU"/>
            <filter val="MFR-SDO(MFR-8OUT)"/>
            <filter val="MFR-8SDI"/>
            <filter val="HVS-2000"/>
            <filter val="MV-4210MAIN"/>
            <filter val="MBP-C-HDO"/>
            <filter val="MV-4200IF"/>
            <filter val="MFR-AAI"/>
            <filter val="MV-4200MF"/>
          </filters>
        </filterColumn>
        <filterColumn colId="2">
          <filters>
            <filter val="R24813"/>
            <filter val="R23775&#10;⇒R25109"/>
            <filter val="R24413"/>
            <filter val="R24535"/>
            <filter val="R24414"/>
            <filter val="R24378"/>
            <filter val="R25104"/>
            <filter val="R24533"/>
            <filter val="R25345&#10;⇒R25435"/>
            <filter val="R24705&#10;⇒R25351"/>
            <filter val="R23669&#10;作番完了&#10;→R24536"/>
            <filter val="R25353"/>
            <filter val="R25112"/>
            <filter val="R24579&#10;仕掛残1台&#10;（R24265・24746）"/>
            <filter val="R23690"/>
            <filter val="R24305"/>
            <filter val="R24303"/>
            <filter val="R25118"/>
            <filter val="R24425"/>
            <filter val="R24705&#10;⇒R25404"/>
            <filter val="R24390"/>
            <filter val="R24979(作番完了)"/>
            <filter val="R25003"/>
            <filter val="R25367"/>
            <filter val="R24432"/>
            <filter val="R25243"/>
            <filter val="R25244"/>
            <filter val="R24397"/>
            <filter val="R23651(T43278-229返却分)&#10;⇒R25109"/>
            <filter val="R25360"/>
            <filter val="R24999(24578)"/>
            <filter val="R24118"/>
            <filter val="R21766"/>
            <filter val="R24119"/>
            <filter val="R24999"/>
            <filter val="R25059&#10;(R25107)"/>
            <filter val="R24633"/>
            <filter val="R24639"/>
            <filter val="R24529（R24534）"/>
            <filter val="R24519"/>
            <filter val="R24641(IO-R24533)"/>
            <filter val="R25212"/>
            <filter val="R24124"/>
            <filter val="R24641"/>
            <filter val="R25059"/>
            <filter val="R25210"/>
            <filter val="R25056"/>
            <filter val="R25178"/>
            <filter val="R23955"/>
            <filter val="R24642"/>
            <filter val="R24705&#10;⇒R25109"/>
            <filter val="R24721&#10;作番完了"/>
            <filter val="R24633&#10;仕掛残1　入庫済み？"/>
            <filter val="R24529"/>
            <filter val="R25112&#10;作番完了"/>
            <filter val="R25060"/>
            <filter val="R23878&#10;仕掛残1に対し2件有"/>
            <filter val="R25219&#10;作番完了"/>
            <filter val="R24497"/>
            <filter val="R25223"/>
            <filter val="R24530"/>
            <filter val="R25345"/>
            <filter val="R25100"/>
            <filter val="R25222"/>
            <filter val="R24372"/>
            <filter val="R24633&#10;仕掛残1"/>
            <filter val="R24979"/>
            <filter val="R23769"/>
            <filter val="R24977"/>
            <filter val="R25024→R23774に引き当て"/>
            <filter val="R24611"/>
            <filter val="R25302"/>
            <filter val="R23644"/>
            <filter val="R24455"/>
            <filter val="R25148"/>
            <filter val="R24214"/>
            <filter val="R24577"/>
            <filter val="R23764"/>
            <filter val="R25345&#10;⇒25435"/>
            <filter val="R21567&#10;作番完了"/>
            <filter val="R23775(24976)"/>
            <filter val="R24705&#10;⇒25109"/>
            <filter val="R24181"/>
            <filter val="R24600&#10;⇒R24318"/>
            <filter val="R23651(T43278-231)&#10;⇒R25109"/>
            <filter val="R25036"/>
            <filter val="R24982"/>
            <filter val="R24586"/>
            <filter val="R24584"/>
            <filter val="R24185"/>
            <filter val="R25272"/>
            <filter val="R24588"/>
            <filter val="R23775"/>
            <filter val="R25109&#10;R22449(F5040163-06)"/>
            <filter val="R24507"/>
            <filter val="R24254&#10;作番完了"/>
            <filter val="R25108&#10;作番完了"/>
            <filter val="R23962&#10;作番完了"/>
            <filter val="R25048"/>
            <filter val="R24993"/>
            <filter val="R24597"/>
            <filter val="R25166"/>
            <filter val="R23387"/>
            <filter val="R24110"/>
            <filter val="R24318"/>
            <filter val="R24679"/>
            <filter val="R22449 (T43278-225返却分)&#10;⇒R25109"/>
            <filter val="R22449 (F5010097-01返却分)&#10;⇒R24976"/>
            <filter val="R24953"/>
            <filter val="R23775(R24976)"/>
            <filter val="R25093"/>
            <filter val="R24597&#10;作番完了"/>
            <filter val="R25377"/>
            <filter val="R24442"/>
            <filter val="R24685"/>
            <filter val="R24166"/>
            <filter val="R24287"/>
            <filter val="R24683"/>
            <filter val="R25098"/>
            <filter val="R24284"/>
            <filter val="R24285"/>
            <filter val="R25099"/>
            <filter val="R24641（R24645）"/>
            <filter val="R23878"/>
            <filter val="R24847"/>
            <filter val="R24723"/>
            <filter val="R24449"/>
            <filter val="R24963"/>
            <filter val="R24688"/>
            <filter val="R24722"/>
            <filter val="R25227&#10;作番完了"/>
            <filter val="R24084(ロット完)"/>
            <filter val="R24445"/>
            <filter val="R24609"/>
            <filter val="R24179"/>
            <filter val="R24850"/>
            <filter val="R24693"/>
            <filter val="R24297"/>
            <filter val="R24298"/>
            <filter val="R24694"/>
            <filter val="R24177"/>
            <filter val="R24295"/>
            <filter val="R24172"/>
          </filters>
        </filterColumn>
        <filterColumn colId="7">
          <filters>
            <filter val="2課"/>
            <filter val="坂下"/>
            <filter val="石川"/>
            <filter val="石黒(門脇)"/>
            <filter val="岡野"/>
            <filter val="齋藤"/>
            <filter val="渡部"/>
            <filter val="吉田"/>
            <filter val="石黒"/>
            <filter val="大阪R&amp;D"/>
            <filter val="吉田、石川"/>
            <filter val="古谷"/>
          </filters>
        </filterColumn>
      </autoFilter>
    </customSheetView>
  </customSheetView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63"/>
    <col customWidth="1" min="2" max="2" width="14.5"/>
    <col customWidth="1" min="4" max="4" width="18.5"/>
    <col customWidth="1" min="5" max="5" width="18.88"/>
    <col customWidth="1" min="6" max="6" width="16.0"/>
    <col customWidth="1" min="8" max="8" width="27.5"/>
    <col customWidth="1" min="9" max="9" width="14.0"/>
    <col customWidth="1" min="11" max="11" width="13.63"/>
    <col customWidth="1" min="12" max="12" width="14.5"/>
  </cols>
  <sheetData>
    <row r="1">
      <c r="A1" s="964" t="s">
        <v>0</v>
      </c>
      <c r="B1" s="965" t="s">
        <v>3771</v>
      </c>
      <c r="C1" s="964" t="s">
        <v>2</v>
      </c>
      <c r="D1" s="966" t="s">
        <v>4</v>
      </c>
      <c r="E1" s="966" t="s">
        <v>5</v>
      </c>
      <c r="F1" s="967" t="s">
        <v>3772</v>
      </c>
      <c r="G1" s="964" t="s">
        <v>7</v>
      </c>
      <c r="H1" s="968" t="s">
        <v>3773</v>
      </c>
      <c r="I1" s="968" t="s">
        <v>3774</v>
      </c>
      <c r="J1" s="969" t="s">
        <v>3775</v>
      </c>
      <c r="K1" s="970" t="s">
        <v>3776</v>
      </c>
      <c r="L1" s="965" t="s">
        <v>17</v>
      </c>
    </row>
    <row r="2">
      <c r="A2" s="971">
        <v>1.0</v>
      </c>
      <c r="B2" s="972">
        <v>45839.0</v>
      </c>
      <c r="C2" s="971" t="s">
        <v>314</v>
      </c>
      <c r="D2" s="973" t="s">
        <v>315</v>
      </c>
      <c r="E2" s="973" t="s">
        <v>412</v>
      </c>
      <c r="F2" s="973">
        <v>1.8120031E7</v>
      </c>
      <c r="G2" s="971" t="s">
        <v>103</v>
      </c>
      <c r="H2" s="973" t="s">
        <v>3777</v>
      </c>
      <c r="I2" s="973" t="s">
        <v>3778</v>
      </c>
      <c r="J2" s="974"/>
      <c r="K2" s="973" t="b">
        <v>0</v>
      </c>
      <c r="L2" s="975"/>
    </row>
    <row r="3">
      <c r="A3" s="976">
        <v>2.0</v>
      </c>
      <c r="B3" s="977">
        <v>45839.0</v>
      </c>
      <c r="C3" s="976" t="s">
        <v>50</v>
      </c>
      <c r="D3" s="978" t="s">
        <v>315</v>
      </c>
      <c r="E3" s="978" t="s">
        <v>412</v>
      </c>
      <c r="F3" s="978" t="s">
        <v>50</v>
      </c>
      <c r="G3" s="976" t="s">
        <v>103</v>
      </c>
      <c r="H3" s="978" t="s">
        <v>3779</v>
      </c>
      <c r="I3" s="978" t="s">
        <v>3778</v>
      </c>
      <c r="J3" s="979"/>
      <c r="K3" s="978" t="b">
        <v>0</v>
      </c>
      <c r="L3" s="980"/>
    </row>
    <row r="4">
      <c r="A4" s="971">
        <v>3.0</v>
      </c>
      <c r="B4" s="972">
        <v>45839.0</v>
      </c>
      <c r="C4" s="971" t="s">
        <v>100</v>
      </c>
      <c r="D4" s="973" t="s">
        <v>101</v>
      </c>
      <c r="E4" s="973" t="s">
        <v>729</v>
      </c>
      <c r="F4" s="973">
        <v>1.5880025E7</v>
      </c>
      <c r="G4" s="971" t="s">
        <v>103</v>
      </c>
      <c r="H4" s="973" t="s">
        <v>3780</v>
      </c>
      <c r="I4" s="973" t="s">
        <v>3778</v>
      </c>
      <c r="J4" s="974"/>
      <c r="K4" s="973" t="b">
        <v>0</v>
      </c>
      <c r="L4" s="975"/>
    </row>
    <row r="5">
      <c r="A5" s="976">
        <v>4.0</v>
      </c>
      <c r="B5" s="977">
        <v>45839.0</v>
      </c>
      <c r="C5" s="976" t="s">
        <v>100</v>
      </c>
      <c r="D5" s="978" t="s">
        <v>101</v>
      </c>
      <c r="E5" s="978" t="s">
        <v>31</v>
      </c>
      <c r="F5" s="978">
        <v>1.7860025E7</v>
      </c>
      <c r="G5" s="976" t="s">
        <v>103</v>
      </c>
      <c r="H5" s="978" t="s">
        <v>3781</v>
      </c>
      <c r="I5" s="978" t="s">
        <v>3782</v>
      </c>
      <c r="J5" s="979"/>
      <c r="K5" s="981" t="b">
        <v>0</v>
      </c>
      <c r="L5" s="980"/>
    </row>
    <row r="6">
      <c r="A6" s="971">
        <v>5.0</v>
      </c>
      <c r="B6" s="972">
        <v>45839.0</v>
      </c>
      <c r="C6" s="971" t="s">
        <v>1604</v>
      </c>
      <c r="D6" s="973" t="s">
        <v>1106</v>
      </c>
      <c r="E6" s="973" t="s">
        <v>49</v>
      </c>
      <c r="F6" s="973">
        <v>1.5880615E7</v>
      </c>
      <c r="G6" s="971" t="s">
        <v>103</v>
      </c>
      <c r="H6" s="973" t="s">
        <v>3783</v>
      </c>
      <c r="I6" s="973" t="s">
        <v>3784</v>
      </c>
      <c r="J6" s="974"/>
      <c r="K6" s="973" t="b">
        <v>1</v>
      </c>
      <c r="L6" s="975"/>
    </row>
    <row r="7">
      <c r="A7" s="976">
        <v>6.0</v>
      </c>
      <c r="B7" s="977">
        <v>45839.0</v>
      </c>
      <c r="C7" s="976" t="s">
        <v>1604</v>
      </c>
      <c r="D7" s="978" t="s">
        <v>1106</v>
      </c>
      <c r="E7" s="978" t="s">
        <v>1028</v>
      </c>
      <c r="F7" s="978">
        <v>1.5880615E7</v>
      </c>
      <c r="G7" s="976" t="s">
        <v>103</v>
      </c>
      <c r="H7" s="978" t="s">
        <v>3785</v>
      </c>
      <c r="I7" s="978" t="s">
        <v>3784</v>
      </c>
      <c r="J7" s="979"/>
      <c r="K7" s="978" t="b">
        <v>1</v>
      </c>
      <c r="L7" s="980"/>
    </row>
    <row r="8">
      <c r="A8" s="971">
        <v>7.0</v>
      </c>
      <c r="B8" s="972">
        <v>45726.0</v>
      </c>
      <c r="C8" s="971" t="s">
        <v>211</v>
      </c>
      <c r="D8" s="973" t="s">
        <v>212</v>
      </c>
      <c r="E8" s="973" t="s">
        <v>2004</v>
      </c>
      <c r="F8" s="973">
        <v>1.8580099E7</v>
      </c>
      <c r="G8" s="971" t="s">
        <v>32</v>
      </c>
      <c r="H8" s="973" t="s">
        <v>3786</v>
      </c>
      <c r="I8" s="973" t="s">
        <v>3787</v>
      </c>
      <c r="J8" s="974"/>
      <c r="K8" s="982" t="b">
        <v>0</v>
      </c>
      <c r="L8" s="975"/>
    </row>
    <row r="9">
      <c r="A9" s="976">
        <v>8.0</v>
      </c>
      <c r="B9" s="977">
        <v>46079.0</v>
      </c>
      <c r="C9" s="976" t="s">
        <v>1620</v>
      </c>
      <c r="D9" s="983" t="s">
        <v>506</v>
      </c>
      <c r="E9" s="978" t="s">
        <v>310</v>
      </c>
      <c r="F9" s="981"/>
      <c r="G9" s="976" t="s">
        <v>894</v>
      </c>
      <c r="H9" s="978" t="s">
        <v>3788</v>
      </c>
      <c r="I9" s="981"/>
      <c r="J9" s="979"/>
      <c r="K9" s="981" t="b">
        <v>0</v>
      </c>
      <c r="L9" s="980"/>
    </row>
    <row r="10">
      <c r="A10" s="974"/>
      <c r="B10" s="975"/>
      <c r="C10" s="974"/>
      <c r="D10" s="982"/>
      <c r="E10" s="982"/>
      <c r="F10" s="982"/>
      <c r="G10" s="974"/>
      <c r="H10" s="982"/>
      <c r="I10" s="982"/>
      <c r="J10" s="974"/>
      <c r="K10" s="982" t="b">
        <v>0</v>
      </c>
      <c r="L10" s="975"/>
    </row>
    <row r="11">
      <c r="A11" s="979"/>
      <c r="B11" s="980"/>
      <c r="C11" s="979"/>
      <c r="D11" s="981"/>
      <c r="E11" s="981"/>
      <c r="F11" s="981"/>
      <c r="G11" s="979"/>
      <c r="H11" s="981"/>
      <c r="I11" s="981"/>
      <c r="J11" s="979"/>
      <c r="K11" s="981" t="b">
        <v>0</v>
      </c>
      <c r="L11" s="980"/>
    </row>
    <row r="12">
      <c r="A12" s="974"/>
      <c r="B12" s="975"/>
      <c r="C12" s="974"/>
      <c r="D12" s="982"/>
      <c r="E12" s="982"/>
      <c r="F12" s="982"/>
      <c r="G12" s="974"/>
      <c r="H12" s="982"/>
      <c r="I12" s="982"/>
      <c r="J12" s="974"/>
      <c r="K12" s="982" t="b">
        <v>0</v>
      </c>
      <c r="L12" s="975"/>
    </row>
    <row r="13">
      <c r="A13" s="979"/>
      <c r="B13" s="980"/>
      <c r="C13" s="979"/>
      <c r="D13" s="981"/>
      <c r="E13" s="981"/>
      <c r="F13" s="981"/>
      <c r="G13" s="979"/>
      <c r="H13" s="981"/>
      <c r="I13" s="981"/>
      <c r="J13" s="979"/>
      <c r="K13" s="981" t="b">
        <v>0</v>
      </c>
      <c r="L13" s="980"/>
    </row>
    <row r="14">
      <c r="A14" s="974"/>
      <c r="B14" s="975"/>
      <c r="C14" s="974"/>
      <c r="D14" s="982"/>
      <c r="E14" s="982"/>
      <c r="F14" s="982"/>
      <c r="G14" s="974"/>
      <c r="H14" s="982"/>
      <c r="I14" s="982"/>
      <c r="J14" s="974"/>
      <c r="K14" s="982" t="b">
        <v>0</v>
      </c>
      <c r="L14" s="975"/>
    </row>
    <row r="15">
      <c r="A15" s="979"/>
      <c r="B15" s="980"/>
      <c r="C15" s="979"/>
      <c r="D15" s="981"/>
      <c r="E15" s="981"/>
      <c r="F15" s="981"/>
      <c r="G15" s="979"/>
      <c r="H15" s="981"/>
      <c r="I15" s="981"/>
      <c r="J15" s="979"/>
      <c r="K15" s="981" t="b">
        <v>0</v>
      </c>
      <c r="L15" s="980"/>
    </row>
    <row r="16">
      <c r="A16" s="974"/>
      <c r="B16" s="975"/>
      <c r="C16" s="974"/>
      <c r="D16" s="982"/>
      <c r="E16" s="982"/>
      <c r="F16" s="982"/>
      <c r="G16" s="974"/>
      <c r="H16" s="982"/>
      <c r="I16" s="982"/>
      <c r="J16" s="974"/>
      <c r="K16" s="982" t="b">
        <v>0</v>
      </c>
      <c r="L16" s="975"/>
    </row>
    <row r="17">
      <c r="A17" s="979"/>
      <c r="B17" s="980"/>
      <c r="C17" s="979"/>
      <c r="D17" s="981"/>
      <c r="E17" s="981"/>
      <c r="F17" s="981"/>
      <c r="G17" s="979"/>
      <c r="H17" s="981"/>
      <c r="I17" s="981"/>
      <c r="J17" s="979"/>
      <c r="K17" s="981" t="b">
        <v>0</v>
      </c>
      <c r="L17" s="980"/>
    </row>
    <row r="18">
      <c r="A18" s="974"/>
      <c r="B18" s="975"/>
      <c r="C18" s="974"/>
      <c r="D18" s="982"/>
      <c r="E18" s="982"/>
      <c r="F18" s="982"/>
      <c r="G18" s="974"/>
      <c r="H18" s="982"/>
      <c r="I18" s="982"/>
      <c r="J18" s="974"/>
      <c r="K18" s="982" t="b">
        <v>0</v>
      </c>
      <c r="L18" s="975"/>
    </row>
    <row r="19">
      <c r="A19" s="979"/>
      <c r="B19" s="980"/>
      <c r="C19" s="979"/>
      <c r="D19" s="981"/>
      <c r="E19" s="981"/>
      <c r="F19" s="981"/>
      <c r="G19" s="979"/>
      <c r="H19" s="981"/>
      <c r="I19" s="981"/>
      <c r="J19" s="979"/>
      <c r="K19" s="981" t="b">
        <v>0</v>
      </c>
      <c r="L19" s="980"/>
    </row>
    <row r="20">
      <c r="A20" s="974"/>
      <c r="B20" s="975"/>
      <c r="C20" s="974"/>
      <c r="D20" s="982"/>
      <c r="E20" s="982"/>
      <c r="F20" s="982"/>
      <c r="G20" s="974"/>
      <c r="H20" s="982"/>
      <c r="I20" s="982"/>
      <c r="J20" s="974"/>
      <c r="K20" s="982" t="b">
        <v>0</v>
      </c>
      <c r="L20" s="975"/>
    </row>
    <row r="21">
      <c r="A21" s="979"/>
      <c r="B21" s="980"/>
      <c r="C21" s="979"/>
      <c r="D21" s="981"/>
      <c r="E21" s="981"/>
      <c r="F21" s="981"/>
      <c r="G21" s="979"/>
      <c r="H21" s="981"/>
      <c r="I21" s="981"/>
      <c r="J21" s="979"/>
      <c r="K21" s="981" t="b">
        <v>0</v>
      </c>
      <c r="L21" s="980"/>
    </row>
    <row r="22">
      <c r="A22" s="974"/>
      <c r="B22" s="975"/>
      <c r="C22" s="974"/>
      <c r="D22" s="982"/>
      <c r="E22" s="982"/>
      <c r="F22" s="982"/>
      <c r="G22" s="974"/>
      <c r="H22" s="982"/>
      <c r="I22" s="982"/>
      <c r="J22" s="974"/>
      <c r="K22" s="982" t="b">
        <v>0</v>
      </c>
      <c r="L22" s="975"/>
    </row>
    <row r="23">
      <c r="A23" s="979"/>
      <c r="B23" s="980"/>
      <c r="C23" s="979"/>
      <c r="D23" s="981"/>
      <c r="E23" s="981"/>
      <c r="F23" s="981"/>
      <c r="G23" s="979"/>
      <c r="H23" s="981"/>
      <c r="I23" s="981"/>
      <c r="J23" s="979"/>
      <c r="K23" s="981" t="b">
        <v>0</v>
      </c>
      <c r="L23" s="980"/>
    </row>
    <row r="24">
      <c r="A24" s="974"/>
      <c r="B24" s="975"/>
      <c r="C24" s="974"/>
      <c r="D24" s="982"/>
      <c r="E24" s="982"/>
      <c r="F24" s="982"/>
      <c r="G24" s="974"/>
      <c r="H24" s="982"/>
      <c r="I24" s="982"/>
      <c r="J24" s="974"/>
      <c r="K24" s="982" t="b">
        <v>0</v>
      </c>
      <c r="L24" s="975"/>
    </row>
    <row r="25">
      <c r="A25" s="979"/>
      <c r="B25" s="980"/>
      <c r="C25" s="979"/>
      <c r="D25" s="981"/>
      <c r="E25" s="981"/>
      <c r="F25" s="981"/>
      <c r="G25" s="979"/>
      <c r="H25" s="981"/>
      <c r="I25" s="981"/>
      <c r="J25" s="979"/>
      <c r="K25" s="981" t="b">
        <v>0</v>
      </c>
      <c r="L25" s="980"/>
    </row>
    <row r="26">
      <c r="A26" s="974"/>
      <c r="B26" s="975"/>
      <c r="C26" s="974"/>
      <c r="D26" s="982"/>
      <c r="E26" s="982"/>
      <c r="F26" s="982"/>
      <c r="G26" s="974"/>
      <c r="H26" s="982"/>
      <c r="I26" s="982"/>
      <c r="J26" s="974"/>
      <c r="K26" s="982" t="b">
        <v>0</v>
      </c>
      <c r="L26" s="975"/>
    </row>
    <row r="27">
      <c r="A27" s="979"/>
      <c r="B27" s="980"/>
      <c r="C27" s="979"/>
      <c r="D27" s="981"/>
      <c r="E27" s="981"/>
      <c r="F27" s="981"/>
      <c r="G27" s="979"/>
      <c r="H27" s="981"/>
      <c r="I27" s="981"/>
      <c r="J27" s="979"/>
      <c r="K27" s="981" t="b">
        <v>0</v>
      </c>
      <c r="L27" s="980"/>
    </row>
    <row r="28">
      <c r="A28" s="974"/>
      <c r="B28" s="975"/>
      <c r="C28" s="974"/>
      <c r="D28" s="982"/>
      <c r="E28" s="982"/>
      <c r="F28" s="982"/>
      <c r="G28" s="974"/>
      <c r="H28" s="982"/>
      <c r="I28" s="982"/>
      <c r="J28" s="974"/>
      <c r="K28" s="982" t="b">
        <v>0</v>
      </c>
      <c r="L28" s="975"/>
    </row>
    <row r="29">
      <c r="A29" s="979"/>
      <c r="B29" s="980"/>
      <c r="C29" s="979"/>
      <c r="D29" s="981"/>
      <c r="E29" s="981"/>
      <c r="F29" s="981"/>
      <c r="G29" s="979"/>
      <c r="H29" s="981"/>
      <c r="I29" s="981"/>
      <c r="J29" s="979"/>
      <c r="K29" s="981" t="b">
        <v>0</v>
      </c>
      <c r="L29" s="980"/>
    </row>
    <row r="30">
      <c r="A30" s="974"/>
      <c r="B30" s="975"/>
      <c r="C30" s="974"/>
      <c r="D30" s="982"/>
      <c r="E30" s="982"/>
      <c r="F30" s="982"/>
      <c r="G30" s="974"/>
      <c r="H30" s="982"/>
      <c r="I30" s="982"/>
      <c r="J30" s="974"/>
      <c r="K30" s="982" t="b">
        <v>0</v>
      </c>
      <c r="L30" s="975"/>
    </row>
    <row r="31">
      <c r="A31" s="979"/>
      <c r="B31" s="980"/>
      <c r="C31" s="979"/>
      <c r="D31" s="981"/>
      <c r="E31" s="981"/>
      <c r="F31" s="981"/>
      <c r="G31" s="979"/>
      <c r="H31" s="981"/>
      <c r="I31" s="981"/>
      <c r="J31" s="979"/>
      <c r="K31" s="981" t="b">
        <v>0</v>
      </c>
      <c r="L31" s="980"/>
    </row>
    <row r="32">
      <c r="A32" s="974"/>
      <c r="B32" s="975"/>
      <c r="C32" s="974"/>
      <c r="D32" s="982"/>
      <c r="E32" s="982"/>
      <c r="F32" s="982"/>
      <c r="G32" s="974"/>
      <c r="H32" s="982"/>
      <c r="I32" s="982"/>
      <c r="J32" s="974"/>
      <c r="K32" s="982" t="b">
        <v>0</v>
      </c>
      <c r="L32" s="975"/>
    </row>
    <row r="33">
      <c r="A33" s="979"/>
      <c r="B33" s="980"/>
      <c r="C33" s="979"/>
      <c r="D33" s="981"/>
      <c r="E33" s="981"/>
      <c r="F33" s="981"/>
      <c r="G33" s="979"/>
      <c r="H33" s="981"/>
      <c r="I33" s="981"/>
      <c r="J33" s="979"/>
      <c r="K33" s="981" t="b">
        <v>0</v>
      </c>
      <c r="L33" s="980"/>
    </row>
    <row r="34">
      <c r="A34" s="974"/>
      <c r="B34" s="975"/>
      <c r="C34" s="974"/>
      <c r="D34" s="982"/>
      <c r="E34" s="982"/>
      <c r="F34" s="982"/>
      <c r="G34" s="974"/>
      <c r="H34" s="982"/>
      <c r="I34" s="982"/>
      <c r="J34" s="974"/>
      <c r="K34" s="982" t="b">
        <v>0</v>
      </c>
      <c r="L34" s="975"/>
    </row>
    <row r="35">
      <c r="A35" s="979"/>
      <c r="B35" s="980"/>
      <c r="C35" s="979"/>
      <c r="D35" s="981"/>
      <c r="E35" s="981"/>
      <c r="F35" s="981"/>
      <c r="G35" s="979"/>
      <c r="H35" s="981"/>
      <c r="I35" s="981"/>
      <c r="J35" s="979"/>
      <c r="K35" s="981" t="b">
        <v>0</v>
      </c>
      <c r="L35" s="980"/>
    </row>
    <row r="36">
      <c r="A36" s="974"/>
      <c r="B36" s="975"/>
      <c r="C36" s="974"/>
      <c r="D36" s="982"/>
      <c r="E36" s="982"/>
      <c r="F36" s="982"/>
      <c r="G36" s="974"/>
      <c r="H36" s="982"/>
      <c r="I36" s="982"/>
      <c r="J36" s="974"/>
      <c r="K36" s="982" t="b">
        <v>0</v>
      </c>
      <c r="L36" s="975"/>
    </row>
    <row r="37">
      <c r="A37" s="979"/>
      <c r="B37" s="980"/>
      <c r="C37" s="979"/>
      <c r="D37" s="981"/>
      <c r="E37" s="981"/>
      <c r="F37" s="981"/>
      <c r="G37" s="979"/>
      <c r="H37" s="981"/>
      <c r="I37" s="981"/>
      <c r="J37" s="979"/>
      <c r="K37" s="981" t="b">
        <v>0</v>
      </c>
      <c r="L37" s="980"/>
    </row>
    <row r="38">
      <c r="A38" s="974"/>
      <c r="B38" s="975"/>
      <c r="C38" s="974"/>
      <c r="D38" s="982"/>
      <c r="E38" s="982"/>
      <c r="F38" s="982"/>
      <c r="G38" s="974"/>
      <c r="H38" s="982"/>
      <c r="I38" s="982"/>
      <c r="J38" s="974"/>
      <c r="K38" s="982" t="b">
        <v>0</v>
      </c>
      <c r="L38" s="975"/>
    </row>
    <row r="39">
      <c r="A39" s="979"/>
      <c r="B39" s="980"/>
      <c r="C39" s="979"/>
      <c r="D39" s="981"/>
      <c r="E39" s="981"/>
      <c r="F39" s="981"/>
      <c r="G39" s="979"/>
      <c r="H39" s="981"/>
      <c r="I39" s="981"/>
      <c r="J39" s="979"/>
      <c r="K39" s="981" t="b">
        <v>0</v>
      </c>
      <c r="L39" s="980"/>
    </row>
    <row r="40">
      <c r="A40" s="974"/>
      <c r="B40" s="975"/>
      <c r="C40" s="974"/>
      <c r="D40" s="982"/>
      <c r="E40" s="982"/>
      <c r="F40" s="982"/>
      <c r="G40" s="974"/>
      <c r="H40" s="982"/>
      <c r="I40" s="982"/>
      <c r="J40" s="974"/>
      <c r="K40" s="982" t="b">
        <v>0</v>
      </c>
      <c r="L40" s="975"/>
    </row>
    <row r="41">
      <c r="A41" s="979"/>
      <c r="B41" s="980"/>
      <c r="C41" s="979"/>
      <c r="D41" s="981"/>
      <c r="E41" s="981"/>
      <c r="F41" s="981"/>
      <c r="G41" s="979"/>
      <c r="H41" s="981"/>
      <c r="I41" s="981"/>
      <c r="J41" s="979"/>
      <c r="K41" s="981" t="b">
        <v>0</v>
      </c>
      <c r="L41" s="980"/>
    </row>
    <row r="42">
      <c r="A42" s="974"/>
      <c r="B42" s="975"/>
      <c r="C42" s="974"/>
      <c r="D42" s="982"/>
      <c r="E42" s="982"/>
      <c r="F42" s="982"/>
      <c r="G42" s="974"/>
      <c r="H42" s="982"/>
      <c r="I42" s="982"/>
      <c r="J42" s="974"/>
      <c r="K42" s="982" t="b">
        <v>0</v>
      </c>
      <c r="L42" s="975"/>
    </row>
    <row r="43">
      <c r="A43" s="979"/>
      <c r="B43" s="980"/>
      <c r="C43" s="979"/>
      <c r="D43" s="981"/>
      <c r="E43" s="981"/>
      <c r="F43" s="981"/>
      <c r="G43" s="979"/>
      <c r="H43" s="981"/>
      <c r="I43" s="981"/>
      <c r="J43" s="979"/>
      <c r="K43" s="981" t="b">
        <v>0</v>
      </c>
      <c r="L43" s="980"/>
    </row>
    <row r="44">
      <c r="A44" s="974"/>
      <c r="B44" s="975"/>
      <c r="C44" s="974"/>
      <c r="D44" s="982"/>
      <c r="E44" s="982"/>
      <c r="F44" s="982"/>
      <c r="G44" s="974"/>
      <c r="H44" s="982"/>
      <c r="I44" s="982"/>
      <c r="J44" s="974"/>
      <c r="K44" s="982" t="b">
        <v>0</v>
      </c>
      <c r="L44" s="975"/>
    </row>
    <row r="45">
      <c r="A45" s="979"/>
      <c r="B45" s="980"/>
      <c r="C45" s="979"/>
      <c r="D45" s="981"/>
      <c r="E45" s="981"/>
      <c r="F45" s="981"/>
      <c r="G45" s="979"/>
      <c r="H45" s="981"/>
      <c r="I45" s="981"/>
      <c r="J45" s="979"/>
      <c r="K45" s="981" t="b">
        <v>0</v>
      </c>
      <c r="L45" s="980"/>
    </row>
    <row r="46">
      <c r="A46" s="974"/>
      <c r="B46" s="975"/>
      <c r="C46" s="974"/>
      <c r="D46" s="982"/>
      <c r="E46" s="982"/>
      <c r="F46" s="982"/>
      <c r="G46" s="974"/>
      <c r="H46" s="982"/>
      <c r="I46" s="982"/>
      <c r="J46" s="974"/>
      <c r="K46" s="982" t="b">
        <v>0</v>
      </c>
      <c r="L46" s="975"/>
    </row>
    <row r="47">
      <c r="A47" s="979"/>
      <c r="B47" s="980"/>
      <c r="C47" s="979"/>
      <c r="D47" s="981"/>
      <c r="E47" s="981"/>
      <c r="F47" s="981"/>
      <c r="G47" s="979"/>
      <c r="H47" s="981"/>
      <c r="I47" s="981"/>
      <c r="J47" s="979"/>
      <c r="K47" s="981" t="b">
        <v>0</v>
      </c>
      <c r="L47" s="980"/>
    </row>
    <row r="48">
      <c r="A48" s="974"/>
      <c r="B48" s="975"/>
      <c r="C48" s="974"/>
      <c r="D48" s="982"/>
      <c r="E48" s="982"/>
      <c r="F48" s="982"/>
      <c r="G48" s="974"/>
      <c r="H48" s="982"/>
      <c r="I48" s="982"/>
      <c r="J48" s="974"/>
      <c r="K48" s="982" t="b">
        <v>0</v>
      </c>
      <c r="L48" s="975"/>
    </row>
    <row r="49">
      <c r="A49" s="979"/>
      <c r="B49" s="980"/>
      <c r="C49" s="979"/>
      <c r="D49" s="981"/>
      <c r="E49" s="981"/>
      <c r="F49" s="981"/>
      <c r="G49" s="979"/>
      <c r="H49" s="981"/>
      <c r="I49" s="981"/>
      <c r="J49" s="979"/>
      <c r="K49" s="981" t="b">
        <v>0</v>
      </c>
      <c r="L49" s="980"/>
    </row>
    <row r="50">
      <c r="A50" s="974"/>
      <c r="B50" s="975"/>
      <c r="C50" s="974"/>
      <c r="D50" s="982"/>
      <c r="E50" s="982"/>
      <c r="F50" s="982"/>
      <c r="G50" s="974"/>
      <c r="H50" s="982"/>
      <c r="I50" s="982"/>
      <c r="J50" s="974"/>
      <c r="K50" s="982" t="b">
        <v>0</v>
      </c>
      <c r="L50" s="975"/>
    </row>
    <row r="51">
      <c r="A51" s="979"/>
      <c r="B51" s="980"/>
      <c r="C51" s="979"/>
      <c r="D51" s="981"/>
      <c r="E51" s="981"/>
      <c r="F51" s="981"/>
      <c r="G51" s="979"/>
      <c r="H51" s="981"/>
      <c r="I51" s="981"/>
      <c r="J51" s="979"/>
      <c r="K51" s="981" t="b">
        <v>0</v>
      </c>
      <c r="L51" s="980"/>
    </row>
    <row r="52">
      <c r="A52" s="974"/>
      <c r="B52" s="975"/>
      <c r="C52" s="974"/>
      <c r="D52" s="982"/>
      <c r="E52" s="982"/>
      <c r="F52" s="982"/>
      <c r="G52" s="974"/>
      <c r="H52" s="982"/>
      <c r="I52" s="982"/>
      <c r="J52" s="974"/>
      <c r="K52" s="982" t="b">
        <v>0</v>
      </c>
      <c r="L52" s="975"/>
    </row>
    <row r="53">
      <c r="A53" s="979"/>
      <c r="B53" s="980"/>
      <c r="C53" s="979"/>
      <c r="D53" s="981"/>
      <c r="E53" s="981"/>
      <c r="F53" s="981"/>
      <c r="G53" s="979"/>
      <c r="H53" s="981"/>
      <c r="I53" s="981"/>
      <c r="J53" s="979"/>
      <c r="K53" s="981" t="b">
        <v>0</v>
      </c>
      <c r="L53" s="980"/>
    </row>
    <row r="54">
      <c r="A54" s="974"/>
      <c r="B54" s="975"/>
      <c r="C54" s="974"/>
      <c r="D54" s="982"/>
      <c r="E54" s="982"/>
      <c r="F54" s="982"/>
      <c r="G54" s="974"/>
      <c r="H54" s="982"/>
      <c r="I54" s="982"/>
      <c r="J54" s="974"/>
      <c r="K54" s="982" t="b">
        <v>0</v>
      </c>
      <c r="L54" s="975"/>
    </row>
    <row r="55">
      <c r="A55" s="979"/>
      <c r="B55" s="980"/>
      <c r="C55" s="979"/>
      <c r="D55" s="981"/>
      <c r="E55" s="981"/>
      <c r="F55" s="981"/>
      <c r="G55" s="979"/>
      <c r="H55" s="981"/>
      <c r="I55" s="981"/>
      <c r="J55" s="979"/>
      <c r="K55" s="981" t="b">
        <v>0</v>
      </c>
      <c r="L55" s="980"/>
    </row>
    <row r="56">
      <c r="A56" s="974"/>
      <c r="B56" s="975"/>
      <c r="C56" s="974"/>
      <c r="D56" s="982"/>
      <c r="E56" s="982"/>
      <c r="F56" s="982"/>
      <c r="G56" s="974"/>
      <c r="H56" s="982"/>
      <c r="I56" s="982"/>
      <c r="J56" s="974"/>
      <c r="K56" s="982" t="b">
        <v>0</v>
      </c>
      <c r="L56" s="975"/>
    </row>
    <row r="57">
      <c r="A57" s="979"/>
      <c r="B57" s="980"/>
      <c r="C57" s="979"/>
      <c r="D57" s="981"/>
      <c r="E57" s="981"/>
      <c r="F57" s="981"/>
      <c r="G57" s="979"/>
      <c r="H57" s="981"/>
      <c r="I57" s="981"/>
      <c r="J57" s="979"/>
      <c r="K57" s="981" t="b">
        <v>0</v>
      </c>
      <c r="L57" s="980"/>
    </row>
    <row r="58">
      <c r="A58" s="974"/>
      <c r="B58" s="975"/>
      <c r="C58" s="974"/>
      <c r="D58" s="982"/>
      <c r="E58" s="982"/>
      <c r="F58" s="982"/>
      <c r="G58" s="974"/>
      <c r="H58" s="982"/>
      <c r="I58" s="982"/>
      <c r="J58" s="974"/>
      <c r="K58" s="982" t="b">
        <v>0</v>
      </c>
      <c r="L58" s="975"/>
    </row>
    <row r="59">
      <c r="A59" s="979"/>
      <c r="B59" s="980"/>
      <c r="C59" s="979"/>
      <c r="D59" s="981"/>
      <c r="E59" s="981"/>
      <c r="F59" s="981"/>
      <c r="G59" s="979"/>
      <c r="H59" s="981"/>
      <c r="I59" s="981"/>
      <c r="J59" s="979"/>
      <c r="K59" s="981" t="b">
        <v>0</v>
      </c>
      <c r="L59" s="980"/>
    </row>
    <row r="60">
      <c r="A60" s="974"/>
      <c r="B60" s="975"/>
      <c r="C60" s="974"/>
      <c r="D60" s="982"/>
      <c r="E60" s="982"/>
      <c r="F60" s="982"/>
      <c r="G60" s="974"/>
      <c r="H60" s="982"/>
      <c r="I60" s="982"/>
      <c r="J60" s="974"/>
      <c r="K60" s="982" t="b">
        <v>0</v>
      </c>
      <c r="L60" s="975"/>
    </row>
    <row r="61">
      <c r="A61" s="979"/>
      <c r="B61" s="980"/>
      <c r="C61" s="979"/>
      <c r="D61" s="981"/>
      <c r="E61" s="981"/>
      <c r="F61" s="981"/>
      <c r="G61" s="979"/>
      <c r="H61" s="981"/>
      <c r="I61" s="981"/>
      <c r="J61" s="979"/>
      <c r="K61" s="981" t="b">
        <v>0</v>
      </c>
      <c r="L61" s="980"/>
    </row>
    <row r="62">
      <c r="A62" s="974"/>
      <c r="B62" s="975"/>
      <c r="C62" s="974"/>
      <c r="D62" s="982"/>
      <c r="E62" s="982"/>
      <c r="F62" s="982"/>
      <c r="G62" s="974"/>
      <c r="H62" s="982"/>
      <c r="I62" s="982"/>
      <c r="J62" s="974"/>
      <c r="K62" s="982" t="b">
        <v>0</v>
      </c>
      <c r="L62" s="975"/>
    </row>
    <row r="63">
      <c r="A63" s="979"/>
      <c r="B63" s="980"/>
      <c r="C63" s="979"/>
      <c r="D63" s="981"/>
      <c r="E63" s="981"/>
      <c r="F63" s="981"/>
      <c r="G63" s="979"/>
      <c r="H63" s="981"/>
      <c r="I63" s="981"/>
      <c r="J63" s="979"/>
      <c r="K63" s="981" t="b">
        <v>0</v>
      </c>
      <c r="L63" s="980"/>
    </row>
    <row r="64">
      <c r="A64" s="974"/>
      <c r="B64" s="975"/>
      <c r="C64" s="974"/>
      <c r="D64" s="982"/>
      <c r="E64" s="982"/>
      <c r="F64" s="982"/>
      <c r="G64" s="974"/>
      <c r="H64" s="982"/>
      <c r="I64" s="982"/>
      <c r="J64" s="974"/>
      <c r="K64" s="982" t="b">
        <v>0</v>
      </c>
      <c r="L64" s="975"/>
    </row>
    <row r="65">
      <c r="A65" s="979"/>
      <c r="B65" s="980"/>
      <c r="C65" s="979"/>
      <c r="D65" s="981"/>
      <c r="E65" s="981"/>
      <c r="F65" s="981"/>
      <c r="G65" s="979"/>
      <c r="H65" s="981"/>
      <c r="I65" s="981"/>
      <c r="J65" s="979"/>
      <c r="K65" s="981" t="b">
        <v>0</v>
      </c>
      <c r="L65" s="980"/>
    </row>
    <row r="66">
      <c r="A66" s="974"/>
      <c r="B66" s="975"/>
      <c r="C66" s="974"/>
      <c r="D66" s="982"/>
      <c r="E66" s="982"/>
      <c r="F66" s="982"/>
      <c r="G66" s="974"/>
      <c r="H66" s="982"/>
      <c r="I66" s="982"/>
      <c r="J66" s="974"/>
      <c r="K66" s="982" t="b">
        <v>0</v>
      </c>
      <c r="L66" s="975"/>
    </row>
    <row r="67">
      <c r="A67" s="979"/>
      <c r="B67" s="980"/>
      <c r="C67" s="979"/>
      <c r="D67" s="981"/>
      <c r="E67" s="981"/>
      <c r="F67" s="981"/>
      <c r="G67" s="979"/>
      <c r="H67" s="981"/>
      <c r="I67" s="981"/>
      <c r="J67" s="979"/>
      <c r="K67" s="981" t="b">
        <v>0</v>
      </c>
      <c r="L67" s="980"/>
    </row>
    <row r="68">
      <c r="A68" s="974"/>
      <c r="B68" s="975"/>
      <c r="C68" s="974"/>
      <c r="D68" s="982"/>
      <c r="E68" s="982"/>
      <c r="F68" s="982"/>
      <c r="G68" s="974"/>
      <c r="H68" s="982"/>
      <c r="I68" s="982"/>
      <c r="J68" s="974"/>
      <c r="K68" s="982" t="b">
        <v>0</v>
      </c>
      <c r="L68" s="975"/>
    </row>
    <row r="69">
      <c r="A69" s="979"/>
      <c r="B69" s="980"/>
      <c r="C69" s="979"/>
      <c r="D69" s="981"/>
      <c r="E69" s="981"/>
      <c r="F69" s="981"/>
      <c r="G69" s="979"/>
      <c r="H69" s="981"/>
      <c r="I69" s="981"/>
      <c r="J69" s="979"/>
      <c r="K69" s="981" t="b">
        <v>0</v>
      </c>
      <c r="L69" s="980"/>
    </row>
    <row r="70">
      <c r="A70" s="974"/>
      <c r="B70" s="975"/>
      <c r="C70" s="974"/>
      <c r="D70" s="982"/>
      <c r="E70" s="982"/>
      <c r="F70" s="982"/>
      <c r="G70" s="974"/>
      <c r="H70" s="982"/>
      <c r="I70" s="982"/>
      <c r="J70" s="974"/>
      <c r="K70" s="982" t="b">
        <v>0</v>
      </c>
      <c r="L70" s="975"/>
    </row>
    <row r="71">
      <c r="A71" s="979"/>
      <c r="B71" s="980"/>
      <c r="C71" s="979"/>
      <c r="D71" s="981"/>
      <c r="E71" s="981"/>
      <c r="F71" s="981"/>
      <c r="G71" s="979"/>
      <c r="H71" s="981"/>
      <c r="I71" s="981"/>
      <c r="J71" s="979"/>
      <c r="K71" s="981" t="b">
        <v>0</v>
      </c>
      <c r="L71" s="980"/>
    </row>
    <row r="72">
      <c r="A72" s="974"/>
      <c r="B72" s="975"/>
      <c r="C72" s="974"/>
      <c r="D72" s="982"/>
      <c r="E72" s="982"/>
      <c r="F72" s="982"/>
      <c r="G72" s="974"/>
      <c r="H72" s="982"/>
      <c r="I72" s="982"/>
      <c r="J72" s="974"/>
      <c r="K72" s="982" t="b">
        <v>0</v>
      </c>
      <c r="L72" s="975"/>
    </row>
    <row r="73">
      <c r="A73" s="979"/>
      <c r="B73" s="980"/>
      <c r="C73" s="979"/>
      <c r="D73" s="981"/>
      <c r="E73" s="981"/>
      <c r="F73" s="981"/>
      <c r="G73" s="979"/>
      <c r="H73" s="981"/>
      <c r="I73" s="981"/>
      <c r="J73" s="979"/>
      <c r="K73" s="981" t="b">
        <v>0</v>
      </c>
      <c r="L73" s="980"/>
    </row>
    <row r="74">
      <c r="A74" s="974"/>
      <c r="B74" s="975"/>
      <c r="C74" s="974"/>
      <c r="D74" s="982"/>
      <c r="E74" s="982"/>
      <c r="F74" s="982"/>
      <c r="G74" s="974"/>
      <c r="H74" s="982"/>
      <c r="I74" s="982"/>
      <c r="J74" s="974"/>
      <c r="K74" s="982" t="b">
        <v>0</v>
      </c>
      <c r="L74" s="975"/>
    </row>
    <row r="75">
      <c r="A75" s="979"/>
      <c r="B75" s="980"/>
      <c r="C75" s="979"/>
      <c r="D75" s="981"/>
      <c r="E75" s="981"/>
      <c r="F75" s="981"/>
      <c r="G75" s="979"/>
      <c r="H75" s="981"/>
      <c r="I75" s="981"/>
      <c r="J75" s="979"/>
      <c r="K75" s="981" t="b">
        <v>0</v>
      </c>
      <c r="L75" s="980"/>
    </row>
    <row r="76">
      <c r="A76" s="974"/>
      <c r="B76" s="975"/>
      <c r="C76" s="974"/>
      <c r="D76" s="982"/>
      <c r="E76" s="982"/>
      <c r="F76" s="982"/>
      <c r="G76" s="974"/>
      <c r="H76" s="982"/>
      <c r="I76" s="982"/>
      <c r="J76" s="974"/>
      <c r="K76" s="982" t="b">
        <v>0</v>
      </c>
      <c r="L76" s="975"/>
    </row>
    <row r="77">
      <c r="A77" s="979"/>
      <c r="B77" s="980"/>
      <c r="C77" s="979"/>
      <c r="D77" s="981"/>
      <c r="E77" s="981"/>
      <c r="F77" s="981"/>
      <c r="G77" s="979"/>
      <c r="H77" s="981"/>
      <c r="I77" s="981"/>
      <c r="J77" s="979"/>
      <c r="K77" s="981" t="b">
        <v>0</v>
      </c>
      <c r="L77" s="980"/>
    </row>
    <row r="78">
      <c r="A78" s="974"/>
      <c r="B78" s="975"/>
      <c r="C78" s="974"/>
      <c r="D78" s="982"/>
      <c r="E78" s="982"/>
      <c r="F78" s="982"/>
      <c r="G78" s="974"/>
      <c r="H78" s="982"/>
      <c r="I78" s="982"/>
      <c r="J78" s="974"/>
      <c r="K78" s="982" t="b">
        <v>0</v>
      </c>
      <c r="L78" s="975"/>
    </row>
    <row r="79">
      <c r="A79" s="979"/>
      <c r="B79" s="980"/>
      <c r="C79" s="979"/>
      <c r="D79" s="981"/>
      <c r="E79" s="981"/>
      <c r="F79" s="981"/>
      <c r="G79" s="979"/>
      <c r="H79" s="981"/>
      <c r="I79" s="981"/>
      <c r="J79" s="979"/>
      <c r="K79" s="981" t="b">
        <v>0</v>
      </c>
      <c r="L79" s="980"/>
    </row>
    <row r="80">
      <c r="A80" s="974"/>
      <c r="B80" s="975"/>
      <c r="C80" s="974"/>
      <c r="D80" s="982"/>
      <c r="E80" s="982"/>
      <c r="F80" s="982"/>
      <c r="G80" s="974"/>
      <c r="H80" s="982"/>
      <c r="I80" s="982"/>
      <c r="J80" s="974"/>
      <c r="K80" s="982" t="b">
        <v>0</v>
      </c>
      <c r="L80" s="975"/>
    </row>
    <row r="81">
      <c r="A81" s="979"/>
      <c r="B81" s="980"/>
      <c r="C81" s="979"/>
      <c r="D81" s="981"/>
      <c r="E81" s="981"/>
      <c r="F81" s="981"/>
      <c r="G81" s="979"/>
      <c r="H81" s="981"/>
      <c r="I81" s="981"/>
      <c r="J81" s="979"/>
      <c r="K81" s="981" t="b">
        <v>0</v>
      </c>
      <c r="L81" s="980"/>
    </row>
    <row r="82">
      <c r="A82" s="974"/>
      <c r="B82" s="975"/>
      <c r="C82" s="974"/>
      <c r="D82" s="982"/>
      <c r="E82" s="982"/>
      <c r="F82" s="982"/>
      <c r="G82" s="974"/>
      <c r="H82" s="982"/>
      <c r="I82" s="982"/>
      <c r="J82" s="974"/>
      <c r="K82" s="982" t="b">
        <v>0</v>
      </c>
      <c r="L82" s="975"/>
    </row>
    <row r="83">
      <c r="A83" s="979"/>
      <c r="B83" s="980"/>
      <c r="C83" s="979"/>
      <c r="D83" s="981"/>
      <c r="E83" s="981"/>
      <c r="F83" s="981"/>
      <c r="G83" s="979"/>
      <c r="H83" s="981"/>
      <c r="I83" s="981"/>
      <c r="J83" s="979"/>
      <c r="K83" s="981" t="b">
        <v>0</v>
      </c>
      <c r="L83" s="980"/>
    </row>
    <row r="84">
      <c r="A84" s="974"/>
      <c r="B84" s="975"/>
      <c r="C84" s="974"/>
      <c r="D84" s="982"/>
      <c r="E84" s="982"/>
      <c r="F84" s="982"/>
      <c r="G84" s="974"/>
      <c r="H84" s="982"/>
      <c r="I84" s="982"/>
      <c r="J84" s="974"/>
      <c r="K84" s="982" t="b">
        <v>0</v>
      </c>
      <c r="L84" s="975"/>
    </row>
    <row r="85">
      <c r="A85" s="979"/>
      <c r="B85" s="980"/>
      <c r="C85" s="979"/>
      <c r="D85" s="981"/>
      <c r="E85" s="981"/>
      <c r="F85" s="981"/>
      <c r="G85" s="979"/>
      <c r="H85" s="981"/>
      <c r="I85" s="981"/>
      <c r="J85" s="979"/>
      <c r="K85" s="981" t="b">
        <v>0</v>
      </c>
      <c r="L85" s="980"/>
    </row>
    <row r="86">
      <c r="A86" s="974"/>
      <c r="B86" s="975"/>
      <c r="C86" s="974"/>
      <c r="D86" s="982"/>
      <c r="E86" s="982"/>
      <c r="F86" s="982"/>
      <c r="G86" s="974"/>
      <c r="H86" s="982"/>
      <c r="I86" s="982"/>
      <c r="J86" s="974"/>
      <c r="K86" s="982" t="b">
        <v>0</v>
      </c>
      <c r="L86" s="975"/>
    </row>
    <row r="87">
      <c r="A87" s="979"/>
      <c r="B87" s="980"/>
      <c r="C87" s="979"/>
      <c r="D87" s="981"/>
      <c r="E87" s="981"/>
      <c r="F87" s="981"/>
      <c r="G87" s="979"/>
      <c r="H87" s="981"/>
      <c r="I87" s="981"/>
      <c r="J87" s="979"/>
      <c r="K87" s="981" t="b">
        <v>0</v>
      </c>
      <c r="L87" s="980"/>
    </row>
    <row r="88">
      <c r="A88" s="974"/>
      <c r="B88" s="975"/>
      <c r="C88" s="974"/>
      <c r="D88" s="982"/>
      <c r="E88" s="982"/>
      <c r="F88" s="982"/>
      <c r="G88" s="974"/>
      <c r="H88" s="982"/>
      <c r="I88" s="982"/>
      <c r="J88" s="974"/>
      <c r="K88" s="982" t="b">
        <v>0</v>
      </c>
      <c r="L88" s="975"/>
    </row>
    <row r="89">
      <c r="A89" s="979"/>
      <c r="B89" s="980"/>
      <c r="C89" s="979"/>
      <c r="D89" s="981"/>
      <c r="E89" s="981"/>
      <c r="F89" s="981"/>
      <c r="G89" s="979"/>
      <c r="H89" s="981"/>
      <c r="I89" s="981"/>
      <c r="J89" s="979"/>
      <c r="K89" s="981" t="b">
        <v>0</v>
      </c>
      <c r="L89" s="980"/>
    </row>
    <row r="90">
      <c r="A90" s="974"/>
      <c r="B90" s="975"/>
      <c r="C90" s="974"/>
      <c r="D90" s="982"/>
      <c r="E90" s="982"/>
      <c r="F90" s="982"/>
      <c r="G90" s="974"/>
      <c r="H90" s="982"/>
      <c r="I90" s="982"/>
      <c r="J90" s="974"/>
      <c r="K90" s="982" t="b">
        <v>0</v>
      </c>
      <c r="L90" s="975"/>
    </row>
    <row r="91">
      <c r="A91" s="979"/>
      <c r="B91" s="980"/>
      <c r="C91" s="979"/>
      <c r="D91" s="981"/>
      <c r="E91" s="981"/>
      <c r="F91" s="981"/>
      <c r="G91" s="979"/>
      <c r="H91" s="981"/>
      <c r="I91" s="981"/>
      <c r="J91" s="979"/>
      <c r="K91" s="981" t="b">
        <v>0</v>
      </c>
      <c r="L91" s="980"/>
    </row>
    <row r="92">
      <c r="A92" s="974"/>
      <c r="B92" s="975"/>
      <c r="C92" s="974"/>
      <c r="D92" s="982"/>
      <c r="E92" s="982"/>
      <c r="F92" s="982"/>
      <c r="G92" s="974"/>
      <c r="H92" s="982"/>
      <c r="I92" s="982"/>
      <c r="J92" s="974"/>
      <c r="K92" s="982" t="b">
        <v>0</v>
      </c>
      <c r="L92" s="975"/>
    </row>
    <row r="93">
      <c r="A93" s="979"/>
      <c r="B93" s="980"/>
      <c r="C93" s="979"/>
      <c r="D93" s="981"/>
      <c r="E93" s="981"/>
      <c r="F93" s="981"/>
      <c r="G93" s="979"/>
      <c r="H93" s="981"/>
      <c r="I93" s="981"/>
      <c r="J93" s="979"/>
      <c r="K93" s="981" t="b">
        <v>0</v>
      </c>
      <c r="L93" s="980"/>
    </row>
    <row r="94">
      <c r="A94" s="974"/>
      <c r="B94" s="975"/>
      <c r="C94" s="974"/>
      <c r="D94" s="982"/>
      <c r="E94" s="982"/>
      <c r="F94" s="982"/>
      <c r="G94" s="974"/>
      <c r="H94" s="982"/>
      <c r="I94" s="982"/>
      <c r="J94" s="974"/>
      <c r="K94" s="982" t="b">
        <v>0</v>
      </c>
      <c r="L94" s="975"/>
    </row>
    <row r="95">
      <c r="A95" s="979"/>
      <c r="B95" s="980"/>
      <c r="C95" s="979"/>
      <c r="D95" s="981"/>
      <c r="E95" s="981"/>
      <c r="F95" s="981"/>
      <c r="G95" s="979"/>
      <c r="H95" s="981"/>
      <c r="I95" s="981"/>
      <c r="J95" s="979"/>
      <c r="K95" s="981" t="b">
        <v>0</v>
      </c>
      <c r="L95" s="980"/>
    </row>
    <row r="96">
      <c r="A96" s="974"/>
      <c r="B96" s="975"/>
      <c r="C96" s="974"/>
      <c r="D96" s="982"/>
      <c r="E96" s="982"/>
      <c r="F96" s="982"/>
      <c r="G96" s="974"/>
      <c r="H96" s="982"/>
      <c r="I96" s="982"/>
      <c r="J96" s="974"/>
      <c r="K96" s="982" t="b">
        <v>0</v>
      </c>
      <c r="L96" s="975"/>
    </row>
    <row r="97">
      <c r="A97" s="979"/>
      <c r="B97" s="980"/>
      <c r="C97" s="979"/>
      <c r="D97" s="981"/>
      <c r="E97" s="981"/>
      <c r="F97" s="981"/>
      <c r="G97" s="979"/>
      <c r="H97" s="981"/>
      <c r="I97" s="981"/>
      <c r="J97" s="979"/>
      <c r="K97" s="981" t="b">
        <v>0</v>
      </c>
      <c r="L97" s="980"/>
    </row>
    <row r="98">
      <c r="A98" s="974"/>
      <c r="B98" s="975"/>
      <c r="C98" s="974"/>
      <c r="D98" s="982"/>
      <c r="E98" s="982"/>
      <c r="F98" s="982"/>
      <c r="G98" s="974"/>
      <c r="H98" s="982"/>
      <c r="I98" s="982"/>
      <c r="J98" s="974"/>
      <c r="K98" s="982" t="b">
        <v>0</v>
      </c>
      <c r="L98" s="975"/>
    </row>
    <row r="99">
      <c r="A99" s="979"/>
      <c r="B99" s="980"/>
      <c r="C99" s="979"/>
      <c r="D99" s="981"/>
      <c r="E99" s="981"/>
      <c r="F99" s="981"/>
      <c r="G99" s="979"/>
      <c r="H99" s="981"/>
      <c r="I99" s="981"/>
      <c r="J99" s="979"/>
      <c r="K99" s="981" t="b">
        <v>0</v>
      </c>
      <c r="L99" s="980"/>
    </row>
    <row r="100">
      <c r="A100" s="974"/>
      <c r="B100" s="975"/>
      <c r="C100" s="974"/>
      <c r="D100" s="982"/>
      <c r="E100" s="982"/>
      <c r="F100" s="982"/>
      <c r="G100" s="974"/>
      <c r="H100" s="982"/>
      <c r="I100" s="982"/>
      <c r="J100" s="974"/>
      <c r="K100" s="982" t="b">
        <v>0</v>
      </c>
      <c r="L100" s="975"/>
    </row>
    <row r="101">
      <c r="A101" s="979"/>
      <c r="B101" s="980"/>
      <c r="C101" s="979"/>
      <c r="D101" s="981"/>
      <c r="E101" s="981"/>
      <c r="F101" s="981"/>
      <c r="G101" s="979"/>
      <c r="H101" s="981"/>
      <c r="I101" s="981"/>
      <c r="J101" s="979"/>
      <c r="K101" s="981" t="b">
        <v>0</v>
      </c>
      <c r="L101" s="980"/>
    </row>
    <row r="102">
      <c r="A102" s="974"/>
      <c r="B102" s="975"/>
      <c r="C102" s="974"/>
      <c r="D102" s="982"/>
      <c r="E102" s="982"/>
      <c r="F102" s="982"/>
      <c r="G102" s="974"/>
      <c r="H102" s="982"/>
      <c r="I102" s="982"/>
      <c r="J102" s="974"/>
      <c r="K102" s="982" t="b">
        <v>0</v>
      </c>
      <c r="L102" s="975"/>
    </row>
    <row r="103">
      <c r="A103" s="979"/>
      <c r="B103" s="980"/>
      <c r="C103" s="979"/>
      <c r="D103" s="981"/>
      <c r="E103" s="981"/>
      <c r="F103" s="981"/>
      <c r="G103" s="979"/>
      <c r="H103" s="981"/>
      <c r="I103" s="981"/>
      <c r="J103" s="979"/>
      <c r="K103" s="981" t="b">
        <v>0</v>
      </c>
      <c r="L103" s="980"/>
    </row>
    <row r="104">
      <c r="A104" s="974"/>
      <c r="B104" s="975"/>
      <c r="C104" s="974"/>
      <c r="D104" s="982"/>
      <c r="E104" s="982"/>
      <c r="F104" s="982"/>
      <c r="G104" s="974"/>
      <c r="H104" s="982"/>
      <c r="I104" s="982"/>
      <c r="J104" s="974"/>
      <c r="K104" s="982" t="b">
        <v>0</v>
      </c>
      <c r="L104" s="975"/>
    </row>
    <row r="105">
      <c r="A105" s="979"/>
      <c r="B105" s="980"/>
      <c r="C105" s="979"/>
      <c r="D105" s="981"/>
      <c r="E105" s="981"/>
      <c r="F105" s="981"/>
      <c r="G105" s="979"/>
      <c r="H105" s="981"/>
      <c r="I105" s="981"/>
      <c r="J105" s="979"/>
      <c r="K105" s="981" t="b">
        <v>0</v>
      </c>
      <c r="L105" s="980"/>
    </row>
    <row r="106">
      <c r="A106" s="974"/>
      <c r="B106" s="975"/>
      <c r="C106" s="974"/>
      <c r="D106" s="982"/>
      <c r="E106" s="982"/>
      <c r="F106" s="982"/>
      <c r="G106" s="974"/>
      <c r="H106" s="982"/>
      <c r="I106" s="982"/>
      <c r="J106" s="974"/>
      <c r="K106" s="982" t="b">
        <v>0</v>
      </c>
      <c r="L106" s="975"/>
    </row>
    <row r="107">
      <c r="A107" s="979"/>
      <c r="B107" s="980"/>
      <c r="C107" s="979"/>
      <c r="D107" s="981"/>
      <c r="E107" s="981"/>
      <c r="F107" s="981"/>
      <c r="G107" s="979"/>
      <c r="H107" s="981"/>
      <c r="I107" s="981"/>
      <c r="J107" s="979"/>
      <c r="K107" s="981" t="b">
        <v>0</v>
      </c>
      <c r="L107" s="980"/>
    </row>
    <row r="108">
      <c r="A108" s="974"/>
      <c r="B108" s="975"/>
      <c r="C108" s="974"/>
      <c r="D108" s="982"/>
      <c r="E108" s="982"/>
      <c r="F108" s="982"/>
      <c r="G108" s="974"/>
      <c r="H108" s="982"/>
      <c r="I108" s="982"/>
      <c r="J108" s="974"/>
      <c r="K108" s="982" t="b">
        <v>0</v>
      </c>
      <c r="L108" s="975"/>
    </row>
    <row r="109">
      <c r="A109" s="979"/>
      <c r="B109" s="980"/>
      <c r="C109" s="979"/>
      <c r="D109" s="981"/>
      <c r="E109" s="981"/>
      <c r="F109" s="981"/>
      <c r="G109" s="979"/>
      <c r="H109" s="981"/>
      <c r="I109" s="981"/>
      <c r="J109" s="979"/>
      <c r="K109" s="981" t="b">
        <v>0</v>
      </c>
      <c r="L109" s="980"/>
    </row>
    <row r="110">
      <c r="A110" s="974"/>
      <c r="B110" s="975"/>
      <c r="C110" s="974"/>
      <c r="D110" s="982"/>
      <c r="E110" s="982"/>
      <c r="F110" s="982"/>
      <c r="G110" s="974"/>
      <c r="H110" s="982"/>
      <c r="I110" s="982"/>
      <c r="J110" s="974"/>
      <c r="K110" s="982" t="b">
        <v>0</v>
      </c>
      <c r="L110" s="975"/>
    </row>
    <row r="111">
      <c r="A111" s="979"/>
      <c r="B111" s="980"/>
      <c r="C111" s="979"/>
      <c r="D111" s="981"/>
      <c r="E111" s="981"/>
      <c r="F111" s="981"/>
      <c r="G111" s="979"/>
      <c r="H111" s="981"/>
      <c r="I111" s="981"/>
      <c r="J111" s="979"/>
      <c r="K111" s="981" t="b">
        <v>0</v>
      </c>
      <c r="L111" s="980"/>
    </row>
    <row r="112">
      <c r="A112" s="974"/>
      <c r="B112" s="975"/>
      <c r="C112" s="974"/>
      <c r="D112" s="982"/>
      <c r="E112" s="982"/>
      <c r="F112" s="982"/>
      <c r="G112" s="974"/>
      <c r="H112" s="982"/>
      <c r="I112" s="982"/>
      <c r="J112" s="974"/>
      <c r="K112" s="982" t="b">
        <v>0</v>
      </c>
      <c r="L112" s="975"/>
    </row>
    <row r="113">
      <c r="A113" s="979"/>
      <c r="B113" s="980"/>
      <c r="C113" s="979"/>
      <c r="D113" s="981"/>
      <c r="E113" s="981"/>
      <c r="F113" s="981"/>
      <c r="G113" s="979"/>
      <c r="H113" s="981"/>
      <c r="I113" s="981"/>
      <c r="J113" s="979"/>
      <c r="K113" s="981" t="b">
        <v>0</v>
      </c>
      <c r="L113" s="980"/>
    </row>
    <row r="114">
      <c r="A114" s="974"/>
      <c r="B114" s="975"/>
      <c r="C114" s="974"/>
      <c r="D114" s="982"/>
      <c r="E114" s="982"/>
      <c r="F114" s="982"/>
      <c r="G114" s="974"/>
      <c r="H114" s="982"/>
      <c r="I114" s="982"/>
      <c r="J114" s="974"/>
      <c r="K114" s="982" t="b">
        <v>0</v>
      </c>
      <c r="L114" s="975"/>
    </row>
    <row r="115">
      <c r="A115" s="979"/>
      <c r="B115" s="980"/>
      <c r="C115" s="979"/>
      <c r="D115" s="981"/>
      <c r="E115" s="981"/>
      <c r="F115" s="981"/>
      <c r="G115" s="979"/>
      <c r="H115" s="981"/>
      <c r="I115" s="981"/>
      <c r="J115" s="979"/>
      <c r="K115" s="981" t="b">
        <v>0</v>
      </c>
      <c r="L115" s="980"/>
    </row>
    <row r="116">
      <c r="A116" s="974"/>
      <c r="B116" s="975"/>
      <c r="C116" s="974"/>
      <c r="D116" s="982"/>
      <c r="E116" s="982"/>
      <c r="F116" s="982"/>
      <c r="G116" s="974"/>
      <c r="H116" s="982"/>
      <c r="I116" s="982"/>
      <c r="J116" s="974"/>
      <c r="K116" s="982" t="b">
        <v>0</v>
      </c>
      <c r="L116" s="975"/>
    </row>
    <row r="117">
      <c r="A117" s="979"/>
      <c r="B117" s="980"/>
      <c r="C117" s="979"/>
      <c r="D117" s="981"/>
      <c r="E117" s="981"/>
      <c r="F117" s="981"/>
      <c r="G117" s="979"/>
      <c r="H117" s="981"/>
      <c r="I117" s="981"/>
      <c r="J117" s="979"/>
      <c r="K117" s="981" t="b">
        <v>0</v>
      </c>
      <c r="L117" s="980"/>
    </row>
    <row r="118">
      <c r="A118" s="974"/>
      <c r="B118" s="975"/>
      <c r="C118" s="974"/>
      <c r="D118" s="982"/>
      <c r="E118" s="982"/>
      <c r="F118" s="982"/>
      <c r="G118" s="974"/>
      <c r="H118" s="982"/>
      <c r="I118" s="982"/>
      <c r="J118" s="974"/>
      <c r="K118" s="982" t="b">
        <v>0</v>
      </c>
      <c r="L118" s="975"/>
    </row>
    <row r="119">
      <c r="A119" s="979"/>
      <c r="B119" s="980"/>
      <c r="C119" s="979"/>
      <c r="D119" s="981"/>
      <c r="E119" s="981"/>
      <c r="F119" s="981"/>
      <c r="G119" s="979"/>
      <c r="H119" s="981"/>
      <c r="I119" s="981"/>
      <c r="J119" s="979"/>
      <c r="K119" s="981" t="b">
        <v>0</v>
      </c>
      <c r="L119" s="980"/>
    </row>
    <row r="120">
      <c r="A120" s="974"/>
      <c r="B120" s="975"/>
      <c r="C120" s="974"/>
      <c r="D120" s="982"/>
      <c r="E120" s="982"/>
      <c r="F120" s="982"/>
      <c r="G120" s="974"/>
      <c r="H120" s="982"/>
      <c r="I120" s="982"/>
      <c r="J120" s="974"/>
      <c r="K120" s="982" t="b">
        <v>0</v>
      </c>
      <c r="L120" s="975"/>
    </row>
    <row r="121">
      <c r="A121" s="979"/>
      <c r="B121" s="980"/>
      <c r="C121" s="979"/>
      <c r="D121" s="981"/>
      <c r="E121" s="981"/>
      <c r="F121" s="981"/>
      <c r="G121" s="979"/>
      <c r="H121" s="981"/>
      <c r="I121" s="981"/>
      <c r="J121" s="979"/>
      <c r="K121" s="981" t="b">
        <v>0</v>
      </c>
      <c r="L121" s="980"/>
    </row>
    <row r="122">
      <c r="A122" s="974"/>
      <c r="B122" s="975"/>
      <c r="C122" s="974"/>
      <c r="D122" s="982"/>
      <c r="E122" s="982"/>
      <c r="F122" s="982"/>
      <c r="G122" s="974"/>
      <c r="H122" s="982"/>
      <c r="I122" s="982"/>
      <c r="J122" s="974"/>
      <c r="K122" s="982" t="b">
        <v>0</v>
      </c>
      <c r="L122" s="975"/>
    </row>
    <row r="123">
      <c r="A123" s="979"/>
      <c r="B123" s="980"/>
      <c r="C123" s="979"/>
      <c r="D123" s="981"/>
      <c r="E123" s="981"/>
      <c r="F123" s="981"/>
      <c r="G123" s="979"/>
      <c r="H123" s="981"/>
      <c r="I123" s="981"/>
      <c r="J123" s="979"/>
      <c r="K123" s="981" t="b">
        <v>0</v>
      </c>
      <c r="L123" s="980"/>
    </row>
    <row r="124">
      <c r="A124" s="974"/>
      <c r="B124" s="975"/>
      <c r="C124" s="974"/>
      <c r="D124" s="982"/>
      <c r="E124" s="982"/>
      <c r="F124" s="982"/>
      <c r="G124" s="974"/>
      <c r="H124" s="982"/>
      <c r="I124" s="982"/>
      <c r="J124" s="974"/>
      <c r="K124" s="982" t="b">
        <v>0</v>
      </c>
      <c r="L124" s="975"/>
    </row>
    <row r="125">
      <c r="A125" s="979"/>
      <c r="B125" s="980"/>
      <c r="C125" s="979"/>
      <c r="D125" s="981"/>
      <c r="E125" s="981"/>
      <c r="F125" s="981"/>
      <c r="G125" s="979"/>
      <c r="H125" s="981"/>
      <c r="I125" s="981"/>
      <c r="J125" s="979"/>
      <c r="K125" s="981" t="b">
        <v>0</v>
      </c>
      <c r="L125" s="980"/>
    </row>
    <row r="126">
      <c r="A126" s="974"/>
      <c r="B126" s="975"/>
      <c r="C126" s="974"/>
      <c r="D126" s="982"/>
      <c r="E126" s="982"/>
      <c r="F126" s="982"/>
      <c r="G126" s="974"/>
      <c r="H126" s="982"/>
      <c r="I126" s="982"/>
      <c r="J126" s="974"/>
      <c r="K126" s="982" t="b">
        <v>0</v>
      </c>
      <c r="L126" s="975"/>
    </row>
    <row r="127">
      <c r="A127" s="979"/>
      <c r="B127" s="980"/>
      <c r="C127" s="979"/>
      <c r="D127" s="981"/>
      <c r="E127" s="981"/>
      <c r="F127" s="981"/>
      <c r="G127" s="979"/>
      <c r="H127" s="981"/>
      <c r="I127" s="981"/>
      <c r="J127" s="979"/>
      <c r="K127" s="981" t="b">
        <v>0</v>
      </c>
      <c r="L127" s="980"/>
    </row>
    <row r="128">
      <c r="A128" s="974"/>
      <c r="B128" s="975"/>
      <c r="C128" s="974"/>
      <c r="D128" s="982"/>
      <c r="E128" s="982"/>
      <c r="F128" s="982"/>
      <c r="G128" s="974"/>
      <c r="H128" s="982"/>
      <c r="I128" s="982"/>
      <c r="J128" s="974"/>
      <c r="K128" s="982" t="b">
        <v>0</v>
      </c>
      <c r="L128" s="975"/>
    </row>
    <row r="129">
      <c r="A129" s="979"/>
      <c r="B129" s="980"/>
      <c r="C129" s="979"/>
      <c r="D129" s="981"/>
      <c r="E129" s="981"/>
      <c r="F129" s="981"/>
      <c r="G129" s="979"/>
      <c r="H129" s="981"/>
      <c r="I129" s="981"/>
      <c r="J129" s="979"/>
      <c r="K129" s="981" t="b">
        <v>0</v>
      </c>
      <c r="L129" s="980"/>
    </row>
    <row r="130">
      <c r="A130" s="974"/>
      <c r="B130" s="975"/>
      <c r="C130" s="974"/>
      <c r="D130" s="982"/>
      <c r="E130" s="982"/>
      <c r="F130" s="982"/>
      <c r="G130" s="974"/>
      <c r="H130" s="982"/>
      <c r="I130" s="982"/>
      <c r="J130" s="974"/>
      <c r="K130" s="982" t="b">
        <v>0</v>
      </c>
      <c r="L130" s="975"/>
    </row>
    <row r="131">
      <c r="A131" s="979"/>
      <c r="B131" s="980"/>
      <c r="C131" s="979"/>
      <c r="D131" s="981"/>
      <c r="E131" s="981"/>
      <c r="F131" s="981"/>
      <c r="G131" s="979"/>
      <c r="H131" s="981"/>
      <c r="I131" s="981"/>
      <c r="J131" s="979"/>
      <c r="K131" s="981" t="b">
        <v>0</v>
      </c>
      <c r="L131" s="980"/>
    </row>
    <row r="132">
      <c r="A132" s="974"/>
      <c r="B132" s="975"/>
      <c r="C132" s="974"/>
      <c r="D132" s="982"/>
      <c r="E132" s="982"/>
      <c r="F132" s="982"/>
      <c r="G132" s="974"/>
      <c r="H132" s="982"/>
      <c r="I132" s="982"/>
      <c r="J132" s="974"/>
      <c r="K132" s="982" t="b">
        <v>0</v>
      </c>
      <c r="L132" s="975"/>
    </row>
    <row r="133">
      <c r="A133" s="979"/>
      <c r="B133" s="980"/>
      <c r="C133" s="979"/>
      <c r="D133" s="981"/>
      <c r="E133" s="981"/>
      <c r="F133" s="981"/>
      <c r="G133" s="979"/>
      <c r="H133" s="981"/>
      <c r="I133" s="981"/>
      <c r="J133" s="979"/>
      <c r="K133" s="981" t="b">
        <v>0</v>
      </c>
      <c r="L133" s="980"/>
    </row>
    <row r="134">
      <c r="A134" s="974"/>
      <c r="B134" s="975"/>
      <c r="C134" s="974"/>
      <c r="D134" s="982"/>
      <c r="E134" s="982"/>
      <c r="F134" s="982"/>
      <c r="G134" s="974"/>
      <c r="H134" s="982"/>
      <c r="I134" s="982"/>
      <c r="J134" s="974"/>
      <c r="K134" s="982" t="b">
        <v>0</v>
      </c>
      <c r="L134" s="975"/>
    </row>
    <row r="135">
      <c r="A135" s="979"/>
      <c r="B135" s="980"/>
      <c r="C135" s="979"/>
      <c r="D135" s="981"/>
      <c r="E135" s="981"/>
      <c r="F135" s="981"/>
      <c r="G135" s="979"/>
      <c r="H135" s="981"/>
      <c r="I135" s="981"/>
      <c r="J135" s="979"/>
      <c r="K135" s="981" t="b">
        <v>0</v>
      </c>
      <c r="L135" s="980"/>
    </row>
    <row r="136">
      <c r="A136" s="974"/>
      <c r="B136" s="975"/>
      <c r="C136" s="974"/>
      <c r="D136" s="982"/>
      <c r="E136" s="982"/>
      <c r="F136" s="982"/>
      <c r="G136" s="974"/>
      <c r="H136" s="982"/>
      <c r="I136" s="982"/>
      <c r="J136" s="974"/>
      <c r="K136" s="982" t="b">
        <v>0</v>
      </c>
      <c r="L136" s="975"/>
    </row>
    <row r="137">
      <c r="A137" s="979"/>
      <c r="B137" s="980"/>
      <c r="C137" s="979"/>
      <c r="D137" s="981"/>
      <c r="E137" s="981"/>
      <c r="F137" s="981"/>
      <c r="G137" s="979"/>
      <c r="H137" s="981"/>
      <c r="I137" s="981"/>
      <c r="J137" s="979"/>
      <c r="K137" s="981" t="b">
        <v>0</v>
      </c>
      <c r="L137" s="980"/>
    </row>
    <row r="138">
      <c r="A138" s="974"/>
      <c r="B138" s="975"/>
      <c r="C138" s="974"/>
      <c r="D138" s="982"/>
      <c r="E138" s="982"/>
      <c r="F138" s="982"/>
      <c r="G138" s="974"/>
      <c r="H138" s="982"/>
      <c r="I138" s="982"/>
      <c r="J138" s="974"/>
      <c r="K138" s="982" t="b">
        <v>0</v>
      </c>
      <c r="L138" s="975"/>
    </row>
    <row r="139">
      <c r="A139" s="979"/>
      <c r="B139" s="980"/>
      <c r="C139" s="979"/>
      <c r="D139" s="981"/>
      <c r="E139" s="981"/>
      <c r="F139" s="981"/>
      <c r="G139" s="979"/>
      <c r="H139" s="981"/>
      <c r="I139" s="981"/>
      <c r="J139" s="979"/>
      <c r="K139" s="981" t="b">
        <v>0</v>
      </c>
      <c r="L139" s="980"/>
    </row>
    <row r="140">
      <c r="A140" s="974"/>
      <c r="B140" s="975"/>
      <c r="C140" s="974"/>
      <c r="D140" s="982"/>
      <c r="E140" s="982"/>
      <c r="F140" s="982"/>
      <c r="G140" s="974"/>
      <c r="H140" s="982"/>
      <c r="I140" s="982"/>
      <c r="J140" s="974"/>
      <c r="K140" s="982" t="b">
        <v>0</v>
      </c>
      <c r="L140" s="975"/>
    </row>
    <row r="141">
      <c r="A141" s="979"/>
      <c r="B141" s="980"/>
      <c r="C141" s="979"/>
      <c r="D141" s="981"/>
      <c r="E141" s="981"/>
      <c r="F141" s="981"/>
      <c r="G141" s="979"/>
      <c r="H141" s="981"/>
      <c r="I141" s="981"/>
      <c r="J141" s="979"/>
      <c r="K141" s="981" t="b">
        <v>0</v>
      </c>
      <c r="L141" s="980"/>
    </row>
    <row r="142">
      <c r="A142" s="974"/>
      <c r="B142" s="975"/>
      <c r="C142" s="974"/>
      <c r="D142" s="982"/>
      <c r="E142" s="982"/>
      <c r="F142" s="982"/>
      <c r="G142" s="974"/>
      <c r="H142" s="982"/>
      <c r="I142" s="982"/>
      <c r="J142" s="974"/>
      <c r="K142" s="982" t="b">
        <v>0</v>
      </c>
      <c r="L142" s="975"/>
    </row>
    <row r="143">
      <c r="A143" s="979"/>
      <c r="B143" s="980"/>
      <c r="C143" s="979"/>
      <c r="D143" s="981"/>
      <c r="E143" s="981"/>
      <c r="F143" s="981"/>
      <c r="G143" s="979"/>
      <c r="H143" s="981"/>
      <c r="I143" s="981"/>
      <c r="J143" s="979"/>
      <c r="K143" s="981" t="b">
        <v>0</v>
      </c>
      <c r="L143" s="980"/>
    </row>
    <row r="144">
      <c r="A144" s="974"/>
      <c r="B144" s="975"/>
      <c r="C144" s="974"/>
      <c r="D144" s="982"/>
      <c r="E144" s="982"/>
      <c r="F144" s="982"/>
      <c r="G144" s="974"/>
      <c r="H144" s="982"/>
      <c r="I144" s="982"/>
      <c r="J144" s="974"/>
      <c r="K144" s="982" t="b">
        <v>0</v>
      </c>
      <c r="L144" s="975"/>
    </row>
    <row r="145">
      <c r="A145" s="979"/>
      <c r="B145" s="980"/>
      <c r="C145" s="979"/>
      <c r="D145" s="981"/>
      <c r="E145" s="981"/>
      <c r="F145" s="981"/>
      <c r="G145" s="979"/>
      <c r="H145" s="981"/>
      <c r="I145" s="981"/>
      <c r="J145" s="979"/>
      <c r="K145" s="981" t="b">
        <v>0</v>
      </c>
      <c r="L145" s="980"/>
    </row>
    <row r="146">
      <c r="A146" s="974"/>
      <c r="B146" s="975"/>
      <c r="C146" s="974"/>
      <c r="D146" s="982"/>
      <c r="E146" s="982"/>
      <c r="F146" s="982"/>
      <c r="G146" s="974"/>
      <c r="H146" s="982"/>
      <c r="I146" s="982"/>
      <c r="J146" s="974"/>
      <c r="K146" s="982" t="b">
        <v>0</v>
      </c>
      <c r="L146" s="975"/>
    </row>
    <row r="147">
      <c r="A147" s="979"/>
      <c r="B147" s="980"/>
      <c r="C147" s="979"/>
      <c r="D147" s="981"/>
      <c r="E147" s="981"/>
      <c r="F147" s="981"/>
      <c r="G147" s="979"/>
      <c r="H147" s="981"/>
      <c r="I147" s="981"/>
      <c r="J147" s="979"/>
      <c r="K147" s="981" t="b">
        <v>0</v>
      </c>
      <c r="L147" s="980"/>
    </row>
    <row r="148">
      <c r="A148" s="974"/>
      <c r="B148" s="975"/>
      <c r="C148" s="974"/>
      <c r="D148" s="982"/>
      <c r="E148" s="982"/>
      <c r="F148" s="982"/>
      <c r="G148" s="974"/>
      <c r="H148" s="982"/>
      <c r="I148" s="982"/>
      <c r="J148" s="974"/>
      <c r="K148" s="982" t="b">
        <v>0</v>
      </c>
      <c r="L148" s="975"/>
    </row>
    <row r="149">
      <c r="A149" s="979"/>
      <c r="B149" s="980"/>
      <c r="C149" s="979"/>
      <c r="D149" s="981"/>
      <c r="E149" s="981"/>
      <c r="F149" s="981"/>
      <c r="G149" s="979"/>
      <c r="H149" s="981"/>
      <c r="I149" s="981"/>
      <c r="J149" s="979"/>
      <c r="K149" s="981" t="b">
        <v>0</v>
      </c>
      <c r="L149" s="980"/>
    </row>
    <row r="150">
      <c r="A150" s="974"/>
      <c r="B150" s="975"/>
      <c r="C150" s="974"/>
      <c r="D150" s="982"/>
      <c r="E150" s="982"/>
      <c r="F150" s="982"/>
      <c r="G150" s="974"/>
      <c r="H150" s="982"/>
      <c r="I150" s="982"/>
      <c r="J150" s="974"/>
      <c r="K150" s="982" t="b">
        <v>0</v>
      </c>
      <c r="L150" s="975"/>
    </row>
    <row r="151">
      <c r="A151" s="979"/>
      <c r="B151" s="980"/>
      <c r="C151" s="979"/>
      <c r="D151" s="981"/>
      <c r="E151" s="981"/>
      <c r="F151" s="981"/>
      <c r="G151" s="979"/>
      <c r="H151" s="981"/>
      <c r="I151" s="981"/>
      <c r="J151" s="979"/>
      <c r="K151" s="981" t="b">
        <v>0</v>
      </c>
      <c r="L151" s="980"/>
    </row>
    <row r="152">
      <c r="A152" s="974"/>
      <c r="B152" s="975"/>
      <c r="C152" s="974"/>
      <c r="D152" s="982"/>
      <c r="E152" s="982"/>
      <c r="F152" s="982"/>
      <c r="G152" s="974"/>
      <c r="H152" s="982"/>
      <c r="I152" s="982"/>
      <c r="J152" s="974"/>
      <c r="K152" s="982" t="b">
        <v>0</v>
      </c>
      <c r="L152" s="975"/>
    </row>
    <row r="153">
      <c r="A153" s="979"/>
      <c r="B153" s="980"/>
      <c r="C153" s="979"/>
      <c r="D153" s="981"/>
      <c r="E153" s="981"/>
      <c r="F153" s="981"/>
      <c r="G153" s="979"/>
      <c r="H153" s="981"/>
      <c r="I153" s="981"/>
      <c r="J153" s="979"/>
      <c r="K153" s="981" t="b">
        <v>0</v>
      </c>
      <c r="L153" s="980"/>
    </row>
    <row r="154">
      <c r="A154" s="974"/>
      <c r="B154" s="975"/>
      <c r="C154" s="974"/>
      <c r="D154" s="982"/>
      <c r="E154" s="982"/>
      <c r="F154" s="982"/>
      <c r="G154" s="974"/>
      <c r="H154" s="982"/>
      <c r="I154" s="982"/>
      <c r="J154" s="974"/>
      <c r="K154" s="982" t="b">
        <v>0</v>
      </c>
      <c r="L154" s="975"/>
    </row>
    <row r="155">
      <c r="A155" s="979"/>
      <c r="B155" s="980"/>
      <c r="C155" s="979"/>
      <c r="D155" s="981"/>
      <c r="E155" s="981"/>
      <c r="F155" s="981"/>
      <c r="G155" s="979"/>
      <c r="H155" s="981"/>
      <c r="I155" s="981"/>
      <c r="J155" s="979"/>
      <c r="K155" s="981" t="b">
        <v>0</v>
      </c>
      <c r="L155" s="980"/>
    </row>
    <row r="156">
      <c r="A156" s="974"/>
      <c r="B156" s="975"/>
      <c r="C156" s="974"/>
      <c r="D156" s="982"/>
      <c r="E156" s="982"/>
      <c r="F156" s="982"/>
      <c r="G156" s="974"/>
      <c r="H156" s="982"/>
      <c r="I156" s="982"/>
      <c r="J156" s="974"/>
      <c r="K156" s="982" t="b">
        <v>0</v>
      </c>
      <c r="L156" s="975"/>
    </row>
    <row r="157">
      <c r="A157" s="979"/>
      <c r="B157" s="980"/>
      <c r="C157" s="979"/>
      <c r="D157" s="981"/>
      <c r="E157" s="981"/>
      <c r="F157" s="981"/>
      <c r="G157" s="979"/>
      <c r="H157" s="981"/>
      <c r="I157" s="981"/>
      <c r="J157" s="979"/>
      <c r="K157" s="981" t="b">
        <v>0</v>
      </c>
      <c r="L157" s="980"/>
    </row>
    <row r="158">
      <c r="A158" s="974"/>
      <c r="B158" s="975"/>
      <c r="C158" s="974"/>
      <c r="D158" s="982"/>
      <c r="E158" s="982"/>
      <c r="F158" s="982"/>
      <c r="G158" s="974"/>
      <c r="H158" s="982"/>
      <c r="I158" s="982"/>
      <c r="J158" s="974"/>
      <c r="K158" s="982" t="b">
        <v>0</v>
      </c>
      <c r="L158" s="975"/>
    </row>
    <row r="159">
      <c r="A159" s="979"/>
      <c r="B159" s="980"/>
      <c r="C159" s="979"/>
      <c r="D159" s="981"/>
      <c r="E159" s="981"/>
      <c r="F159" s="981"/>
      <c r="G159" s="979"/>
      <c r="H159" s="981"/>
      <c r="I159" s="981"/>
      <c r="J159" s="979"/>
      <c r="K159" s="981" t="b">
        <v>0</v>
      </c>
      <c r="L159" s="980"/>
    </row>
    <row r="160">
      <c r="A160" s="974"/>
      <c r="B160" s="975"/>
      <c r="C160" s="974"/>
      <c r="D160" s="982"/>
      <c r="E160" s="982"/>
      <c r="F160" s="982"/>
      <c r="G160" s="974"/>
      <c r="H160" s="982"/>
      <c r="I160" s="982"/>
      <c r="J160" s="974"/>
      <c r="K160" s="982" t="b">
        <v>0</v>
      </c>
      <c r="L160" s="975"/>
    </row>
    <row r="161">
      <c r="A161" s="979"/>
      <c r="B161" s="980"/>
      <c r="C161" s="979"/>
      <c r="D161" s="981"/>
      <c r="E161" s="981"/>
      <c r="F161" s="981"/>
      <c r="G161" s="979"/>
      <c r="H161" s="981"/>
      <c r="I161" s="981"/>
      <c r="J161" s="979"/>
      <c r="K161" s="981" t="b">
        <v>0</v>
      </c>
      <c r="L161" s="980"/>
    </row>
    <row r="162">
      <c r="A162" s="974"/>
      <c r="B162" s="975"/>
      <c r="C162" s="974"/>
      <c r="D162" s="982"/>
      <c r="E162" s="982"/>
      <c r="F162" s="982"/>
      <c r="G162" s="974"/>
      <c r="H162" s="982"/>
      <c r="I162" s="982"/>
      <c r="J162" s="974"/>
      <c r="K162" s="982" t="b">
        <v>0</v>
      </c>
      <c r="L162" s="975"/>
    </row>
    <row r="163">
      <c r="A163" s="979"/>
      <c r="B163" s="980"/>
      <c r="C163" s="979"/>
      <c r="D163" s="981"/>
      <c r="E163" s="981"/>
      <c r="F163" s="981"/>
      <c r="G163" s="979"/>
      <c r="H163" s="981"/>
      <c r="I163" s="981"/>
      <c r="J163" s="979"/>
      <c r="K163" s="981" t="b">
        <v>0</v>
      </c>
      <c r="L163" s="980"/>
    </row>
    <row r="164">
      <c r="A164" s="974"/>
      <c r="B164" s="975"/>
      <c r="C164" s="974"/>
      <c r="D164" s="982"/>
      <c r="E164" s="982"/>
      <c r="F164" s="982"/>
      <c r="G164" s="974"/>
      <c r="H164" s="982"/>
      <c r="I164" s="982"/>
      <c r="J164" s="974"/>
      <c r="K164" s="982" t="b">
        <v>0</v>
      </c>
      <c r="L164" s="975"/>
    </row>
    <row r="165">
      <c r="A165" s="979"/>
      <c r="B165" s="980"/>
      <c r="C165" s="979"/>
      <c r="D165" s="981"/>
      <c r="E165" s="981"/>
      <c r="F165" s="981"/>
      <c r="G165" s="979"/>
      <c r="H165" s="981"/>
      <c r="I165" s="981"/>
      <c r="J165" s="979"/>
      <c r="K165" s="981" t="b">
        <v>0</v>
      </c>
      <c r="L165" s="980"/>
    </row>
    <row r="166">
      <c r="A166" s="974"/>
      <c r="B166" s="975"/>
      <c r="C166" s="974"/>
      <c r="D166" s="982"/>
      <c r="E166" s="982"/>
      <c r="F166" s="982"/>
      <c r="G166" s="974"/>
      <c r="H166" s="982"/>
      <c r="I166" s="982"/>
      <c r="J166" s="974"/>
      <c r="K166" s="982" t="b">
        <v>0</v>
      </c>
      <c r="L166" s="975"/>
    </row>
    <row r="167">
      <c r="A167" s="979"/>
      <c r="B167" s="980"/>
      <c r="C167" s="979"/>
      <c r="D167" s="981"/>
      <c r="E167" s="981"/>
      <c r="F167" s="981"/>
      <c r="G167" s="979"/>
      <c r="H167" s="981"/>
      <c r="I167" s="981"/>
      <c r="J167" s="979"/>
      <c r="K167" s="981" t="b">
        <v>0</v>
      </c>
      <c r="L167" s="980"/>
    </row>
    <row r="168">
      <c r="A168" s="974"/>
      <c r="B168" s="975"/>
      <c r="C168" s="974"/>
      <c r="D168" s="982"/>
      <c r="E168" s="982"/>
      <c r="F168" s="982"/>
      <c r="G168" s="974"/>
      <c r="H168" s="982"/>
      <c r="I168" s="982"/>
      <c r="J168" s="974"/>
      <c r="K168" s="982" t="b">
        <v>0</v>
      </c>
      <c r="L168" s="975"/>
    </row>
    <row r="169">
      <c r="A169" s="979"/>
      <c r="B169" s="980"/>
      <c r="C169" s="979"/>
      <c r="D169" s="981"/>
      <c r="E169" s="981"/>
      <c r="F169" s="981"/>
      <c r="G169" s="979"/>
      <c r="H169" s="981"/>
      <c r="I169" s="981"/>
      <c r="J169" s="979"/>
      <c r="K169" s="981" t="b">
        <v>0</v>
      </c>
      <c r="L169" s="980"/>
    </row>
    <row r="170">
      <c r="A170" s="974"/>
      <c r="B170" s="975"/>
      <c r="C170" s="974"/>
      <c r="D170" s="982"/>
      <c r="E170" s="982"/>
      <c r="F170" s="982"/>
      <c r="G170" s="974"/>
      <c r="H170" s="982"/>
      <c r="I170" s="982"/>
      <c r="J170" s="974"/>
      <c r="K170" s="982" t="b">
        <v>0</v>
      </c>
      <c r="L170" s="975"/>
    </row>
    <row r="171">
      <c r="A171" s="979"/>
      <c r="B171" s="980"/>
      <c r="C171" s="979"/>
      <c r="D171" s="981"/>
      <c r="E171" s="981"/>
      <c r="F171" s="981"/>
      <c r="G171" s="979"/>
      <c r="H171" s="981"/>
      <c r="I171" s="981"/>
      <c r="J171" s="979"/>
      <c r="K171" s="981" t="b">
        <v>0</v>
      </c>
      <c r="L171" s="980"/>
    </row>
    <row r="172">
      <c r="A172" s="974"/>
      <c r="B172" s="975"/>
      <c r="C172" s="974"/>
      <c r="D172" s="982"/>
      <c r="E172" s="982"/>
      <c r="F172" s="982"/>
      <c r="G172" s="974"/>
      <c r="H172" s="982"/>
      <c r="I172" s="982"/>
      <c r="J172" s="974"/>
      <c r="K172" s="982" t="b">
        <v>0</v>
      </c>
      <c r="L172" s="975"/>
    </row>
    <row r="173">
      <c r="A173" s="979"/>
      <c r="B173" s="980"/>
      <c r="C173" s="979"/>
      <c r="D173" s="981"/>
      <c r="E173" s="981"/>
      <c r="F173" s="981"/>
      <c r="G173" s="979"/>
      <c r="H173" s="981"/>
      <c r="I173" s="981"/>
      <c r="J173" s="979"/>
      <c r="K173" s="981" t="b">
        <v>0</v>
      </c>
      <c r="L173" s="980"/>
    </row>
    <row r="174">
      <c r="A174" s="974"/>
      <c r="B174" s="975"/>
      <c r="C174" s="974"/>
      <c r="D174" s="982"/>
      <c r="E174" s="982"/>
      <c r="F174" s="982"/>
      <c r="G174" s="974"/>
      <c r="H174" s="982"/>
      <c r="I174" s="982"/>
      <c r="J174" s="974"/>
      <c r="K174" s="982" t="b">
        <v>0</v>
      </c>
      <c r="L174" s="975"/>
    </row>
    <row r="175">
      <c r="A175" s="979"/>
      <c r="B175" s="980"/>
      <c r="C175" s="979"/>
      <c r="D175" s="981"/>
      <c r="E175" s="981"/>
      <c r="F175" s="981"/>
      <c r="G175" s="979"/>
      <c r="H175" s="981"/>
      <c r="I175" s="981"/>
      <c r="J175" s="979"/>
      <c r="K175" s="981" t="b">
        <v>0</v>
      </c>
      <c r="L175" s="980"/>
    </row>
    <row r="176">
      <c r="A176" s="974"/>
      <c r="B176" s="975"/>
      <c r="C176" s="974"/>
      <c r="D176" s="982"/>
      <c r="E176" s="982"/>
      <c r="F176" s="982"/>
      <c r="G176" s="974"/>
      <c r="H176" s="982"/>
      <c r="I176" s="982"/>
      <c r="J176" s="974"/>
      <c r="K176" s="982" t="b">
        <v>0</v>
      </c>
      <c r="L176" s="975"/>
    </row>
    <row r="177">
      <c r="A177" s="979"/>
      <c r="B177" s="980"/>
      <c r="C177" s="979"/>
      <c r="D177" s="981"/>
      <c r="E177" s="981"/>
      <c r="F177" s="981"/>
      <c r="G177" s="979"/>
      <c r="H177" s="981"/>
      <c r="I177" s="981"/>
      <c r="J177" s="979"/>
      <c r="K177" s="981" t="b">
        <v>0</v>
      </c>
      <c r="L177" s="980"/>
    </row>
    <row r="178">
      <c r="A178" s="974"/>
      <c r="B178" s="975"/>
      <c r="C178" s="974"/>
      <c r="D178" s="982"/>
      <c r="E178" s="982"/>
      <c r="F178" s="982"/>
      <c r="G178" s="974"/>
      <c r="H178" s="982"/>
      <c r="I178" s="982"/>
      <c r="J178" s="974"/>
      <c r="K178" s="982" t="b">
        <v>0</v>
      </c>
      <c r="L178" s="975"/>
    </row>
    <row r="179">
      <c r="A179" s="979"/>
      <c r="B179" s="980"/>
      <c r="C179" s="979"/>
      <c r="D179" s="981"/>
      <c r="E179" s="981"/>
      <c r="F179" s="981"/>
      <c r="G179" s="979"/>
      <c r="H179" s="981"/>
      <c r="I179" s="981"/>
      <c r="J179" s="979"/>
      <c r="K179" s="981" t="b">
        <v>0</v>
      </c>
      <c r="L179" s="980"/>
    </row>
    <row r="180">
      <c r="A180" s="974"/>
      <c r="B180" s="975"/>
      <c r="C180" s="974"/>
      <c r="D180" s="982"/>
      <c r="E180" s="982"/>
      <c r="F180" s="982"/>
      <c r="G180" s="974"/>
      <c r="H180" s="982"/>
      <c r="I180" s="982"/>
      <c r="J180" s="974"/>
      <c r="K180" s="982" t="b">
        <v>0</v>
      </c>
      <c r="L180" s="975"/>
    </row>
    <row r="181">
      <c r="A181" s="979"/>
      <c r="B181" s="980"/>
      <c r="C181" s="979"/>
      <c r="D181" s="981"/>
      <c r="E181" s="981"/>
      <c r="F181" s="981"/>
      <c r="G181" s="979"/>
      <c r="H181" s="981"/>
      <c r="I181" s="981"/>
      <c r="J181" s="979"/>
      <c r="K181" s="981" t="b">
        <v>0</v>
      </c>
      <c r="L181" s="980"/>
    </row>
    <row r="182">
      <c r="A182" s="974"/>
      <c r="B182" s="975"/>
      <c r="C182" s="974"/>
      <c r="D182" s="982"/>
      <c r="E182" s="982"/>
      <c r="F182" s="982"/>
      <c r="G182" s="974"/>
      <c r="H182" s="982"/>
      <c r="I182" s="982"/>
      <c r="J182" s="974"/>
      <c r="K182" s="982" t="b">
        <v>0</v>
      </c>
      <c r="L182" s="975"/>
    </row>
    <row r="183">
      <c r="A183" s="979"/>
      <c r="B183" s="980"/>
      <c r="C183" s="979"/>
      <c r="D183" s="981"/>
      <c r="E183" s="981"/>
      <c r="F183" s="981"/>
      <c r="G183" s="979"/>
      <c r="H183" s="981"/>
      <c r="I183" s="981"/>
      <c r="J183" s="979"/>
      <c r="K183" s="981" t="b">
        <v>0</v>
      </c>
      <c r="L183" s="980"/>
    </row>
    <row r="184">
      <c r="A184" s="974"/>
      <c r="B184" s="975"/>
      <c r="C184" s="974"/>
      <c r="D184" s="982"/>
      <c r="E184" s="982"/>
      <c r="F184" s="982"/>
      <c r="G184" s="974"/>
      <c r="H184" s="982"/>
      <c r="I184" s="982"/>
      <c r="J184" s="974"/>
      <c r="K184" s="982" t="b">
        <v>0</v>
      </c>
      <c r="L184" s="975"/>
    </row>
    <row r="185">
      <c r="A185" s="979"/>
      <c r="B185" s="980"/>
      <c r="C185" s="979"/>
      <c r="D185" s="981"/>
      <c r="E185" s="981"/>
      <c r="F185" s="981"/>
      <c r="G185" s="979"/>
      <c r="H185" s="981"/>
      <c r="I185" s="981"/>
      <c r="J185" s="979"/>
      <c r="K185" s="981" t="b">
        <v>0</v>
      </c>
      <c r="L185" s="980"/>
    </row>
    <row r="186">
      <c r="A186" s="974"/>
      <c r="B186" s="975"/>
      <c r="C186" s="974"/>
      <c r="D186" s="982"/>
      <c r="E186" s="982"/>
      <c r="F186" s="982"/>
      <c r="G186" s="974"/>
      <c r="H186" s="982"/>
      <c r="I186" s="982"/>
      <c r="J186" s="974"/>
      <c r="K186" s="982" t="b">
        <v>0</v>
      </c>
      <c r="L186" s="975"/>
    </row>
    <row r="187">
      <c r="A187" s="979"/>
      <c r="B187" s="980"/>
      <c r="C187" s="979"/>
      <c r="D187" s="981"/>
      <c r="E187" s="981"/>
      <c r="F187" s="981"/>
      <c r="G187" s="979"/>
      <c r="H187" s="981"/>
      <c r="I187" s="981"/>
      <c r="J187" s="979"/>
      <c r="K187" s="981" t="b">
        <v>0</v>
      </c>
      <c r="L187" s="980"/>
    </row>
    <row r="188">
      <c r="A188" s="974"/>
      <c r="B188" s="975"/>
      <c r="C188" s="974"/>
      <c r="D188" s="982"/>
      <c r="E188" s="982"/>
      <c r="F188" s="982"/>
      <c r="G188" s="974"/>
      <c r="H188" s="982"/>
      <c r="I188" s="982"/>
      <c r="J188" s="974"/>
      <c r="K188" s="982" t="b">
        <v>0</v>
      </c>
      <c r="L188" s="975"/>
    </row>
    <row r="189">
      <c r="A189" s="979"/>
      <c r="B189" s="980"/>
      <c r="C189" s="979"/>
      <c r="D189" s="981"/>
      <c r="E189" s="981"/>
      <c r="F189" s="981"/>
      <c r="G189" s="979"/>
      <c r="H189" s="981"/>
      <c r="I189" s="981"/>
      <c r="J189" s="979"/>
      <c r="K189" s="981" t="b">
        <v>0</v>
      </c>
      <c r="L189" s="980"/>
    </row>
    <row r="190">
      <c r="A190" s="974"/>
      <c r="B190" s="975"/>
      <c r="C190" s="974"/>
      <c r="D190" s="982"/>
      <c r="E190" s="982"/>
      <c r="F190" s="982"/>
      <c r="G190" s="974"/>
      <c r="H190" s="982"/>
      <c r="I190" s="982"/>
      <c r="J190" s="974"/>
      <c r="K190" s="982" t="b">
        <v>0</v>
      </c>
      <c r="L190" s="975"/>
    </row>
    <row r="191">
      <c r="A191" s="979"/>
      <c r="B191" s="980"/>
      <c r="C191" s="979"/>
      <c r="D191" s="981"/>
      <c r="E191" s="981"/>
      <c r="F191" s="981"/>
      <c r="G191" s="979"/>
      <c r="H191" s="981"/>
      <c r="I191" s="981"/>
      <c r="J191" s="979"/>
      <c r="K191" s="981" t="b">
        <v>0</v>
      </c>
      <c r="L191" s="980"/>
    </row>
    <row r="192">
      <c r="A192" s="974"/>
      <c r="B192" s="975"/>
      <c r="C192" s="974"/>
      <c r="D192" s="982"/>
      <c r="E192" s="982"/>
      <c r="F192" s="982"/>
      <c r="G192" s="974"/>
      <c r="H192" s="982"/>
      <c r="I192" s="982"/>
      <c r="J192" s="974"/>
      <c r="K192" s="982" t="b">
        <v>0</v>
      </c>
      <c r="L192" s="975"/>
    </row>
    <row r="193">
      <c r="A193" s="979"/>
      <c r="B193" s="980"/>
      <c r="C193" s="979"/>
      <c r="D193" s="981"/>
      <c r="E193" s="981"/>
      <c r="F193" s="981"/>
      <c r="G193" s="979"/>
      <c r="H193" s="981"/>
      <c r="I193" s="981"/>
      <c r="J193" s="979"/>
      <c r="K193" s="981" t="b">
        <v>0</v>
      </c>
      <c r="L193" s="980"/>
    </row>
    <row r="194">
      <c r="A194" s="974"/>
      <c r="B194" s="975"/>
      <c r="C194" s="974"/>
      <c r="D194" s="982"/>
      <c r="E194" s="982"/>
      <c r="F194" s="982"/>
      <c r="G194" s="974"/>
      <c r="H194" s="982"/>
      <c r="I194" s="982"/>
      <c r="J194" s="974"/>
      <c r="K194" s="982" t="b">
        <v>0</v>
      </c>
      <c r="L194" s="975"/>
    </row>
    <row r="195">
      <c r="A195" s="979"/>
      <c r="B195" s="980"/>
      <c r="C195" s="979"/>
      <c r="D195" s="981"/>
      <c r="E195" s="981"/>
      <c r="F195" s="981"/>
      <c r="G195" s="979"/>
      <c r="H195" s="981"/>
      <c r="I195" s="981"/>
      <c r="J195" s="979"/>
      <c r="K195" s="981" t="b">
        <v>0</v>
      </c>
      <c r="L195" s="980"/>
    </row>
    <row r="196">
      <c r="A196" s="974"/>
      <c r="B196" s="975"/>
      <c r="C196" s="974"/>
      <c r="D196" s="982"/>
      <c r="E196" s="982"/>
      <c r="F196" s="982"/>
      <c r="G196" s="974"/>
      <c r="H196" s="982"/>
      <c r="I196" s="982"/>
      <c r="J196" s="974"/>
      <c r="K196" s="982" t="b">
        <v>0</v>
      </c>
      <c r="L196" s="975"/>
    </row>
    <row r="197">
      <c r="A197" s="979"/>
      <c r="B197" s="980"/>
      <c r="C197" s="979"/>
      <c r="D197" s="981"/>
      <c r="E197" s="981"/>
      <c r="F197" s="981"/>
      <c r="G197" s="979"/>
      <c r="H197" s="981"/>
      <c r="I197" s="981"/>
      <c r="J197" s="979"/>
      <c r="K197" s="981" t="b">
        <v>0</v>
      </c>
      <c r="L197" s="980"/>
    </row>
    <row r="198">
      <c r="A198" s="974"/>
      <c r="B198" s="975"/>
      <c r="C198" s="974"/>
      <c r="D198" s="982"/>
      <c r="E198" s="982"/>
      <c r="F198" s="982"/>
      <c r="G198" s="974"/>
      <c r="H198" s="982"/>
      <c r="I198" s="982"/>
      <c r="J198" s="974"/>
      <c r="K198" s="982" t="b">
        <v>0</v>
      </c>
      <c r="L198" s="975"/>
    </row>
    <row r="199">
      <c r="A199" s="979"/>
      <c r="B199" s="980"/>
      <c r="C199" s="979"/>
      <c r="D199" s="981"/>
      <c r="E199" s="981"/>
      <c r="F199" s="981"/>
      <c r="G199" s="979"/>
      <c r="H199" s="981"/>
      <c r="I199" s="981"/>
      <c r="J199" s="979"/>
      <c r="K199" s="981" t="b">
        <v>0</v>
      </c>
      <c r="L199" s="980"/>
    </row>
    <row r="200">
      <c r="A200" s="974"/>
      <c r="B200" s="975"/>
      <c r="C200" s="974"/>
      <c r="D200" s="982"/>
      <c r="E200" s="982"/>
      <c r="F200" s="982"/>
      <c r="G200" s="974"/>
      <c r="H200" s="982"/>
      <c r="I200" s="982"/>
      <c r="J200" s="974"/>
      <c r="K200" s="982" t="b">
        <v>0</v>
      </c>
      <c r="L200" s="975"/>
    </row>
    <row r="201">
      <c r="A201" s="979"/>
      <c r="B201" s="980"/>
      <c r="C201" s="979"/>
      <c r="D201" s="981"/>
      <c r="E201" s="981"/>
      <c r="F201" s="981"/>
      <c r="G201" s="979"/>
      <c r="H201" s="981"/>
      <c r="I201" s="981"/>
      <c r="J201" s="979"/>
      <c r="K201" s="981" t="b">
        <v>0</v>
      </c>
      <c r="L201" s="980"/>
    </row>
    <row r="202">
      <c r="A202" s="974"/>
      <c r="B202" s="975"/>
      <c r="C202" s="974"/>
      <c r="D202" s="982"/>
      <c r="E202" s="982"/>
      <c r="F202" s="982"/>
      <c r="G202" s="974"/>
      <c r="H202" s="982"/>
      <c r="I202" s="982"/>
      <c r="J202" s="974"/>
      <c r="K202" s="982" t="b">
        <v>0</v>
      </c>
      <c r="L202" s="975"/>
    </row>
    <row r="203">
      <c r="A203" s="979"/>
      <c r="B203" s="980"/>
      <c r="C203" s="979"/>
      <c r="D203" s="981"/>
      <c r="E203" s="981"/>
      <c r="F203" s="981"/>
      <c r="G203" s="979"/>
      <c r="H203" s="981"/>
      <c r="I203" s="981"/>
      <c r="J203" s="979"/>
      <c r="K203" s="981" t="b">
        <v>0</v>
      </c>
      <c r="L203" s="980"/>
    </row>
    <row r="204">
      <c r="A204" s="974"/>
      <c r="B204" s="975"/>
      <c r="C204" s="974"/>
      <c r="D204" s="982"/>
      <c r="E204" s="982"/>
      <c r="F204" s="982"/>
      <c r="G204" s="974"/>
      <c r="H204" s="982"/>
      <c r="I204" s="982"/>
      <c r="J204" s="974"/>
      <c r="K204" s="982" t="b">
        <v>0</v>
      </c>
      <c r="L204" s="975"/>
    </row>
    <row r="205">
      <c r="A205" s="979"/>
      <c r="B205" s="980"/>
      <c r="C205" s="979"/>
      <c r="D205" s="981"/>
      <c r="E205" s="981"/>
      <c r="F205" s="981"/>
      <c r="G205" s="979"/>
      <c r="H205" s="981"/>
      <c r="I205" s="981"/>
      <c r="J205" s="979"/>
      <c r="K205" s="981" t="b">
        <v>0</v>
      </c>
      <c r="L205" s="980"/>
    </row>
    <row r="206">
      <c r="A206" s="974"/>
      <c r="B206" s="975"/>
      <c r="C206" s="974"/>
      <c r="D206" s="982"/>
      <c r="E206" s="982"/>
      <c r="F206" s="982"/>
      <c r="G206" s="974"/>
      <c r="H206" s="982"/>
      <c r="I206" s="982"/>
      <c r="J206" s="974"/>
      <c r="K206" s="982" t="b">
        <v>0</v>
      </c>
      <c r="L206" s="975"/>
    </row>
    <row r="207">
      <c r="A207" s="979"/>
      <c r="B207" s="980"/>
      <c r="C207" s="979"/>
      <c r="D207" s="981"/>
      <c r="E207" s="981"/>
      <c r="F207" s="981"/>
      <c r="G207" s="979"/>
      <c r="H207" s="981"/>
      <c r="I207" s="981"/>
      <c r="J207" s="979"/>
      <c r="K207" s="981" t="b">
        <v>0</v>
      </c>
      <c r="L207" s="980"/>
    </row>
    <row r="208">
      <c r="A208" s="974"/>
      <c r="B208" s="975"/>
      <c r="C208" s="974"/>
      <c r="D208" s="982"/>
      <c r="E208" s="982"/>
      <c r="F208" s="982"/>
      <c r="G208" s="974"/>
      <c r="H208" s="982"/>
      <c r="I208" s="982"/>
      <c r="J208" s="974"/>
      <c r="K208" s="982" t="b">
        <v>0</v>
      </c>
      <c r="L208" s="975"/>
    </row>
    <row r="209">
      <c r="A209" s="979"/>
      <c r="B209" s="980"/>
      <c r="C209" s="979"/>
      <c r="D209" s="981"/>
      <c r="E209" s="981"/>
      <c r="F209" s="981"/>
      <c r="G209" s="979"/>
      <c r="H209" s="981"/>
      <c r="I209" s="981"/>
      <c r="J209" s="979"/>
      <c r="K209" s="981" t="b">
        <v>0</v>
      </c>
      <c r="L209" s="980"/>
    </row>
    <row r="210">
      <c r="A210" s="974"/>
      <c r="B210" s="975"/>
      <c r="C210" s="974"/>
      <c r="D210" s="982"/>
      <c r="E210" s="982"/>
      <c r="F210" s="982"/>
      <c r="G210" s="974"/>
      <c r="H210" s="982"/>
      <c r="I210" s="982"/>
      <c r="J210" s="974"/>
      <c r="K210" s="982" t="b">
        <v>0</v>
      </c>
      <c r="L210" s="975"/>
    </row>
    <row r="211">
      <c r="A211" s="979"/>
      <c r="B211" s="980"/>
      <c r="C211" s="979"/>
      <c r="D211" s="981"/>
      <c r="E211" s="981"/>
      <c r="F211" s="981"/>
      <c r="G211" s="979"/>
      <c r="H211" s="981"/>
      <c r="I211" s="981"/>
      <c r="J211" s="979"/>
      <c r="K211" s="981" t="b">
        <v>0</v>
      </c>
      <c r="L211" s="980"/>
    </row>
    <row r="212">
      <c r="A212" s="974"/>
      <c r="B212" s="975"/>
      <c r="C212" s="974"/>
      <c r="D212" s="982"/>
      <c r="E212" s="982"/>
      <c r="F212" s="982"/>
      <c r="G212" s="974"/>
      <c r="H212" s="982"/>
      <c r="I212" s="982"/>
      <c r="J212" s="974"/>
      <c r="K212" s="982" t="b">
        <v>0</v>
      </c>
      <c r="L212" s="975"/>
    </row>
    <row r="213">
      <c r="A213" s="979"/>
      <c r="B213" s="980"/>
      <c r="C213" s="979"/>
      <c r="D213" s="981"/>
      <c r="E213" s="981"/>
      <c r="F213" s="981"/>
      <c r="G213" s="979"/>
      <c r="H213" s="981"/>
      <c r="I213" s="981"/>
      <c r="J213" s="979"/>
      <c r="K213" s="981" t="b">
        <v>0</v>
      </c>
      <c r="L213" s="980"/>
    </row>
    <row r="214">
      <c r="A214" s="974"/>
      <c r="B214" s="975"/>
      <c r="C214" s="974"/>
      <c r="D214" s="982"/>
      <c r="E214" s="982"/>
      <c r="F214" s="982"/>
      <c r="G214" s="974"/>
      <c r="H214" s="982"/>
      <c r="I214" s="982"/>
      <c r="J214" s="974"/>
      <c r="K214" s="982" t="b">
        <v>0</v>
      </c>
      <c r="L214" s="975"/>
    </row>
    <row r="215">
      <c r="A215" s="979"/>
      <c r="B215" s="980"/>
      <c r="C215" s="979"/>
      <c r="D215" s="981"/>
      <c r="E215" s="981"/>
      <c r="F215" s="981"/>
      <c r="G215" s="979"/>
      <c r="H215" s="981"/>
      <c r="I215" s="981"/>
      <c r="J215" s="979"/>
      <c r="K215" s="981" t="b">
        <v>0</v>
      </c>
      <c r="L215" s="980"/>
    </row>
    <row r="216">
      <c r="A216" s="974"/>
      <c r="B216" s="975"/>
      <c r="C216" s="974"/>
      <c r="D216" s="982"/>
      <c r="E216" s="982"/>
      <c r="F216" s="982"/>
      <c r="G216" s="974"/>
      <c r="H216" s="982"/>
      <c r="I216" s="982"/>
      <c r="J216" s="974"/>
      <c r="K216" s="982" t="b">
        <v>0</v>
      </c>
      <c r="L216" s="975"/>
    </row>
    <row r="217">
      <c r="A217" s="979"/>
      <c r="B217" s="980"/>
      <c r="C217" s="979"/>
      <c r="D217" s="981"/>
      <c r="E217" s="981"/>
      <c r="F217" s="981"/>
      <c r="G217" s="979"/>
      <c r="H217" s="981"/>
      <c r="I217" s="981"/>
      <c r="J217" s="979"/>
      <c r="K217" s="981" t="b">
        <v>0</v>
      </c>
      <c r="L217" s="980"/>
    </row>
    <row r="218">
      <c r="A218" s="974"/>
      <c r="B218" s="975"/>
      <c r="C218" s="974"/>
      <c r="D218" s="982"/>
      <c r="E218" s="982"/>
      <c r="F218" s="982"/>
      <c r="G218" s="974"/>
      <c r="H218" s="982"/>
      <c r="I218" s="982"/>
      <c r="J218" s="974"/>
      <c r="K218" s="982" t="b">
        <v>0</v>
      </c>
      <c r="L218" s="975"/>
    </row>
    <row r="219">
      <c r="A219" s="979"/>
      <c r="B219" s="980"/>
      <c r="C219" s="979"/>
      <c r="D219" s="981"/>
      <c r="E219" s="981"/>
      <c r="F219" s="981"/>
      <c r="G219" s="979"/>
      <c r="H219" s="981"/>
      <c r="I219" s="981"/>
      <c r="J219" s="979"/>
      <c r="K219" s="981" t="b">
        <v>0</v>
      </c>
      <c r="L219" s="980"/>
    </row>
    <row r="220">
      <c r="A220" s="974"/>
      <c r="B220" s="975"/>
      <c r="C220" s="974"/>
      <c r="D220" s="982"/>
      <c r="E220" s="982"/>
      <c r="F220" s="982"/>
      <c r="G220" s="974"/>
      <c r="H220" s="982"/>
      <c r="I220" s="982"/>
      <c r="J220" s="974"/>
      <c r="K220" s="982" t="b">
        <v>0</v>
      </c>
      <c r="L220" s="975"/>
    </row>
    <row r="221">
      <c r="A221" s="979"/>
      <c r="B221" s="980"/>
      <c r="C221" s="979"/>
      <c r="D221" s="981"/>
      <c r="E221" s="981"/>
      <c r="F221" s="981"/>
      <c r="G221" s="979"/>
      <c r="H221" s="981"/>
      <c r="I221" s="981"/>
      <c r="J221" s="979"/>
      <c r="K221" s="981" t="b">
        <v>0</v>
      </c>
      <c r="L221" s="980"/>
    </row>
    <row r="222">
      <c r="A222" s="974"/>
      <c r="B222" s="975"/>
      <c r="C222" s="974"/>
      <c r="D222" s="982"/>
      <c r="E222" s="982"/>
      <c r="F222" s="982"/>
      <c r="G222" s="974"/>
      <c r="H222" s="982"/>
      <c r="I222" s="982"/>
      <c r="J222" s="974"/>
      <c r="K222" s="982" t="b">
        <v>0</v>
      </c>
      <c r="L222" s="975"/>
    </row>
    <row r="223">
      <c r="A223" s="979"/>
      <c r="B223" s="980"/>
      <c r="C223" s="979"/>
      <c r="D223" s="981"/>
      <c r="E223" s="981"/>
      <c r="F223" s="981"/>
      <c r="G223" s="979"/>
      <c r="H223" s="981"/>
      <c r="I223" s="981"/>
      <c r="J223" s="979"/>
      <c r="K223" s="981" t="b">
        <v>0</v>
      </c>
      <c r="L223" s="980"/>
    </row>
    <row r="224">
      <c r="A224" s="974"/>
      <c r="B224" s="975"/>
      <c r="C224" s="974"/>
      <c r="D224" s="982"/>
      <c r="E224" s="982"/>
      <c r="F224" s="982"/>
      <c r="G224" s="974"/>
      <c r="H224" s="982"/>
      <c r="I224" s="982"/>
      <c r="J224" s="974"/>
      <c r="K224" s="982" t="b">
        <v>0</v>
      </c>
      <c r="L224" s="975"/>
    </row>
    <row r="225">
      <c r="A225" s="979"/>
      <c r="B225" s="980"/>
      <c r="C225" s="979"/>
      <c r="D225" s="981"/>
      <c r="E225" s="981"/>
      <c r="F225" s="981"/>
      <c r="G225" s="979"/>
      <c r="H225" s="981"/>
      <c r="I225" s="981"/>
      <c r="J225" s="979"/>
      <c r="K225" s="981" t="b">
        <v>0</v>
      </c>
      <c r="L225" s="980"/>
    </row>
    <row r="226">
      <c r="A226" s="974"/>
      <c r="B226" s="975"/>
      <c r="C226" s="974"/>
      <c r="D226" s="982"/>
      <c r="E226" s="982"/>
      <c r="F226" s="982"/>
      <c r="G226" s="974"/>
      <c r="H226" s="982"/>
      <c r="I226" s="982"/>
      <c r="J226" s="974"/>
      <c r="K226" s="982" t="b">
        <v>0</v>
      </c>
      <c r="L226" s="975"/>
    </row>
    <row r="227">
      <c r="A227" s="979"/>
      <c r="B227" s="980"/>
      <c r="C227" s="979"/>
      <c r="D227" s="981"/>
      <c r="E227" s="981"/>
      <c r="F227" s="981"/>
      <c r="G227" s="979"/>
      <c r="H227" s="981"/>
      <c r="I227" s="981"/>
      <c r="J227" s="979"/>
      <c r="K227" s="981" t="b">
        <v>0</v>
      </c>
      <c r="L227" s="980"/>
    </row>
    <row r="228">
      <c r="A228" s="974"/>
      <c r="B228" s="975"/>
      <c r="C228" s="974"/>
      <c r="D228" s="982"/>
      <c r="E228" s="982"/>
      <c r="F228" s="982"/>
      <c r="G228" s="974"/>
      <c r="H228" s="982"/>
      <c r="I228" s="982"/>
      <c r="J228" s="974"/>
      <c r="K228" s="982" t="b">
        <v>0</v>
      </c>
      <c r="L228" s="975"/>
    </row>
    <row r="229">
      <c r="A229" s="979"/>
      <c r="B229" s="980"/>
      <c r="C229" s="979"/>
      <c r="D229" s="981"/>
      <c r="E229" s="981"/>
      <c r="F229" s="981"/>
      <c r="G229" s="979"/>
      <c r="H229" s="981"/>
      <c r="I229" s="981"/>
      <c r="J229" s="979"/>
      <c r="K229" s="981" t="b">
        <v>0</v>
      </c>
      <c r="L229" s="980"/>
    </row>
    <row r="230">
      <c r="A230" s="974"/>
      <c r="B230" s="975"/>
      <c r="C230" s="974"/>
      <c r="D230" s="982"/>
      <c r="E230" s="982"/>
      <c r="F230" s="982"/>
      <c r="G230" s="974"/>
      <c r="H230" s="982"/>
      <c r="I230" s="982"/>
      <c r="J230" s="974"/>
      <c r="K230" s="982" t="b">
        <v>0</v>
      </c>
      <c r="L230" s="975"/>
    </row>
    <row r="231">
      <c r="A231" s="979"/>
      <c r="B231" s="980"/>
      <c r="C231" s="979"/>
      <c r="D231" s="981"/>
      <c r="E231" s="981"/>
      <c r="F231" s="981"/>
      <c r="G231" s="979"/>
      <c r="H231" s="981"/>
      <c r="I231" s="981"/>
      <c r="J231" s="979"/>
      <c r="K231" s="981" t="b">
        <v>0</v>
      </c>
      <c r="L231" s="980"/>
    </row>
    <row r="232">
      <c r="A232" s="974"/>
      <c r="B232" s="975"/>
      <c r="C232" s="974"/>
      <c r="D232" s="982"/>
      <c r="E232" s="982"/>
      <c r="F232" s="982"/>
      <c r="G232" s="974"/>
      <c r="H232" s="982"/>
      <c r="I232" s="982"/>
      <c r="J232" s="974"/>
      <c r="K232" s="982" t="b">
        <v>0</v>
      </c>
      <c r="L232" s="975"/>
    </row>
    <row r="233">
      <c r="A233" s="979"/>
      <c r="B233" s="980"/>
      <c r="C233" s="979"/>
      <c r="D233" s="981"/>
      <c r="E233" s="981"/>
      <c r="F233" s="981"/>
      <c r="G233" s="979"/>
      <c r="H233" s="981"/>
      <c r="I233" s="981"/>
      <c r="J233" s="979"/>
      <c r="K233" s="981" t="b">
        <v>0</v>
      </c>
      <c r="L233" s="980"/>
    </row>
    <row r="234">
      <c r="A234" s="974"/>
      <c r="B234" s="975"/>
      <c r="C234" s="974"/>
      <c r="D234" s="982"/>
      <c r="E234" s="982"/>
      <c r="F234" s="982"/>
      <c r="G234" s="974"/>
      <c r="H234" s="982"/>
      <c r="I234" s="982"/>
      <c r="J234" s="974"/>
      <c r="K234" s="982" t="b">
        <v>0</v>
      </c>
      <c r="L234" s="975"/>
    </row>
    <row r="235">
      <c r="A235" s="979"/>
      <c r="B235" s="980"/>
      <c r="C235" s="979"/>
      <c r="D235" s="981"/>
      <c r="E235" s="981"/>
      <c r="F235" s="981"/>
      <c r="G235" s="979"/>
      <c r="H235" s="981"/>
      <c r="I235" s="981"/>
      <c r="J235" s="979"/>
      <c r="K235" s="981" t="b">
        <v>0</v>
      </c>
      <c r="L235" s="980"/>
    </row>
    <row r="236">
      <c r="A236" s="974"/>
      <c r="B236" s="975"/>
      <c r="C236" s="974"/>
      <c r="D236" s="982"/>
      <c r="E236" s="982"/>
      <c r="F236" s="982"/>
      <c r="G236" s="974"/>
      <c r="H236" s="982"/>
      <c r="I236" s="982"/>
      <c r="J236" s="974"/>
      <c r="K236" s="982" t="b">
        <v>0</v>
      </c>
      <c r="L236" s="975"/>
    </row>
    <row r="237">
      <c r="A237" s="979"/>
      <c r="B237" s="980"/>
      <c r="C237" s="979"/>
      <c r="D237" s="981"/>
      <c r="E237" s="981"/>
      <c r="F237" s="981"/>
      <c r="G237" s="979"/>
      <c r="H237" s="981"/>
      <c r="I237" s="981"/>
      <c r="J237" s="979"/>
      <c r="K237" s="981" t="b">
        <v>0</v>
      </c>
      <c r="L237" s="980"/>
    </row>
    <row r="238">
      <c r="A238" s="974"/>
      <c r="B238" s="975"/>
      <c r="C238" s="974"/>
      <c r="D238" s="982"/>
      <c r="E238" s="982"/>
      <c r="F238" s="982"/>
      <c r="G238" s="974"/>
      <c r="H238" s="982"/>
      <c r="I238" s="982"/>
      <c r="J238" s="974"/>
      <c r="K238" s="982" t="b">
        <v>0</v>
      </c>
      <c r="L238" s="975"/>
    </row>
    <row r="239">
      <c r="A239" s="979"/>
      <c r="B239" s="980"/>
      <c r="C239" s="979"/>
      <c r="D239" s="981"/>
      <c r="E239" s="981"/>
      <c r="F239" s="981"/>
      <c r="G239" s="979"/>
      <c r="H239" s="981"/>
      <c r="I239" s="981"/>
      <c r="J239" s="979"/>
      <c r="K239" s="981" t="b">
        <v>0</v>
      </c>
      <c r="L239" s="980"/>
    </row>
    <row r="240">
      <c r="A240" s="974"/>
      <c r="B240" s="975"/>
      <c r="C240" s="974"/>
      <c r="D240" s="982"/>
      <c r="E240" s="982"/>
      <c r="F240" s="982"/>
      <c r="G240" s="974"/>
      <c r="H240" s="982"/>
      <c r="I240" s="982"/>
      <c r="J240" s="974"/>
      <c r="K240" s="982" t="b">
        <v>0</v>
      </c>
      <c r="L240" s="975"/>
    </row>
    <row r="241">
      <c r="A241" s="979"/>
      <c r="B241" s="980"/>
      <c r="C241" s="979"/>
      <c r="D241" s="981"/>
      <c r="E241" s="981"/>
      <c r="F241" s="981"/>
      <c r="G241" s="979"/>
      <c r="H241" s="981"/>
      <c r="I241" s="981"/>
      <c r="J241" s="979"/>
      <c r="K241" s="981" t="b">
        <v>0</v>
      </c>
      <c r="L241" s="980"/>
    </row>
    <row r="242">
      <c r="A242" s="974"/>
      <c r="B242" s="975"/>
      <c r="C242" s="974"/>
      <c r="D242" s="982"/>
      <c r="E242" s="982"/>
      <c r="F242" s="982"/>
      <c r="G242" s="974"/>
      <c r="H242" s="982"/>
      <c r="I242" s="982"/>
      <c r="J242" s="974"/>
      <c r="K242" s="982" t="b">
        <v>0</v>
      </c>
      <c r="L242" s="975"/>
    </row>
    <row r="243">
      <c r="A243" s="979"/>
      <c r="B243" s="980"/>
      <c r="C243" s="979"/>
      <c r="D243" s="981"/>
      <c r="E243" s="981"/>
      <c r="F243" s="981"/>
      <c r="G243" s="979"/>
      <c r="H243" s="981"/>
      <c r="I243" s="981"/>
      <c r="J243" s="979"/>
      <c r="K243" s="981" t="b">
        <v>0</v>
      </c>
      <c r="L243" s="980"/>
    </row>
    <row r="244">
      <c r="A244" s="974"/>
      <c r="B244" s="975"/>
      <c r="C244" s="974"/>
      <c r="D244" s="982"/>
      <c r="E244" s="982"/>
      <c r="F244" s="982"/>
      <c r="G244" s="974"/>
      <c r="H244" s="982"/>
      <c r="I244" s="982"/>
      <c r="J244" s="974"/>
      <c r="K244" s="982" t="b">
        <v>0</v>
      </c>
      <c r="L244" s="975"/>
    </row>
    <row r="245">
      <c r="A245" s="979"/>
      <c r="B245" s="980"/>
      <c r="C245" s="979"/>
      <c r="D245" s="981"/>
      <c r="E245" s="981"/>
      <c r="F245" s="981"/>
      <c r="G245" s="979"/>
      <c r="H245" s="981"/>
      <c r="I245" s="981"/>
      <c r="J245" s="979"/>
      <c r="K245" s="981" t="b">
        <v>0</v>
      </c>
      <c r="L245" s="980"/>
    </row>
    <row r="246">
      <c r="A246" s="974"/>
      <c r="B246" s="975"/>
      <c r="C246" s="974"/>
      <c r="D246" s="982"/>
      <c r="E246" s="982"/>
      <c r="F246" s="982"/>
      <c r="G246" s="974"/>
      <c r="H246" s="982"/>
      <c r="I246" s="982"/>
      <c r="J246" s="974"/>
      <c r="K246" s="982" t="b">
        <v>0</v>
      </c>
      <c r="L246" s="975"/>
    </row>
    <row r="247">
      <c r="A247" s="979"/>
      <c r="B247" s="980"/>
      <c r="C247" s="979"/>
      <c r="D247" s="981"/>
      <c r="E247" s="981"/>
      <c r="F247" s="981"/>
      <c r="G247" s="979"/>
      <c r="H247" s="981"/>
      <c r="I247" s="981"/>
      <c r="J247" s="979"/>
      <c r="K247" s="981" t="b">
        <v>0</v>
      </c>
      <c r="L247" s="980"/>
    </row>
    <row r="248">
      <c r="A248" s="974"/>
      <c r="B248" s="975"/>
      <c r="C248" s="974"/>
      <c r="D248" s="982"/>
      <c r="E248" s="982"/>
      <c r="F248" s="982"/>
      <c r="G248" s="974"/>
      <c r="H248" s="982"/>
      <c r="I248" s="982"/>
      <c r="J248" s="974"/>
      <c r="K248" s="982" t="b">
        <v>0</v>
      </c>
      <c r="L248" s="975"/>
    </row>
    <row r="249">
      <c r="A249" s="979"/>
      <c r="B249" s="980"/>
      <c r="C249" s="979"/>
      <c r="D249" s="981"/>
      <c r="E249" s="981"/>
      <c r="F249" s="981"/>
      <c r="G249" s="979"/>
      <c r="H249" s="981"/>
      <c r="I249" s="981"/>
      <c r="J249" s="979"/>
      <c r="K249" s="981" t="b">
        <v>0</v>
      </c>
      <c r="L249" s="980"/>
    </row>
    <row r="250">
      <c r="A250" s="974"/>
      <c r="B250" s="975"/>
      <c r="C250" s="974"/>
      <c r="D250" s="982"/>
      <c r="E250" s="982"/>
      <c r="F250" s="982"/>
      <c r="G250" s="974"/>
      <c r="H250" s="982"/>
      <c r="I250" s="982"/>
      <c r="J250" s="974"/>
      <c r="K250" s="982" t="b">
        <v>0</v>
      </c>
      <c r="L250" s="975"/>
    </row>
    <row r="251">
      <c r="A251" s="979"/>
      <c r="B251" s="980"/>
      <c r="C251" s="979"/>
      <c r="D251" s="981"/>
      <c r="E251" s="981"/>
      <c r="F251" s="981"/>
      <c r="G251" s="979"/>
      <c r="H251" s="981"/>
      <c r="I251" s="981"/>
      <c r="J251" s="979"/>
      <c r="K251" s="981" t="b">
        <v>0</v>
      </c>
      <c r="L251" s="980"/>
    </row>
    <row r="252">
      <c r="A252" s="974"/>
      <c r="B252" s="975"/>
      <c r="C252" s="974"/>
      <c r="D252" s="982"/>
      <c r="E252" s="982"/>
      <c r="F252" s="982"/>
      <c r="G252" s="974"/>
      <c r="H252" s="982"/>
      <c r="I252" s="982"/>
      <c r="J252" s="974"/>
      <c r="K252" s="982" t="b">
        <v>0</v>
      </c>
      <c r="L252" s="975"/>
    </row>
    <row r="253">
      <c r="A253" s="979"/>
      <c r="B253" s="980"/>
      <c r="C253" s="979"/>
      <c r="D253" s="981"/>
      <c r="E253" s="981"/>
      <c r="F253" s="981"/>
      <c r="G253" s="979"/>
      <c r="H253" s="981"/>
      <c r="I253" s="981"/>
      <c r="J253" s="979"/>
      <c r="K253" s="981" t="b">
        <v>0</v>
      </c>
      <c r="L253" s="980"/>
    </row>
    <row r="254">
      <c r="A254" s="974"/>
      <c r="B254" s="975"/>
      <c r="C254" s="974"/>
      <c r="D254" s="982"/>
      <c r="E254" s="982"/>
      <c r="F254" s="982"/>
      <c r="G254" s="974"/>
      <c r="H254" s="982"/>
      <c r="I254" s="982"/>
      <c r="J254" s="974"/>
      <c r="K254" s="982" t="b">
        <v>0</v>
      </c>
      <c r="L254" s="975"/>
    </row>
    <row r="255">
      <c r="A255" s="979"/>
      <c r="B255" s="980"/>
      <c r="C255" s="979"/>
      <c r="D255" s="981"/>
      <c r="E255" s="981"/>
      <c r="F255" s="981"/>
      <c r="G255" s="979"/>
      <c r="H255" s="981"/>
      <c r="I255" s="981"/>
      <c r="J255" s="979"/>
      <c r="K255" s="981" t="b">
        <v>0</v>
      </c>
      <c r="L255" s="980"/>
    </row>
    <row r="256">
      <c r="A256" s="974"/>
      <c r="B256" s="975"/>
      <c r="C256" s="974"/>
      <c r="D256" s="982"/>
      <c r="E256" s="982"/>
      <c r="F256" s="982"/>
      <c r="G256" s="974"/>
      <c r="H256" s="982"/>
      <c r="I256" s="982"/>
      <c r="J256" s="974"/>
      <c r="K256" s="982" t="b">
        <v>0</v>
      </c>
      <c r="L256" s="975"/>
    </row>
    <row r="257">
      <c r="A257" s="979"/>
      <c r="B257" s="980"/>
      <c r="C257" s="979"/>
      <c r="D257" s="981"/>
      <c r="E257" s="981"/>
      <c r="F257" s="981"/>
      <c r="G257" s="979"/>
      <c r="H257" s="981"/>
      <c r="I257" s="981"/>
      <c r="J257" s="979"/>
      <c r="K257" s="981" t="b">
        <v>0</v>
      </c>
      <c r="L257" s="980"/>
    </row>
    <row r="258">
      <c r="A258" s="974"/>
      <c r="B258" s="975"/>
      <c r="C258" s="974"/>
      <c r="D258" s="982"/>
      <c r="E258" s="982"/>
      <c r="F258" s="982"/>
      <c r="G258" s="974"/>
      <c r="H258" s="982"/>
      <c r="I258" s="982"/>
      <c r="J258" s="974"/>
      <c r="K258" s="982" t="b">
        <v>0</v>
      </c>
      <c r="L258" s="975"/>
    </row>
    <row r="259">
      <c r="A259" s="979"/>
      <c r="B259" s="980"/>
      <c r="C259" s="979"/>
      <c r="D259" s="981"/>
      <c r="E259" s="981"/>
      <c r="F259" s="981"/>
      <c r="G259" s="979"/>
      <c r="H259" s="981"/>
      <c r="I259" s="981"/>
      <c r="J259" s="979"/>
      <c r="K259" s="981" t="b">
        <v>0</v>
      </c>
      <c r="L259" s="980"/>
    </row>
    <row r="260">
      <c r="A260" s="974"/>
      <c r="B260" s="975"/>
      <c r="C260" s="974"/>
      <c r="D260" s="982"/>
      <c r="E260" s="982"/>
      <c r="F260" s="982"/>
      <c r="G260" s="974"/>
      <c r="H260" s="982"/>
      <c r="I260" s="982"/>
      <c r="J260" s="974"/>
      <c r="K260" s="982" t="b">
        <v>0</v>
      </c>
      <c r="L260" s="975"/>
    </row>
    <row r="261">
      <c r="A261" s="979"/>
      <c r="B261" s="980"/>
      <c r="C261" s="979"/>
      <c r="D261" s="981"/>
      <c r="E261" s="981"/>
      <c r="F261" s="981"/>
      <c r="G261" s="979"/>
      <c r="H261" s="981"/>
      <c r="I261" s="981"/>
      <c r="J261" s="979"/>
      <c r="K261" s="981" t="b">
        <v>0</v>
      </c>
      <c r="L261" s="980"/>
    </row>
    <row r="262">
      <c r="A262" s="974"/>
      <c r="B262" s="975"/>
      <c r="C262" s="974"/>
      <c r="D262" s="982"/>
      <c r="E262" s="982"/>
      <c r="F262" s="982"/>
      <c r="G262" s="974"/>
      <c r="H262" s="982"/>
      <c r="I262" s="982"/>
      <c r="J262" s="974"/>
      <c r="K262" s="982" t="b">
        <v>0</v>
      </c>
      <c r="L262" s="975"/>
    </row>
    <row r="263">
      <c r="A263" s="979"/>
      <c r="B263" s="980"/>
      <c r="C263" s="979"/>
      <c r="D263" s="981"/>
      <c r="E263" s="981"/>
      <c r="F263" s="981"/>
      <c r="G263" s="979"/>
      <c r="H263" s="981"/>
      <c r="I263" s="981"/>
      <c r="J263" s="979"/>
      <c r="K263" s="981" t="b">
        <v>0</v>
      </c>
      <c r="L263" s="980"/>
    </row>
    <row r="264">
      <c r="A264" s="974"/>
      <c r="B264" s="975"/>
      <c r="C264" s="974"/>
      <c r="D264" s="982"/>
      <c r="E264" s="982"/>
      <c r="F264" s="982"/>
      <c r="G264" s="974"/>
      <c r="H264" s="982"/>
      <c r="I264" s="982"/>
      <c r="J264" s="974"/>
      <c r="K264" s="982" t="b">
        <v>0</v>
      </c>
      <c r="L264" s="975"/>
    </row>
    <row r="265">
      <c r="A265" s="979"/>
      <c r="B265" s="980"/>
      <c r="C265" s="979"/>
      <c r="D265" s="981"/>
      <c r="E265" s="981"/>
      <c r="F265" s="981"/>
      <c r="G265" s="979"/>
      <c r="H265" s="981"/>
      <c r="I265" s="981"/>
      <c r="J265" s="979"/>
      <c r="K265" s="981" t="b">
        <v>0</v>
      </c>
      <c r="L265" s="980"/>
    </row>
    <row r="266">
      <c r="A266" s="974"/>
      <c r="B266" s="975"/>
      <c r="C266" s="974"/>
      <c r="D266" s="982"/>
      <c r="E266" s="982"/>
      <c r="F266" s="982"/>
      <c r="G266" s="974"/>
      <c r="H266" s="982"/>
      <c r="I266" s="982"/>
      <c r="J266" s="974"/>
      <c r="K266" s="982" t="b">
        <v>0</v>
      </c>
      <c r="L266" s="975"/>
    </row>
    <row r="267">
      <c r="A267" s="979"/>
      <c r="B267" s="980"/>
      <c r="C267" s="979"/>
      <c r="D267" s="981"/>
      <c r="E267" s="981"/>
      <c r="F267" s="981"/>
      <c r="G267" s="979"/>
      <c r="H267" s="981"/>
      <c r="I267" s="981"/>
      <c r="J267" s="979"/>
      <c r="K267" s="981" t="b">
        <v>0</v>
      </c>
      <c r="L267" s="980"/>
    </row>
    <row r="268">
      <c r="A268" s="974"/>
      <c r="B268" s="975"/>
      <c r="C268" s="974"/>
      <c r="D268" s="982"/>
      <c r="E268" s="982"/>
      <c r="F268" s="982"/>
      <c r="G268" s="974"/>
      <c r="H268" s="982"/>
      <c r="I268" s="982"/>
      <c r="J268" s="974"/>
      <c r="K268" s="982" t="b">
        <v>0</v>
      </c>
      <c r="L268" s="975"/>
    </row>
    <row r="269">
      <c r="A269" s="979"/>
      <c r="B269" s="980"/>
      <c r="C269" s="979"/>
      <c r="D269" s="981"/>
      <c r="E269" s="981"/>
      <c r="F269" s="981"/>
      <c r="G269" s="979"/>
      <c r="H269" s="981"/>
      <c r="I269" s="981"/>
      <c r="J269" s="979"/>
      <c r="K269" s="981" t="b">
        <v>0</v>
      </c>
      <c r="L269" s="980"/>
    </row>
    <row r="270">
      <c r="A270" s="974"/>
      <c r="B270" s="975"/>
      <c r="C270" s="974"/>
      <c r="D270" s="982"/>
      <c r="E270" s="982"/>
      <c r="F270" s="982"/>
      <c r="G270" s="974"/>
      <c r="H270" s="982"/>
      <c r="I270" s="982"/>
      <c r="J270" s="974"/>
      <c r="K270" s="982" t="b">
        <v>0</v>
      </c>
      <c r="L270" s="975"/>
    </row>
    <row r="271">
      <c r="A271" s="979"/>
      <c r="B271" s="980"/>
      <c r="C271" s="979"/>
      <c r="D271" s="981"/>
      <c r="E271" s="981"/>
      <c r="F271" s="981"/>
      <c r="G271" s="979"/>
      <c r="H271" s="981"/>
      <c r="I271" s="981"/>
      <c r="J271" s="979"/>
      <c r="K271" s="981" t="b">
        <v>0</v>
      </c>
      <c r="L271" s="980"/>
    </row>
    <row r="272">
      <c r="A272" s="974"/>
      <c r="B272" s="975"/>
      <c r="C272" s="974"/>
      <c r="D272" s="982"/>
      <c r="E272" s="982"/>
      <c r="F272" s="982"/>
      <c r="G272" s="974"/>
      <c r="H272" s="982"/>
      <c r="I272" s="982"/>
      <c r="J272" s="974"/>
      <c r="K272" s="982" t="b">
        <v>0</v>
      </c>
      <c r="L272" s="975"/>
    </row>
    <row r="273">
      <c r="A273" s="979"/>
      <c r="B273" s="980"/>
      <c r="C273" s="979"/>
      <c r="D273" s="981"/>
      <c r="E273" s="981"/>
      <c r="F273" s="981"/>
      <c r="G273" s="979"/>
      <c r="H273" s="981"/>
      <c r="I273" s="981"/>
      <c r="J273" s="979"/>
      <c r="K273" s="981" t="b">
        <v>0</v>
      </c>
      <c r="L273" s="980"/>
    </row>
    <row r="274">
      <c r="A274" s="974"/>
      <c r="B274" s="975"/>
      <c r="C274" s="974"/>
      <c r="D274" s="982"/>
      <c r="E274" s="982"/>
      <c r="F274" s="982"/>
      <c r="G274" s="974"/>
      <c r="H274" s="982"/>
      <c r="I274" s="982"/>
      <c r="J274" s="974"/>
      <c r="K274" s="982" t="b">
        <v>0</v>
      </c>
      <c r="L274" s="975"/>
    </row>
    <row r="275">
      <c r="A275" s="979"/>
      <c r="B275" s="980"/>
      <c r="C275" s="979"/>
      <c r="D275" s="981"/>
      <c r="E275" s="981"/>
      <c r="F275" s="981"/>
      <c r="G275" s="979"/>
      <c r="H275" s="981"/>
      <c r="I275" s="981"/>
      <c r="J275" s="979"/>
      <c r="K275" s="981" t="b">
        <v>0</v>
      </c>
      <c r="L275" s="980"/>
    </row>
    <row r="276">
      <c r="A276" s="974"/>
      <c r="B276" s="975"/>
      <c r="C276" s="974"/>
      <c r="D276" s="982"/>
      <c r="E276" s="982"/>
      <c r="F276" s="982"/>
      <c r="G276" s="974"/>
      <c r="H276" s="982"/>
      <c r="I276" s="982"/>
      <c r="J276" s="974"/>
      <c r="K276" s="982" t="b">
        <v>0</v>
      </c>
      <c r="L276" s="975"/>
    </row>
    <row r="277">
      <c r="A277" s="979"/>
      <c r="B277" s="980"/>
      <c r="C277" s="979"/>
      <c r="D277" s="981"/>
      <c r="E277" s="981"/>
      <c r="F277" s="981"/>
      <c r="G277" s="979"/>
      <c r="H277" s="981"/>
      <c r="I277" s="981"/>
      <c r="J277" s="979"/>
      <c r="K277" s="981" t="b">
        <v>0</v>
      </c>
      <c r="L277" s="980"/>
    </row>
    <row r="278">
      <c r="A278" s="974"/>
      <c r="B278" s="975"/>
      <c r="C278" s="974"/>
      <c r="D278" s="982"/>
      <c r="E278" s="982"/>
      <c r="F278" s="982"/>
      <c r="G278" s="974"/>
      <c r="H278" s="982"/>
      <c r="I278" s="982"/>
      <c r="J278" s="974"/>
      <c r="K278" s="982" t="b">
        <v>0</v>
      </c>
      <c r="L278" s="975"/>
    </row>
    <row r="279">
      <c r="A279" s="979"/>
      <c r="B279" s="980"/>
      <c r="C279" s="979"/>
      <c r="D279" s="981"/>
      <c r="E279" s="981"/>
      <c r="F279" s="981"/>
      <c r="G279" s="979"/>
      <c r="H279" s="981"/>
      <c r="I279" s="981"/>
      <c r="J279" s="979"/>
      <c r="K279" s="981" t="b">
        <v>0</v>
      </c>
      <c r="L279" s="980"/>
    </row>
    <row r="280">
      <c r="A280" s="974"/>
      <c r="B280" s="975"/>
      <c r="C280" s="974"/>
      <c r="D280" s="982"/>
      <c r="E280" s="982"/>
      <c r="F280" s="982"/>
      <c r="G280" s="974"/>
      <c r="H280" s="982"/>
      <c r="I280" s="982"/>
      <c r="J280" s="974"/>
      <c r="K280" s="982" t="b">
        <v>0</v>
      </c>
      <c r="L280" s="975"/>
    </row>
    <row r="281">
      <c r="A281" s="979"/>
      <c r="B281" s="980"/>
      <c r="C281" s="979"/>
      <c r="D281" s="981"/>
      <c r="E281" s="981"/>
      <c r="F281" s="981"/>
      <c r="G281" s="979"/>
      <c r="H281" s="981"/>
      <c r="I281" s="981"/>
      <c r="J281" s="979"/>
      <c r="K281" s="981" t="b">
        <v>0</v>
      </c>
      <c r="L281" s="980"/>
    </row>
    <row r="282">
      <c r="A282" s="974"/>
      <c r="B282" s="975"/>
      <c r="C282" s="974"/>
      <c r="D282" s="982"/>
      <c r="E282" s="982"/>
      <c r="F282" s="982"/>
      <c r="G282" s="974"/>
      <c r="H282" s="982"/>
      <c r="I282" s="982"/>
      <c r="J282" s="974"/>
      <c r="K282" s="982" t="b">
        <v>0</v>
      </c>
      <c r="L282" s="975"/>
    </row>
    <row r="283">
      <c r="A283" s="979"/>
      <c r="B283" s="980"/>
      <c r="C283" s="979"/>
      <c r="D283" s="981"/>
      <c r="E283" s="981"/>
      <c r="F283" s="981"/>
      <c r="G283" s="979"/>
      <c r="H283" s="981"/>
      <c r="I283" s="981"/>
      <c r="J283" s="979"/>
      <c r="K283" s="981" t="b">
        <v>0</v>
      </c>
      <c r="L283" s="980"/>
    </row>
    <row r="284">
      <c r="A284" s="974"/>
      <c r="B284" s="975"/>
      <c r="C284" s="974"/>
      <c r="D284" s="982"/>
      <c r="E284" s="982"/>
      <c r="F284" s="982"/>
      <c r="G284" s="974"/>
      <c r="H284" s="982"/>
      <c r="I284" s="982"/>
      <c r="J284" s="974"/>
      <c r="K284" s="982" t="b">
        <v>0</v>
      </c>
      <c r="L284" s="975"/>
    </row>
    <row r="285">
      <c r="A285" s="979"/>
      <c r="B285" s="980"/>
      <c r="C285" s="979"/>
      <c r="D285" s="981"/>
      <c r="E285" s="981"/>
      <c r="F285" s="981"/>
      <c r="G285" s="979"/>
      <c r="H285" s="981"/>
      <c r="I285" s="981"/>
      <c r="J285" s="979"/>
      <c r="K285" s="981" t="b">
        <v>0</v>
      </c>
      <c r="L285" s="980"/>
    </row>
    <row r="286">
      <c r="A286" s="974"/>
      <c r="B286" s="975"/>
      <c r="C286" s="974"/>
      <c r="D286" s="982"/>
      <c r="E286" s="982"/>
      <c r="F286" s="982"/>
      <c r="G286" s="974"/>
      <c r="H286" s="982"/>
      <c r="I286" s="982"/>
      <c r="J286" s="974"/>
      <c r="K286" s="982" t="b">
        <v>0</v>
      </c>
      <c r="L286" s="975"/>
    </row>
    <row r="287">
      <c r="A287" s="979"/>
      <c r="B287" s="980"/>
      <c r="C287" s="979"/>
      <c r="D287" s="981"/>
      <c r="E287" s="981"/>
      <c r="F287" s="981"/>
      <c r="G287" s="979"/>
      <c r="H287" s="981"/>
      <c r="I287" s="981"/>
      <c r="J287" s="979"/>
      <c r="K287" s="981" t="b">
        <v>0</v>
      </c>
      <c r="L287" s="980"/>
    </row>
    <row r="288">
      <c r="A288" s="974"/>
      <c r="B288" s="975"/>
      <c r="C288" s="974"/>
      <c r="D288" s="982"/>
      <c r="E288" s="982"/>
      <c r="F288" s="982"/>
      <c r="G288" s="974"/>
      <c r="H288" s="982"/>
      <c r="I288" s="982"/>
      <c r="J288" s="974"/>
      <c r="K288" s="982" t="b">
        <v>0</v>
      </c>
      <c r="L288" s="975"/>
    </row>
    <row r="289">
      <c r="A289" s="979"/>
      <c r="B289" s="980"/>
      <c r="C289" s="979"/>
      <c r="D289" s="981"/>
      <c r="E289" s="981"/>
      <c r="F289" s="981"/>
      <c r="G289" s="979"/>
      <c r="H289" s="981"/>
      <c r="I289" s="981"/>
      <c r="J289" s="979"/>
      <c r="K289" s="981" t="b">
        <v>0</v>
      </c>
      <c r="L289" s="980"/>
    </row>
    <row r="290">
      <c r="A290" s="974"/>
      <c r="B290" s="975"/>
      <c r="C290" s="974"/>
      <c r="D290" s="982"/>
      <c r="E290" s="982"/>
      <c r="F290" s="982"/>
      <c r="G290" s="974"/>
      <c r="H290" s="982"/>
      <c r="I290" s="982"/>
      <c r="J290" s="974"/>
      <c r="K290" s="982" t="b">
        <v>0</v>
      </c>
      <c r="L290" s="975"/>
    </row>
    <row r="291">
      <c r="A291" s="979"/>
      <c r="B291" s="980"/>
      <c r="C291" s="979"/>
      <c r="D291" s="981"/>
      <c r="E291" s="981"/>
      <c r="F291" s="981"/>
      <c r="G291" s="979"/>
      <c r="H291" s="981"/>
      <c r="I291" s="981"/>
      <c r="J291" s="979"/>
      <c r="K291" s="981" t="b">
        <v>0</v>
      </c>
      <c r="L291" s="980"/>
    </row>
    <row r="292">
      <c r="A292" s="974"/>
      <c r="B292" s="975"/>
      <c r="C292" s="974"/>
      <c r="D292" s="982"/>
      <c r="E292" s="982"/>
      <c r="F292" s="982"/>
      <c r="G292" s="974"/>
      <c r="H292" s="982"/>
      <c r="I292" s="982"/>
      <c r="J292" s="974"/>
      <c r="K292" s="982" t="b">
        <v>0</v>
      </c>
      <c r="L292" s="975"/>
    </row>
    <row r="293">
      <c r="A293" s="979"/>
      <c r="B293" s="980"/>
      <c r="C293" s="979"/>
      <c r="D293" s="981"/>
      <c r="E293" s="981"/>
      <c r="F293" s="981"/>
      <c r="G293" s="979"/>
      <c r="H293" s="981"/>
      <c r="I293" s="981"/>
      <c r="J293" s="979"/>
      <c r="K293" s="981" t="b">
        <v>0</v>
      </c>
      <c r="L293" s="980"/>
    </row>
    <row r="294">
      <c r="A294" s="974"/>
      <c r="B294" s="975"/>
      <c r="C294" s="974"/>
      <c r="D294" s="982"/>
      <c r="E294" s="982"/>
      <c r="F294" s="982"/>
      <c r="G294" s="974"/>
      <c r="H294" s="982"/>
      <c r="I294" s="982"/>
      <c r="J294" s="974"/>
      <c r="K294" s="982" t="b">
        <v>0</v>
      </c>
      <c r="L294" s="975"/>
    </row>
    <row r="295">
      <c r="A295" s="979"/>
      <c r="B295" s="980"/>
      <c r="C295" s="979"/>
      <c r="D295" s="981"/>
      <c r="E295" s="981"/>
      <c r="F295" s="981"/>
      <c r="G295" s="979"/>
      <c r="H295" s="981"/>
      <c r="I295" s="981"/>
      <c r="J295" s="979"/>
      <c r="K295" s="981" t="b">
        <v>0</v>
      </c>
      <c r="L295" s="980"/>
    </row>
    <row r="296">
      <c r="A296" s="974"/>
      <c r="B296" s="975"/>
      <c r="C296" s="974"/>
      <c r="D296" s="982"/>
      <c r="E296" s="982"/>
      <c r="F296" s="982"/>
      <c r="G296" s="974"/>
      <c r="H296" s="982"/>
      <c r="I296" s="982"/>
      <c r="J296" s="974"/>
      <c r="K296" s="982" t="b">
        <v>0</v>
      </c>
      <c r="L296" s="975"/>
    </row>
    <row r="297">
      <c r="A297" s="979"/>
      <c r="B297" s="980"/>
      <c r="C297" s="979"/>
      <c r="D297" s="981"/>
      <c r="E297" s="981"/>
      <c r="F297" s="981"/>
      <c r="G297" s="979"/>
      <c r="H297" s="981"/>
      <c r="I297" s="981"/>
      <c r="J297" s="979"/>
      <c r="K297" s="981" t="b">
        <v>0</v>
      </c>
      <c r="L297" s="980"/>
    </row>
    <row r="298">
      <c r="A298" s="974"/>
      <c r="B298" s="975"/>
      <c r="C298" s="974"/>
      <c r="D298" s="982"/>
      <c r="E298" s="982"/>
      <c r="F298" s="982"/>
      <c r="G298" s="974"/>
      <c r="H298" s="982"/>
      <c r="I298" s="982"/>
      <c r="J298" s="974"/>
      <c r="K298" s="982" t="b">
        <v>0</v>
      </c>
      <c r="L298" s="975"/>
    </row>
    <row r="299">
      <c r="A299" s="979"/>
      <c r="B299" s="980"/>
      <c r="C299" s="979"/>
      <c r="D299" s="981"/>
      <c r="E299" s="981"/>
      <c r="F299" s="981"/>
      <c r="G299" s="979"/>
      <c r="H299" s="981"/>
      <c r="I299" s="981"/>
      <c r="J299" s="979"/>
      <c r="K299" s="981" t="b">
        <v>0</v>
      </c>
      <c r="L299" s="980"/>
    </row>
    <row r="300">
      <c r="A300" s="974"/>
      <c r="B300" s="975"/>
      <c r="C300" s="974"/>
      <c r="D300" s="982"/>
      <c r="E300" s="982"/>
      <c r="F300" s="982"/>
      <c r="G300" s="974"/>
      <c r="H300" s="982"/>
      <c r="I300" s="982"/>
      <c r="J300" s="974"/>
      <c r="K300" s="982" t="b">
        <v>0</v>
      </c>
      <c r="L300" s="975"/>
    </row>
    <row r="301">
      <c r="A301" s="979"/>
      <c r="B301" s="980"/>
      <c r="C301" s="979"/>
      <c r="D301" s="981"/>
      <c r="E301" s="981"/>
      <c r="F301" s="981"/>
      <c r="G301" s="979"/>
      <c r="H301" s="981"/>
      <c r="I301" s="981"/>
      <c r="J301" s="979"/>
      <c r="K301" s="981" t="b">
        <v>0</v>
      </c>
      <c r="L301" s="980"/>
    </row>
    <row r="302">
      <c r="A302" s="974"/>
      <c r="B302" s="975"/>
      <c r="C302" s="974"/>
      <c r="D302" s="982"/>
      <c r="E302" s="982"/>
      <c r="F302" s="982"/>
      <c r="G302" s="974"/>
      <c r="H302" s="982"/>
      <c r="I302" s="982"/>
      <c r="J302" s="974"/>
      <c r="K302" s="982" t="b">
        <v>0</v>
      </c>
      <c r="L302" s="975"/>
    </row>
    <row r="303">
      <c r="A303" s="979"/>
      <c r="B303" s="980"/>
      <c r="C303" s="979"/>
      <c r="D303" s="981"/>
      <c r="E303" s="981"/>
      <c r="F303" s="981"/>
      <c r="G303" s="979"/>
      <c r="H303" s="981"/>
      <c r="I303" s="981"/>
      <c r="J303" s="979"/>
      <c r="K303" s="981" t="b">
        <v>0</v>
      </c>
      <c r="L303" s="980"/>
    </row>
    <row r="304">
      <c r="A304" s="974"/>
      <c r="B304" s="975"/>
      <c r="C304" s="974"/>
      <c r="D304" s="982"/>
      <c r="E304" s="982"/>
      <c r="F304" s="982"/>
      <c r="G304" s="974"/>
      <c r="H304" s="982"/>
      <c r="I304" s="982"/>
      <c r="J304" s="974"/>
      <c r="K304" s="982" t="b">
        <v>0</v>
      </c>
      <c r="L304" s="975"/>
    </row>
    <row r="305">
      <c r="A305" s="979"/>
      <c r="B305" s="980"/>
      <c r="C305" s="979"/>
      <c r="D305" s="981"/>
      <c r="E305" s="981"/>
      <c r="F305" s="981"/>
      <c r="G305" s="979"/>
      <c r="H305" s="981"/>
      <c r="I305" s="981"/>
      <c r="J305" s="979"/>
      <c r="K305" s="981" t="b">
        <v>0</v>
      </c>
      <c r="L305" s="980"/>
    </row>
    <row r="306">
      <c r="A306" s="974"/>
      <c r="B306" s="975"/>
      <c r="C306" s="974"/>
      <c r="D306" s="982"/>
      <c r="E306" s="982"/>
      <c r="F306" s="982"/>
      <c r="G306" s="974"/>
      <c r="H306" s="982"/>
      <c r="I306" s="982"/>
      <c r="J306" s="974"/>
      <c r="K306" s="982" t="b">
        <v>0</v>
      </c>
      <c r="L306" s="975"/>
    </row>
    <row r="307">
      <c r="A307" s="979"/>
      <c r="B307" s="980"/>
      <c r="C307" s="979"/>
      <c r="D307" s="981"/>
      <c r="E307" s="981"/>
      <c r="F307" s="981"/>
      <c r="G307" s="979"/>
      <c r="H307" s="981"/>
      <c r="I307" s="981"/>
      <c r="J307" s="979"/>
      <c r="K307" s="981" t="b">
        <v>0</v>
      </c>
      <c r="L307" s="980"/>
    </row>
    <row r="308">
      <c r="A308" s="974"/>
      <c r="B308" s="975"/>
      <c r="C308" s="974"/>
      <c r="D308" s="982"/>
      <c r="E308" s="982"/>
      <c r="F308" s="982"/>
      <c r="G308" s="974"/>
      <c r="H308" s="982"/>
      <c r="I308" s="982"/>
      <c r="J308" s="974"/>
      <c r="K308" s="982" t="b">
        <v>0</v>
      </c>
      <c r="L308" s="975"/>
    </row>
    <row r="309">
      <c r="A309" s="979"/>
      <c r="B309" s="980"/>
      <c r="C309" s="979"/>
      <c r="D309" s="981"/>
      <c r="E309" s="981"/>
      <c r="F309" s="981"/>
      <c r="G309" s="979"/>
      <c r="H309" s="981"/>
      <c r="I309" s="981"/>
      <c r="J309" s="979"/>
      <c r="K309" s="981" t="b">
        <v>0</v>
      </c>
      <c r="L309" s="980"/>
    </row>
    <row r="310">
      <c r="A310" s="974"/>
      <c r="B310" s="975"/>
      <c r="C310" s="974"/>
      <c r="D310" s="982"/>
      <c r="E310" s="982"/>
      <c r="F310" s="982"/>
      <c r="G310" s="974"/>
      <c r="H310" s="982"/>
      <c r="I310" s="982"/>
      <c r="J310" s="974"/>
      <c r="K310" s="982" t="b">
        <v>0</v>
      </c>
      <c r="L310" s="975"/>
    </row>
    <row r="311">
      <c r="A311" s="979"/>
      <c r="B311" s="980"/>
      <c r="C311" s="979"/>
      <c r="D311" s="981"/>
      <c r="E311" s="981"/>
      <c r="F311" s="981"/>
      <c r="G311" s="979"/>
      <c r="H311" s="981"/>
      <c r="I311" s="981"/>
      <c r="J311" s="979"/>
      <c r="K311" s="981" t="b">
        <v>0</v>
      </c>
      <c r="L311" s="980"/>
    </row>
    <row r="312">
      <c r="A312" s="974"/>
      <c r="B312" s="975"/>
      <c r="C312" s="974"/>
      <c r="D312" s="982"/>
      <c r="E312" s="982"/>
      <c r="F312" s="982"/>
      <c r="G312" s="974"/>
      <c r="H312" s="982"/>
      <c r="I312" s="982"/>
      <c r="J312" s="974"/>
      <c r="K312" s="982" t="b">
        <v>0</v>
      </c>
      <c r="L312" s="975"/>
    </row>
    <row r="313">
      <c r="A313" s="979"/>
      <c r="B313" s="980"/>
      <c r="C313" s="979"/>
      <c r="D313" s="981"/>
      <c r="E313" s="981"/>
      <c r="F313" s="981"/>
      <c r="G313" s="979"/>
      <c r="H313" s="981"/>
      <c r="I313" s="981"/>
      <c r="J313" s="979"/>
      <c r="K313" s="981" t="b">
        <v>0</v>
      </c>
      <c r="L313" s="980"/>
    </row>
    <row r="314">
      <c r="A314" s="974"/>
      <c r="B314" s="975"/>
      <c r="C314" s="974"/>
      <c r="D314" s="982"/>
      <c r="E314" s="982"/>
      <c r="F314" s="982"/>
      <c r="G314" s="974"/>
      <c r="H314" s="982"/>
      <c r="I314" s="982"/>
      <c r="J314" s="974"/>
      <c r="K314" s="982" t="b">
        <v>0</v>
      </c>
      <c r="L314" s="975"/>
    </row>
    <row r="315">
      <c r="A315" s="979"/>
      <c r="B315" s="980"/>
      <c r="C315" s="979"/>
      <c r="D315" s="981"/>
      <c r="E315" s="981"/>
      <c r="F315" s="981"/>
      <c r="G315" s="979"/>
      <c r="H315" s="981"/>
      <c r="I315" s="981"/>
      <c r="J315" s="979"/>
      <c r="K315" s="981" t="b">
        <v>0</v>
      </c>
      <c r="L315" s="980"/>
    </row>
    <row r="316">
      <c r="A316" s="974"/>
      <c r="B316" s="975"/>
      <c r="C316" s="974"/>
      <c r="D316" s="982"/>
      <c r="E316" s="982"/>
      <c r="F316" s="982"/>
      <c r="G316" s="974"/>
      <c r="H316" s="982"/>
      <c r="I316" s="982"/>
      <c r="J316" s="974"/>
      <c r="K316" s="982" t="b">
        <v>0</v>
      </c>
      <c r="L316" s="975"/>
    </row>
    <row r="317">
      <c r="A317" s="979"/>
      <c r="B317" s="980"/>
      <c r="C317" s="979"/>
      <c r="D317" s="981"/>
      <c r="E317" s="981"/>
      <c r="F317" s="981"/>
      <c r="G317" s="979"/>
      <c r="H317" s="981"/>
      <c r="I317" s="981"/>
      <c r="J317" s="979"/>
      <c r="K317" s="981" t="b">
        <v>0</v>
      </c>
      <c r="L317" s="980"/>
    </row>
    <row r="318">
      <c r="A318" s="974"/>
      <c r="B318" s="975"/>
      <c r="C318" s="974"/>
      <c r="D318" s="982"/>
      <c r="E318" s="982"/>
      <c r="F318" s="982"/>
      <c r="G318" s="974"/>
      <c r="H318" s="982"/>
      <c r="I318" s="982"/>
      <c r="J318" s="974"/>
      <c r="K318" s="982" t="b">
        <v>0</v>
      </c>
      <c r="L318" s="975"/>
    </row>
    <row r="319">
      <c r="A319" s="979"/>
      <c r="B319" s="980"/>
      <c r="C319" s="979"/>
      <c r="D319" s="981"/>
      <c r="E319" s="981"/>
      <c r="F319" s="981"/>
      <c r="G319" s="979"/>
      <c r="H319" s="981"/>
      <c r="I319" s="981"/>
      <c r="J319" s="979"/>
      <c r="K319" s="981" t="b">
        <v>0</v>
      </c>
      <c r="L319" s="980"/>
    </row>
    <row r="320">
      <c r="A320" s="974"/>
      <c r="B320" s="975"/>
      <c r="C320" s="974"/>
      <c r="D320" s="982"/>
      <c r="E320" s="982"/>
      <c r="F320" s="982"/>
      <c r="G320" s="974"/>
      <c r="H320" s="982"/>
      <c r="I320" s="982"/>
      <c r="J320" s="974"/>
      <c r="K320" s="982" t="b">
        <v>0</v>
      </c>
      <c r="L320" s="975"/>
    </row>
    <row r="321">
      <c r="A321" s="979"/>
      <c r="B321" s="980"/>
      <c r="C321" s="979"/>
      <c r="D321" s="981"/>
      <c r="E321" s="981"/>
      <c r="F321" s="981"/>
      <c r="G321" s="979"/>
      <c r="H321" s="981"/>
      <c r="I321" s="981"/>
      <c r="J321" s="979"/>
      <c r="K321" s="981" t="b">
        <v>0</v>
      </c>
      <c r="L321" s="980"/>
    </row>
    <row r="322">
      <c r="A322" s="974"/>
      <c r="B322" s="975"/>
      <c r="C322" s="974"/>
      <c r="D322" s="982"/>
      <c r="E322" s="982"/>
      <c r="F322" s="982"/>
      <c r="G322" s="974"/>
      <c r="H322" s="982"/>
      <c r="I322" s="982"/>
      <c r="J322" s="974"/>
      <c r="K322" s="982" t="b">
        <v>0</v>
      </c>
      <c r="L322" s="975"/>
    </row>
    <row r="323">
      <c r="A323" s="979"/>
      <c r="B323" s="980"/>
      <c r="C323" s="979"/>
      <c r="D323" s="981"/>
      <c r="E323" s="981"/>
      <c r="F323" s="981"/>
      <c r="G323" s="979"/>
      <c r="H323" s="981"/>
      <c r="I323" s="981"/>
      <c r="J323" s="979"/>
      <c r="K323" s="981" t="b">
        <v>0</v>
      </c>
      <c r="L323" s="980"/>
    </row>
    <row r="324">
      <c r="A324" s="974"/>
      <c r="B324" s="975"/>
      <c r="C324" s="974"/>
      <c r="D324" s="982"/>
      <c r="E324" s="982"/>
      <c r="F324" s="982"/>
      <c r="G324" s="974"/>
      <c r="H324" s="982"/>
      <c r="I324" s="982"/>
      <c r="J324" s="974"/>
      <c r="K324" s="982" t="b">
        <v>0</v>
      </c>
      <c r="L324" s="975"/>
    </row>
    <row r="325">
      <c r="A325" s="979"/>
      <c r="B325" s="980"/>
      <c r="C325" s="979"/>
      <c r="D325" s="981"/>
      <c r="E325" s="981"/>
      <c r="F325" s="981"/>
      <c r="G325" s="979"/>
      <c r="H325" s="981"/>
      <c r="I325" s="981"/>
      <c r="J325" s="979"/>
      <c r="K325" s="981" t="b">
        <v>0</v>
      </c>
      <c r="L325" s="980"/>
    </row>
    <row r="326">
      <c r="A326" s="974"/>
      <c r="B326" s="975"/>
      <c r="C326" s="974"/>
      <c r="D326" s="982"/>
      <c r="E326" s="982"/>
      <c r="F326" s="982"/>
      <c r="G326" s="974"/>
      <c r="H326" s="982"/>
      <c r="I326" s="982"/>
      <c r="J326" s="974"/>
      <c r="K326" s="982" t="b">
        <v>0</v>
      </c>
      <c r="L326" s="975"/>
    </row>
    <row r="327">
      <c r="A327" s="979"/>
      <c r="B327" s="980"/>
      <c r="C327" s="979"/>
      <c r="D327" s="981"/>
      <c r="E327" s="981"/>
      <c r="F327" s="981"/>
      <c r="G327" s="979"/>
      <c r="H327" s="981"/>
      <c r="I327" s="981"/>
      <c r="J327" s="979"/>
      <c r="K327" s="981" t="b">
        <v>0</v>
      </c>
      <c r="L327" s="980"/>
    </row>
    <row r="328">
      <c r="A328" s="974"/>
      <c r="B328" s="975"/>
      <c r="C328" s="974"/>
      <c r="D328" s="982"/>
      <c r="E328" s="982"/>
      <c r="F328" s="982"/>
      <c r="G328" s="974"/>
      <c r="H328" s="982"/>
      <c r="I328" s="982"/>
      <c r="J328" s="974"/>
      <c r="K328" s="982" t="b">
        <v>0</v>
      </c>
      <c r="L328" s="975"/>
    </row>
    <row r="329">
      <c r="A329" s="979"/>
      <c r="B329" s="980"/>
      <c r="C329" s="979"/>
      <c r="D329" s="981"/>
      <c r="E329" s="981"/>
      <c r="F329" s="981"/>
      <c r="G329" s="979"/>
      <c r="H329" s="981"/>
      <c r="I329" s="981"/>
      <c r="J329" s="979"/>
      <c r="K329" s="981" t="b">
        <v>0</v>
      </c>
      <c r="L329" s="980"/>
    </row>
    <row r="330">
      <c r="A330" s="974"/>
      <c r="B330" s="975"/>
      <c r="C330" s="974"/>
      <c r="D330" s="982"/>
      <c r="E330" s="982"/>
      <c r="F330" s="982"/>
      <c r="G330" s="974"/>
      <c r="H330" s="982"/>
      <c r="I330" s="982"/>
      <c r="J330" s="974"/>
      <c r="K330" s="982" t="b">
        <v>0</v>
      </c>
      <c r="L330" s="975"/>
    </row>
    <row r="331">
      <c r="A331" s="979"/>
      <c r="B331" s="980"/>
      <c r="C331" s="979"/>
      <c r="D331" s="981"/>
      <c r="E331" s="981"/>
      <c r="F331" s="981"/>
      <c r="G331" s="979"/>
      <c r="H331" s="981"/>
      <c r="I331" s="981"/>
      <c r="J331" s="979"/>
      <c r="K331" s="981" t="b">
        <v>0</v>
      </c>
      <c r="L331" s="980"/>
    </row>
    <row r="332">
      <c r="A332" s="974"/>
      <c r="B332" s="975"/>
      <c r="C332" s="974"/>
      <c r="D332" s="982"/>
      <c r="E332" s="982"/>
      <c r="F332" s="982"/>
      <c r="G332" s="974"/>
      <c r="H332" s="982"/>
      <c r="I332" s="982"/>
      <c r="J332" s="974"/>
      <c r="K332" s="982" t="b">
        <v>0</v>
      </c>
      <c r="L332" s="975"/>
    </row>
    <row r="333">
      <c r="A333" s="979"/>
      <c r="B333" s="980"/>
      <c r="C333" s="979"/>
      <c r="D333" s="981"/>
      <c r="E333" s="981"/>
      <c r="F333" s="981"/>
      <c r="G333" s="979"/>
      <c r="H333" s="981"/>
      <c r="I333" s="981"/>
      <c r="J333" s="979"/>
      <c r="K333" s="981" t="b">
        <v>0</v>
      </c>
      <c r="L333" s="980"/>
    </row>
    <row r="334">
      <c r="A334" s="974"/>
      <c r="B334" s="975"/>
      <c r="C334" s="974"/>
      <c r="D334" s="982"/>
      <c r="E334" s="982"/>
      <c r="F334" s="982"/>
      <c r="G334" s="974"/>
      <c r="H334" s="982"/>
      <c r="I334" s="982"/>
      <c r="J334" s="974"/>
      <c r="K334" s="982" t="b">
        <v>0</v>
      </c>
      <c r="L334" s="975"/>
    </row>
    <row r="335">
      <c r="A335" s="979"/>
      <c r="B335" s="980"/>
      <c r="C335" s="979"/>
      <c r="D335" s="981"/>
      <c r="E335" s="981"/>
      <c r="F335" s="981"/>
      <c r="G335" s="979"/>
      <c r="H335" s="981"/>
      <c r="I335" s="981"/>
      <c r="J335" s="979"/>
      <c r="K335" s="981" t="b">
        <v>0</v>
      </c>
      <c r="L335" s="980"/>
    </row>
    <row r="336">
      <c r="A336" s="974"/>
      <c r="B336" s="975"/>
      <c r="C336" s="974"/>
      <c r="D336" s="982"/>
      <c r="E336" s="982"/>
      <c r="F336" s="982"/>
      <c r="G336" s="974"/>
      <c r="H336" s="982"/>
      <c r="I336" s="982"/>
      <c r="J336" s="974"/>
      <c r="K336" s="982" t="b">
        <v>0</v>
      </c>
      <c r="L336" s="975"/>
    </row>
    <row r="337">
      <c r="A337" s="979"/>
      <c r="B337" s="980"/>
      <c r="C337" s="979"/>
      <c r="D337" s="981"/>
      <c r="E337" s="981"/>
      <c r="F337" s="981"/>
      <c r="G337" s="979"/>
      <c r="H337" s="981"/>
      <c r="I337" s="981"/>
      <c r="J337" s="979"/>
      <c r="K337" s="981" t="b">
        <v>0</v>
      </c>
      <c r="L337" s="980"/>
    </row>
    <row r="338">
      <c r="A338" s="974"/>
      <c r="B338" s="975"/>
      <c r="C338" s="974"/>
      <c r="D338" s="982"/>
      <c r="E338" s="982"/>
      <c r="F338" s="982"/>
      <c r="G338" s="974"/>
      <c r="H338" s="982"/>
      <c r="I338" s="982"/>
      <c r="J338" s="974"/>
      <c r="K338" s="982" t="b">
        <v>0</v>
      </c>
      <c r="L338" s="975"/>
    </row>
    <row r="339">
      <c r="A339" s="979"/>
      <c r="B339" s="980"/>
      <c r="C339" s="979"/>
      <c r="D339" s="981"/>
      <c r="E339" s="981"/>
      <c r="F339" s="981"/>
      <c r="G339" s="979"/>
      <c r="H339" s="981"/>
      <c r="I339" s="981"/>
      <c r="J339" s="979"/>
      <c r="K339" s="981" t="b">
        <v>0</v>
      </c>
      <c r="L339" s="980"/>
    </row>
    <row r="340">
      <c r="A340" s="974"/>
      <c r="B340" s="975"/>
      <c r="C340" s="974"/>
      <c r="D340" s="982"/>
      <c r="E340" s="982"/>
      <c r="F340" s="982"/>
      <c r="G340" s="974"/>
      <c r="H340" s="982"/>
      <c r="I340" s="982"/>
      <c r="J340" s="974"/>
      <c r="K340" s="982" t="b">
        <v>0</v>
      </c>
      <c r="L340" s="975"/>
    </row>
    <row r="341">
      <c r="A341" s="979"/>
      <c r="B341" s="980"/>
      <c r="C341" s="979"/>
      <c r="D341" s="981"/>
      <c r="E341" s="981"/>
      <c r="F341" s="981"/>
      <c r="G341" s="979"/>
      <c r="H341" s="981"/>
      <c r="I341" s="981"/>
      <c r="J341" s="979"/>
      <c r="K341" s="981" t="b">
        <v>0</v>
      </c>
      <c r="L341" s="980"/>
    </row>
    <row r="342">
      <c r="A342" s="974"/>
      <c r="B342" s="975"/>
      <c r="C342" s="974"/>
      <c r="D342" s="982"/>
      <c r="E342" s="982"/>
      <c r="F342" s="982"/>
      <c r="G342" s="974"/>
      <c r="H342" s="982"/>
      <c r="I342" s="982"/>
      <c r="J342" s="974"/>
      <c r="K342" s="982" t="b">
        <v>0</v>
      </c>
      <c r="L342" s="975"/>
    </row>
    <row r="343">
      <c r="A343" s="979"/>
      <c r="B343" s="980"/>
      <c r="C343" s="979"/>
      <c r="D343" s="981"/>
      <c r="E343" s="981"/>
      <c r="F343" s="981"/>
      <c r="G343" s="979"/>
      <c r="H343" s="981"/>
      <c r="I343" s="981"/>
      <c r="J343" s="979"/>
      <c r="K343" s="981" t="b">
        <v>0</v>
      </c>
      <c r="L343" s="980"/>
    </row>
    <row r="344">
      <c r="A344" s="974"/>
      <c r="B344" s="975"/>
      <c r="C344" s="974"/>
      <c r="D344" s="982"/>
      <c r="E344" s="982"/>
      <c r="F344" s="982"/>
      <c r="G344" s="974"/>
      <c r="H344" s="982"/>
      <c r="I344" s="982"/>
      <c r="J344" s="974"/>
      <c r="K344" s="982" t="b">
        <v>0</v>
      </c>
      <c r="L344" s="975"/>
    </row>
    <row r="345">
      <c r="A345" s="979"/>
      <c r="B345" s="980"/>
      <c r="C345" s="979"/>
      <c r="D345" s="981"/>
      <c r="E345" s="981"/>
      <c r="F345" s="981"/>
      <c r="G345" s="979"/>
      <c r="H345" s="981"/>
      <c r="I345" s="981"/>
      <c r="J345" s="979"/>
      <c r="K345" s="981" t="b">
        <v>0</v>
      </c>
      <c r="L345" s="980"/>
    </row>
    <row r="346">
      <c r="A346" s="974"/>
      <c r="B346" s="975"/>
      <c r="C346" s="974"/>
      <c r="D346" s="982"/>
      <c r="E346" s="982"/>
      <c r="F346" s="982"/>
      <c r="G346" s="974"/>
      <c r="H346" s="982"/>
      <c r="I346" s="982"/>
      <c r="J346" s="974"/>
      <c r="K346" s="982" t="b">
        <v>0</v>
      </c>
      <c r="L346" s="975"/>
    </row>
    <row r="347">
      <c r="A347" s="979"/>
      <c r="B347" s="980"/>
      <c r="C347" s="979"/>
      <c r="D347" s="981"/>
      <c r="E347" s="981"/>
      <c r="F347" s="981"/>
      <c r="G347" s="979"/>
      <c r="H347" s="981"/>
      <c r="I347" s="981"/>
      <c r="J347" s="979"/>
      <c r="K347" s="981" t="b">
        <v>0</v>
      </c>
      <c r="L347" s="980"/>
    </row>
    <row r="348">
      <c r="A348" s="974"/>
      <c r="B348" s="975"/>
      <c r="C348" s="974"/>
      <c r="D348" s="982"/>
      <c r="E348" s="982"/>
      <c r="F348" s="982"/>
      <c r="G348" s="974"/>
      <c r="H348" s="982"/>
      <c r="I348" s="982"/>
      <c r="J348" s="974"/>
      <c r="K348" s="982" t="b">
        <v>0</v>
      </c>
      <c r="L348" s="975"/>
    </row>
    <row r="349">
      <c r="A349" s="979"/>
      <c r="B349" s="980"/>
      <c r="C349" s="979"/>
      <c r="D349" s="981"/>
      <c r="E349" s="981"/>
      <c r="F349" s="981"/>
      <c r="G349" s="979"/>
      <c r="H349" s="981"/>
      <c r="I349" s="981"/>
      <c r="J349" s="979"/>
      <c r="K349" s="981" t="b">
        <v>0</v>
      </c>
      <c r="L349" s="980"/>
    </row>
    <row r="350">
      <c r="A350" s="974"/>
      <c r="B350" s="975"/>
      <c r="C350" s="974"/>
      <c r="D350" s="982"/>
      <c r="E350" s="982"/>
      <c r="F350" s="982"/>
      <c r="G350" s="974"/>
      <c r="H350" s="982"/>
      <c r="I350" s="982"/>
      <c r="J350" s="974"/>
      <c r="K350" s="982" t="b">
        <v>0</v>
      </c>
      <c r="L350" s="975"/>
    </row>
    <row r="351">
      <c r="A351" s="979"/>
      <c r="B351" s="980"/>
      <c r="C351" s="979"/>
      <c r="D351" s="981"/>
      <c r="E351" s="981"/>
      <c r="F351" s="981"/>
      <c r="G351" s="979"/>
      <c r="H351" s="981"/>
      <c r="I351" s="981"/>
      <c r="J351" s="979"/>
      <c r="K351" s="981" t="b">
        <v>0</v>
      </c>
      <c r="L351" s="980"/>
    </row>
    <row r="352">
      <c r="A352" s="974"/>
      <c r="B352" s="975"/>
      <c r="C352" s="974"/>
      <c r="D352" s="982"/>
      <c r="E352" s="982"/>
      <c r="F352" s="982"/>
      <c r="G352" s="974"/>
      <c r="H352" s="982"/>
      <c r="I352" s="982"/>
      <c r="J352" s="974"/>
      <c r="K352" s="982" t="b">
        <v>0</v>
      </c>
      <c r="L352" s="975"/>
    </row>
    <row r="353">
      <c r="A353" s="979"/>
      <c r="B353" s="980"/>
      <c r="C353" s="979"/>
      <c r="D353" s="981"/>
      <c r="E353" s="981"/>
      <c r="F353" s="981"/>
      <c r="G353" s="979"/>
      <c r="H353" s="981"/>
      <c r="I353" s="981"/>
      <c r="J353" s="979"/>
      <c r="K353" s="981" t="b">
        <v>0</v>
      </c>
      <c r="L353" s="980"/>
    </row>
    <row r="354">
      <c r="A354" s="974"/>
      <c r="B354" s="975"/>
      <c r="C354" s="974"/>
      <c r="D354" s="982"/>
      <c r="E354" s="982"/>
      <c r="F354" s="982"/>
      <c r="G354" s="974"/>
      <c r="H354" s="982"/>
      <c r="I354" s="982"/>
      <c r="J354" s="974"/>
      <c r="K354" s="982" t="b">
        <v>0</v>
      </c>
      <c r="L354" s="975"/>
    </row>
    <row r="355">
      <c r="A355" s="979"/>
      <c r="B355" s="980"/>
      <c r="C355" s="979"/>
      <c r="D355" s="981"/>
      <c r="E355" s="981"/>
      <c r="F355" s="981"/>
      <c r="G355" s="979"/>
      <c r="H355" s="981"/>
      <c r="I355" s="981"/>
      <c r="J355" s="979"/>
      <c r="K355" s="981" t="b">
        <v>0</v>
      </c>
      <c r="L355" s="980"/>
    </row>
    <row r="356">
      <c r="A356" s="974"/>
      <c r="B356" s="975"/>
      <c r="C356" s="974"/>
      <c r="D356" s="982"/>
      <c r="E356" s="982"/>
      <c r="F356" s="982"/>
      <c r="G356" s="974"/>
      <c r="H356" s="982"/>
      <c r="I356" s="982"/>
      <c r="J356" s="974"/>
      <c r="K356" s="982" t="b">
        <v>0</v>
      </c>
      <c r="L356" s="975"/>
    </row>
    <row r="357">
      <c r="A357" s="979"/>
      <c r="B357" s="980"/>
      <c r="C357" s="979"/>
      <c r="D357" s="981"/>
      <c r="E357" s="981"/>
      <c r="F357" s="981"/>
      <c r="G357" s="979"/>
      <c r="H357" s="981"/>
      <c r="I357" s="981"/>
      <c r="J357" s="979"/>
      <c r="K357" s="981" t="b">
        <v>0</v>
      </c>
      <c r="L357" s="980"/>
    </row>
    <row r="358">
      <c r="A358" s="974"/>
      <c r="B358" s="975"/>
      <c r="C358" s="974"/>
      <c r="D358" s="982"/>
      <c r="E358" s="982"/>
      <c r="F358" s="982"/>
      <c r="G358" s="974"/>
      <c r="H358" s="982"/>
      <c r="I358" s="982"/>
      <c r="J358" s="974"/>
      <c r="K358" s="982" t="b">
        <v>0</v>
      </c>
      <c r="L358" s="975"/>
    </row>
    <row r="359">
      <c r="A359" s="979"/>
      <c r="B359" s="980"/>
      <c r="C359" s="979"/>
      <c r="D359" s="981"/>
      <c r="E359" s="981"/>
      <c r="F359" s="981"/>
      <c r="G359" s="979"/>
      <c r="H359" s="981"/>
      <c r="I359" s="981"/>
      <c r="J359" s="979"/>
      <c r="K359" s="981" t="b">
        <v>0</v>
      </c>
      <c r="L359" s="980"/>
    </row>
    <row r="360">
      <c r="A360" s="974"/>
      <c r="B360" s="975"/>
      <c r="C360" s="974"/>
      <c r="D360" s="982"/>
      <c r="E360" s="982"/>
      <c r="F360" s="982"/>
      <c r="G360" s="974"/>
      <c r="H360" s="982"/>
      <c r="I360" s="982"/>
      <c r="J360" s="974"/>
      <c r="K360" s="982" t="b">
        <v>0</v>
      </c>
      <c r="L360" s="975"/>
    </row>
    <row r="361">
      <c r="A361" s="979"/>
      <c r="B361" s="980"/>
      <c r="C361" s="979"/>
      <c r="D361" s="981"/>
      <c r="E361" s="981"/>
      <c r="F361" s="981"/>
      <c r="G361" s="979"/>
      <c r="H361" s="981"/>
      <c r="I361" s="981"/>
      <c r="J361" s="979"/>
      <c r="K361" s="981" t="b">
        <v>0</v>
      </c>
      <c r="L361" s="980"/>
    </row>
    <row r="362">
      <c r="A362" s="974"/>
      <c r="B362" s="975"/>
      <c r="C362" s="974"/>
      <c r="D362" s="982"/>
      <c r="E362" s="982"/>
      <c r="F362" s="982"/>
      <c r="G362" s="974"/>
      <c r="H362" s="982"/>
      <c r="I362" s="982"/>
      <c r="J362" s="974"/>
      <c r="K362" s="982" t="b">
        <v>0</v>
      </c>
      <c r="L362" s="975"/>
    </row>
    <row r="363">
      <c r="A363" s="979"/>
      <c r="B363" s="980"/>
      <c r="C363" s="979"/>
      <c r="D363" s="981"/>
      <c r="E363" s="981"/>
      <c r="F363" s="981"/>
      <c r="G363" s="979"/>
      <c r="H363" s="981"/>
      <c r="I363" s="981"/>
      <c r="J363" s="979"/>
      <c r="K363" s="981" t="b">
        <v>0</v>
      </c>
      <c r="L363" s="980"/>
    </row>
    <row r="364">
      <c r="A364" s="974"/>
      <c r="B364" s="975"/>
      <c r="C364" s="974"/>
      <c r="D364" s="982"/>
      <c r="E364" s="982"/>
      <c r="F364" s="982"/>
      <c r="G364" s="974"/>
      <c r="H364" s="982"/>
      <c r="I364" s="982"/>
      <c r="J364" s="974"/>
      <c r="K364" s="982" t="b">
        <v>0</v>
      </c>
      <c r="L364" s="975"/>
    </row>
    <row r="365">
      <c r="A365" s="979"/>
      <c r="B365" s="980"/>
      <c r="C365" s="979"/>
      <c r="D365" s="981"/>
      <c r="E365" s="981"/>
      <c r="F365" s="981"/>
      <c r="G365" s="979"/>
      <c r="H365" s="981"/>
      <c r="I365" s="981"/>
      <c r="J365" s="979"/>
      <c r="K365" s="981" t="b">
        <v>0</v>
      </c>
      <c r="L365" s="980"/>
    </row>
    <row r="366">
      <c r="A366" s="974"/>
      <c r="B366" s="975"/>
      <c r="C366" s="974"/>
      <c r="D366" s="982"/>
      <c r="E366" s="982"/>
      <c r="F366" s="982"/>
      <c r="G366" s="974"/>
      <c r="H366" s="982"/>
      <c r="I366" s="982"/>
      <c r="J366" s="974"/>
      <c r="K366" s="982" t="b">
        <v>0</v>
      </c>
      <c r="L366" s="975"/>
    </row>
    <row r="367">
      <c r="A367" s="979"/>
      <c r="B367" s="980"/>
      <c r="C367" s="979"/>
      <c r="D367" s="981"/>
      <c r="E367" s="981"/>
      <c r="F367" s="981"/>
      <c r="G367" s="979"/>
      <c r="H367" s="981"/>
      <c r="I367" s="981"/>
      <c r="J367" s="979"/>
      <c r="K367" s="981" t="b">
        <v>0</v>
      </c>
      <c r="L367" s="980"/>
    </row>
    <row r="368">
      <c r="A368" s="974"/>
      <c r="B368" s="975"/>
      <c r="C368" s="974"/>
      <c r="D368" s="982"/>
      <c r="E368" s="982"/>
      <c r="F368" s="982"/>
      <c r="G368" s="974"/>
      <c r="H368" s="982"/>
      <c r="I368" s="982"/>
      <c r="J368" s="974"/>
      <c r="K368" s="982" t="b">
        <v>0</v>
      </c>
      <c r="L368" s="975"/>
    </row>
    <row r="369">
      <c r="A369" s="979"/>
      <c r="B369" s="980"/>
      <c r="C369" s="979"/>
      <c r="D369" s="981"/>
      <c r="E369" s="981"/>
      <c r="F369" s="981"/>
      <c r="G369" s="979"/>
      <c r="H369" s="981"/>
      <c r="I369" s="981"/>
      <c r="J369" s="979"/>
      <c r="K369" s="981" t="b">
        <v>0</v>
      </c>
      <c r="L369" s="980"/>
    </row>
    <row r="370">
      <c r="A370" s="974"/>
      <c r="B370" s="975"/>
      <c r="C370" s="974"/>
      <c r="D370" s="982"/>
      <c r="E370" s="982"/>
      <c r="F370" s="982"/>
      <c r="G370" s="974"/>
      <c r="H370" s="982"/>
      <c r="I370" s="982"/>
      <c r="J370" s="974"/>
      <c r="K370" s="982" t="b">
        <v>0</v>
      </c>
      <c r="L370" s="975"/>
    </row>
    <row r="371">
      <c r="A371" s="979"/>
      <c r="B371" s="980"/>
      <c r="C371" s="979"/>
      <c r="D371" s="981"/>
      <c r="E371" s="981"/>
      <c r="F371" s="981"/>
      <c r="G371" s="979"/>
      <c r="H371" s="981"/>
      <c r="I371" s="981"/>
      <c r="J371" s="979"/>
      <c r="K371" s="981" t="b">
        <v>0</v>
      </c>
      <c r="L371" s="980"/>
    </row>
    <row r="372">
      <c r="A372" s="974"/>
      <c r="B372" s="975"/>
      <c r="C372" s="974"/>
      <c r="D372" s="982"/>
      <c r="E372" s="982"/>
      <c r="F372" s="982"/>
      <c r="G372" s="974"/>
      <c r="H372" s="982"/>
      <c r="I372" s="982"/>
      <c r="J372" s="974"/>
      <c r="K372" s="982" t="b">
        <v>0</v>
      </c>
      <c r="L372" s="975"/>
    </row>
    <row r="373">
      <c r="A373" s="979"/>
      <c r="B373" s="980"/>
      <c r="C373" s="979"/>
      <c r="D373" s="981"/>
      <c r="E373" s="981"/>
      <c r="F373" s="981"/>
      <c r="G373" s="979"/>
      <c r="H373" s="981"/>
      <c r="I373" s="981"/>
      <c r="J373" s="979"/>
      <c r="K373" s="981" t="b">
        <v>0</v>
      </c>
      <c r="L373" s="980"/>
    </row>
    <row r="374">
      <c r="A374" s="974"/>
      <c r="B374" s="975"/>
      <c r="C374" s="974"/>
      <c r="D374" s="982"/>
      <c r="E374" s="982"/>
      <c r="F374" s="982"/>
      <c r="G374" s="974"/>
      <c r="H374" s="982"/>
      <c r="I374" s="982"/>
      <c r="J374" s="974"/>
      <c r="K374" s="982" t="b">
        <v>0</v>
      </c>
      <c r="L374" s="975"/>
    </row>
    <row r="375">
      <c r="A375" s="979"/>
      <c r="B375" s="980"/>
      <c r="C375" s="979"/>
      <c r="D375" s="981"/>
      <c r="E375" s="981"/>
      <c r="F375" s="981"/>
      <c r="G375" s="979"/>
      <c r="H375" s="981"/>
      <c r="I375" s="981"/>
      <c r="J375" s="979"/>
      <c r="K375" s="981" t="b">
        <v>0</v>
      </c>
      <c r="L375" s="980"/>
    </row>
    <row r="376">
      <c r="A376" s="974"/>
      <c r="B376" s="975"/>
      <c r="C376" s="974"/>
      <c r="D376" s="982"/>
      <c r="E376" s="982"/>
      <c r="F376" s="982"/>
      <c r="G376" s="974"/>
      <c r="H376" s="982"/>
      <c r="I376" s="982"/>
      <c r="J376" s="974"/>
      <c r="K376" s="982" t="b">
        <v>0</v>
      </c>
      <c r="L376" s="975"/>
    </row>
    <row r="377">
      <c r="A377" s="979"/>
      <c r="B377" s="980"/>
      <c r="C377" s="979"/>
      <c r="D377" s="981"/>
      <c r="E377" s="981"/>
      <c r="F377" s="981"/>
      <c r="G377" s="979"/>
      <c r="H377" s="981"/>
      <c r="I377" s="981"/>
      <c r="J377" s="979"/>
      <c r="K377" s="981" t="b">
        <v>0</v>
      </c>
      <c r="L377" s="980"/>
    </row>
    <row r="378">
      <c r="A378" s="974"/>
      <c r="B378" s="975"/>
      <c r="C378" s="974"/>
      <c r="D378" s="982"/>
      <c r="E378" s="982"/>
      <c r="F378" s="982"/>
      <c r="G378" s="974"/>
      <c r="H378" s="982"/>
      <c r="I378" s="982"/>
      <c r="J378" s="974"/>
      <c r="K378" s="982" t="b">
        <v>0</v>
      </c>
      <c r="L378" s="975"/>
    </row>
    <row r="379">
      <c r="A379" s="979"/>
      <c r="B379" s="980"/>
      <c r="C379" s="979"/>
      <c r="D379" s="981"/>
      <c r="E379" s="981"/>
      <c r="F379" s="981"/>
      <c r="G379" s="979"/>
      <c r="H379" s="981"/>
      <c r="I379" s="981"/>
      <c r="J379" s="979"/>
      <c r="K379" s="981" t="b">
        <v>0</v>
      </c>
      <c r="L379" s="980"/>
    </row>
    <row r="380">
      <c r="A380" s="974"/>
      <c r="B380" s="975"/>
      <c r="C380" s="974"/>
      <c r="D380" s="982"/>
      <c r="E380" s="982"/>
      <c r="F380" s="982"/>
      <c r="G380" s="974"/>
      <c r="H380" s="982"/>
      <c r="I380" s="982"/>
      <c r="J380" s="974"/>
      <c r="K380" s="982" t="b">
        <v>0</v>
      </c>
      <c r="L380" s="975"/>
    </row>
    <row r="381">
      <c r="A381" s="979"/>
      <c r="B381" s="980"/>
      <c r="C381" s="979"/>
      <c r="D381" s="981"/>
      <c r="E381" s="981"/>
      <c r="F381" s="981"/>
      <c r="G381" s="979"/>
      <c r="H381" s="981"/>
      <c r="I381" s="981"/>
      <c r="J381" s="979"/>
      <c r="K381" s="981" t="b">
        <v>0</v>
      </c>
      <c r="L381" s="980"/>
    </row>
    <row r="382">
      <c r="A382" s="974"/>
      <c r="B382" s="975"/>
      <c r="C382" s="974"/>
      <c r="D382" s="982"/>
      <c r="E382" s="982"/>
      <c r="F382" s="982"/>
      <c r="G382" s="974"/>
      <c r="H382" s="982"/>
      <c r="I382" s="982"/>
      <c r="J382" s="974"/>
      <c r="K382" s="982" t="b">
        <v>0</v>
      </c>
      <c r="L382" s="975"/>
    </row>
    <row r="383">
      <c r="A383" s="979"/>
      <c r="B383" s="980"/>
      <c r="C383" s="979"/>
      <c r="D383" s="981"/>
      <c r="E383" s="981"/>
      <c r="F383" s="981"/>
      <c r="G383" s="979"/>
      <c r="H383" s="981"/>
      <c r="I383" s="981"/>
      <c r="J383" s="979"/>
      <c r="K383" s="981" t="b">
        <v>0</v>
      </c>
      <c r="L383" s="980"/>
    </row>
    <row r="384">
      <c r="A384" s="974"/>
      <c r="B384" s="975"/>
      <c r="C384" s="974"/>
      <c r="D384" s="982"/>
      <c r="E384" s="982"/>
      <c r="F384" s="982"/>
      <c r="G384" s="974"/>
      <c r="H384" s="982"/>
      <c r="I384" s="982"/>
      <c r="J384" s="974"/>
      <c r="K384" s="982" t="b">
        <v>0</v>
      </c>
      <c r="L384" s="975"/>
    </row>
    <row r="385">
      <c r="A385" s="979"/>
      <c r="B385" s="980"/>
      <c r="C385" s="979"/>
      <c r="D385" s="981"/>
      <c r="E385" s="981"/>
      <c r="F385" s="981"/>
      <c r="G385" s="979"/>
      <c r="H385" s="981"/>
      <c r="I385" s="981"/>
      <c r="J385" s="979"/>
      <c r="K385" s="981" t="b">
        <v>0</v>
      </c>
      <c r="L385" s="980"/>
    </row>
    <row r="386">
      <c r="A386" s="974"/>
      <c r="B386" s="975"/>
      <c r="C386" s="974"/>
      <c r="D386" s="982"/>
      <c r="E386" s="982"/>
      <c r="F386" s="982"/>
      <c r="G386" s="974"/>
      <c r="H386" s="982"/>
      <c r="I386" s="982"/>
      <c r="J386" s="974"/>
      <c r="K386" s="982" t="b">
        <v>0</v>
      </c>
      <c r="L386" s="975"/>
    </row>
    <row r="387">
      <c r="A387" s="979"/>
      <c r="B387" s="980"/>
      <c r="C387" s="979"/>
      <c r="D387" s="981"/>
      <c r="E387" s="981"/>
      <c r="F387" s="981"/>
      <c r="G387" s="979"/>
      <c r="H387" s="981"/>
      <c r="I387" s="981"/>
      <c r="J387" s="979"/>
      <c r="K387" s="981" t="b">
        <v>0</v>
      </c>
      <c r="L387" s="980"/>
    </row>
    <row r="388">
      <c r="A388" s="974"/>
      <c r="B388" s="975"/>
      <c r="C388" s="974"/>
      <c r="D388" s="982"/>
      <c r="E388" s="982"/>
      <c r="F388" s="982"/>
      <c r="G388" s="974"/>
      <c r="H388" s="982"/>
      <c r="I388" s="982"/>
      <c r="J388" s="974"/>
      <c r="K388" s="982" t="b">
        <v>0</v>
      </c>
      <c r="L388" s="975"/>
    </row>
    <row r="389">
      <c r="A389" s="979"/>
      <c r="B389" s="980"/>
      <c r="C389" s="979"/>
      <c r="D389" s="981"/>
      <c r="E389" s="981"/>
      <c r="F389" s="981"/>
      <c r="G389" s="979"/>
      <c r="H389" s="981"/>
      <c r="I389" s="981"/>
      <c r="J389" s="979"/>
      <c r="K389" s="981" t="b">
        <v>0</v>
      </c>
      <c r="L389" s="980"/>
    </row>
    <row r="390">
      <c r="A390" s="974"/>
      <c r="B390" s="975"/>
      <c r="C390" s="974"/>
      <c r="D390" s="982"/>
      <c r="E390" s="982"/>
      <c r="F390" s="982"/>
      <c r="G390" s="974"/>
      <c r="H390" s="982"/>
      <c r="I390" s="982"/>
      <c r="J390" s="974"/>
      <c r="K390" s="982" t="b">
        <v>0</v>
      </c>
      <c r="L390" s="975"/>
    </row>
    <row r="391">
      <c r="A391" s="979"/>
      <c r="B391" s="980"/>
      <c r="C391" s="979"/>
      <c r="D391" s="981"/>
      <c r="E391" s="981"/>
      <c r="F391" s="981"/>
      <c r="G391" s="979"/>
      <c r="H391" s="981"/>
      <c r="I391" s="981"/>
      <c r="J391" s="979"/>
      <c r="K391" s="981" t="b">
        <v>0</v>
      </c>
      <c r="L391" s="980"/>
    </row>
    <row r="392">
      <c r="A392" s="974"/>
      <c r="B392" s="975"/>
      <c r="C392" s="974"/>
      <c r="D392" s="982"/>
      <c r="E392" s="982"/>
      <c r="F392" s="982"/>
      <c r="G392" s="974"/>
      <c r="H392" s="982"/>
      <c r="I392" s="982"/>
      <c r="J392" s="974"/>
      <c r="K392" s="982" t="b">
        <v>0</v>
      </c>
      <c r="L392" s="975"/>
    </row>
    <row r="393">
      <c r="A393" s="979"/>
      <c r="B393" s="980"/>
      <c r="C393" s="979"/>
      <c r="D393" s="981"/>
      <c r="E393" s="981"/>
      <c r="F393" s="981"/>
      <c r="G393" s="979"/>
      <c r="H393" s="981"/>
      <c r="I393" s="981"/>
      <c r="J393" s="979"/>
      <c r="K393" s="981" t="b">
        <v>0</v>
      </c>
      <c r="L393" s="980"/>
    </row>
    <row r="394">
      <c r="A394" s="974"/>
      <c r="B394" s="975"/>
      <c r="C394" s="974"/>
      <c r="D394" s="982"/>
      <c r="E394" s="982"/>
      <c r="F394" s="982"/>
      <c r="G394" s="974"/>
      <c r="H394" s="982"/>
      <c r="I394" s="982"/>
      <c r="J394" s="974"/>
      <c r="K394" s="982" t="b">
        <v>0</v>
      </c>
      <c r="L394" s="975"/>
    </row>
    <row r="395">
      <c r="A395" s="979"/>
      <c r="B395" s="980"/>
      <c r="C395" s="979"/>
      <c r="D395" s="981"/>
      <c r="E395" s="981"/>
      <c r="F395" s="981"/>
      <c r="G395" s="979"/>
      <c r="H395" s="981"/>
      <c r="I395" s="981"/>
      <c r="J395" s="979"/>
      <c r="K395" s="981" t="b">
        <v>0</v>
      </c>
      <c r="L395" s="980"/>
    </row>
    <row r="396">
      <c r="A396" s="974"/>
      <c r="B396" s="975"/>
      <c r="C396" s="974"/>
      <c r="D396" s="982"/>
      <c r="E396" s="982"/>
      <c r="F396" s="982"/>
      <c r="G396" s="974"/>
      <c r="H396" s="982"/>
      <c r="I396" s="982"/>
      <c r="J396" s="974"/>
      <c r="K396" s="982" t="b">
        <v>0</v>
      </c>
      <c r="L396" s="975"/>
    </row>
    <row r="397">
      <c r="A397" s="979"/>
      <c r="B397" s="980"/>
      <c r="C397" s="979"/>
      <c r="D397" s="981"/>
      <c r="E397" s="981"/>
      <c r="F397" s="981"/>
      <c r="G397" s="979"/>
      <c r="H397" s="981"/>
      <c r="I397" s="981"/>
      <c r="J397" s="979"/>
      <c r="K397" s="981" t="b">
        <v>0</v>
      </c>
      <c r="L397" s="980"/>
    </row>
    <row r="398">
      <c r="A398" s="974"/>
      <c r="B398" s="975"/>
      <c r="C398" s="974"/>
      <c r="D398" s="982"/>
      <c r="E398" s="982"/>
      <c r="F398" s="982"/>
      <c r="G398" s="974"/>
      <c r="H398" s="982"/>
      <c r="I398" s="982"/>
      <c r="J398" s="974"/>
      <c r="K398" s="982" t="b">
        <v>0</v>
      </c>
      <c r="L398" s="975"/>
    </row>
    <row r="399">
      <c r="A399" s="979"/>
      <c r="B399" s="980"/>
      <c r="C399" s="979"/>
      <c r="D399" s="981"/>
      <c r="E399" s="981"/>
      <c r="F399" s="981"/>
      <c r="G399" s="979"/>
      <c r="H399" s="981"/>
      <c r="I399" s="981"/>
      <c r="J399" s="979"/>
      <c r="K399" s="981" t="b">
        <v>0</v>
      </c>
      <c r="L399" s="980"/>
    </row>
    <row r="400">
      <c r="A400" s="974"/>
      <c r="B400" s="975"/>
      <c r="C400" s="974"/>
      <c r="D400" s="982"/>
      <c r="E400" s="982"/>
      <c r="F400" s="982"/>
      <c r="G400" s="974"/>
      <c r="H400" s="982"/>
      <c r="I400" s="982"/>
      <c r="J400" s="974"/>
      <c r="K400" s="982" t="b">
        <v>0</v>
      </c>
      <c r="L400" s="975"/>
    </row>
    <row r="401">
      <c r="A401" s="979"/>
      <c r="B401" s="980"/>
      <c r="C401" s="979"/>
      <c r="D401" s="981"/>
      <c r="E401" s="981"/>
      <c r="F401" s="981"/>
      <c r="G401" s="979"/>
      <c r="H401" s="981"/>
      <c r="I401" s="981"/>
      <c r="J401" s="979"/>
      <c r="K401" s="981" t="b">
        <v>0</v>
      </c>
      <c r="L401" s="980"/>
    </row>
    <row r="402">
      <c r="A402" s="974"/>
      <c r="B402" s="975"/>
      <c r="C402" s="974"/>
      <c r="D402" s="982"/>
      <c r="E402" s="982"/>
      <c r="F402" s="982"/>
      <c r="G402" s="974"/>
      <c r="H402" s="982"/>
      <c r="I402" s="982"/>
      <c r="J402" s="974"/>
      <c r="K402" s="982" t="b">
        <v>0</v>
      </c>
      <c r="L402" s="975"/>
    </row>
    <row r="403">
      <c r="A403" s="979"/>
      <c r="B403" s="980"/>
      <c r="C403" s="979"/>
      <c r="D403" s="981"/>
      <c r="E403" s="981"/>
      <c r="F403" s="981"/>
      <c r="G403" s="979"/>
      <c r="H403" s="981"/>
      <c r="I403" s="981"/>
      <c r="J403" s="979"/>
      <c r="K403" s="981" t="b">
        <v>0</v>
      </c>
      <c r="L403" s="980"/>
    </row>
    <row r="404">
      <c r="A404" s="974"/>
      <c r="B404" s="975"/>
      <c r="C404" s="974"/>
      <c r="D404" s="982"/>
      <c r="E404" s="982"/>
      <c r="F404" s="982"/>
      <c r="G404" s="974"/>
      <c r="H404" s="982"/>
      <c r="I404" s="982"/>
      <c r="J404" s="974"/>
      <c r="K404" s="982" t="b">
        <v>0</v>
      </c>
      <c r="L404" s="975"/>
    </row>
    <row r="405">
      <c r="A405" s="979"/>
      <c r="B405" s="980"/>
      <c r="C405" s="979"/>
      <c r="D405" s="981"/>
      <c r="E405" s="981"/>
      <c r="F405" s="981"/>
      <c r="G405" s="979"/>
      <c r="H405" s="981"/>
      <c r="I405" s="981"/>
      <c r="J405" s="979"/>
      <c r="K405" s="981" t="b">
        <v>0</v>
      </c>
      <c r="L405" s="980"/>
    </row>
    <row r="406">
      <c r="A406" s="974"/>
      <c r="B406" s="975"/>
      <c r="C406" s="974"/>
      <c r="D406" s="982"/>
      <c r="E406" s="982"/>
      <c r="F406" s="982"/>
      <c r="G406" s="974"/>
      <c r="H406" s="982"/>
      <c r="I406" s="982"/>
      <c r="J406" s="974"/>
      <c r="K406" s="982" t="b">
        <v>0</v>
      </c>
      <c r="L406" s="975"/>
    </row>
    <row r="407">
      <c r="A407" s="979"/>
      <c r="B407" s="980"/>
      <c r="C407" s="979"/>
      <c r="D407" s="981"/>
      <c r="E407" s="981"/>
      <c r="F407" s="981"/>
      <c r="G407" s="979"/>
      <c r="H407" s="981"/>
      <c r="I407" s="981"/>
      <c r="J407" s="979"/>
      <c r="K407" s="981" t="b">
        <v>0</v>
      </c>
      <c r="L407" s="980"/>
    </row>
    <row r="408">
      <c r="A408" s="974"/>
      <c r="B408" s="975"/>
      <c r="C408" s="974"/>
      <c r="D408" s="982"/>
      <c r="E408" s="982"/>
      <c r="F408" s="982"/>
      <c r="G408" s="974"/>
      <c r="H408" s="982"/>
      <c r="I408" s="982"/>
      <c r="J408" s="974"/>
      <c r="K408" s="982" t="b">
        <v>0</v>
      </c>
      <c r="L408" s="975"/>
    </row>
    <row r="409">
      <c r="A409" s="979"/>
      <c r="B409" s="980"/>
      <c r="C409" s="979"/>
      <c r="D409" s="981"/>
      <c r="E409" s="981"/>
      <c r="F409" s="981"/>
      <c r="G409" s="979"/>
      <c r="H409" s="981"/>
      <c r="I409" s="981"/>
      <c r="J409" s="979"/>
      <c r="K409" s="981" t="b">
        <v>0</v>
      </c>
      <c r="L409" s="980"/>
    </row>
    <row r="410">
      <c r="A410" s="974"/>
      <c r="B410" s="975"/>
      <c r="C410" s="974"/>
      <c r="D410" s="982"/>
      <c r="E410" s="982"/>
      <c r="F410" s="982"/>
      <c r="G410" s="974"/>
      <c r="H410" s="982"/>
      <c r="I410" s="982"/>
      <c r="J410" s="974"/>
      <c r="K410" s="982" t="b">
        <v>0</v>
      </c>
      <c r="L410" s="975"/>
    </row>
    <row r="411">
      <c r="A411" s="979"/>
      <c r="B411" s="980"/>
      <c r="C411" s="979"/>
      <c r="D411" s="981"/>
      <c r="E411" s="981"/>
      <c r="F411" s="981"/>
      <c r="G411" s="979"/>
      <c r="H411" s="981"/>
      <c r="I411" s="981"/>
      <c r="J411" s="979"/>
      <c r="K411" s="981" t="b">
        <v>0</v>
      </c>
      <c r="L411" s="980"/>
    </row>
    <row r="412">
      <c r="A412" s="974"/>
      <c r="B412" s="975"/>
      <c r="C412" s="974"/>
      <c r="D412" s="982"/>
      <c r="E412" s="982"/>
      <c r="F412" s="982"/>
      <c r="G412" s="974"/>
      <c r="H412" s="982"/>
      <c r="I412" s="982"/>
      <c r="J412" s="974"/>
      <c r="K412" s="982" t="b">
        <v>0</v>
      </c>
      <c r="L412" s="975"/>
    </row>
    <row r="413">
      <c r="A413" s="979"/>
      <c r="B413" s="980"/>
      <c r="C413" s="979"/>
      <c r="D413" s="981"/>
      <c r="E413" s="981"/>
      <c r="F413" s="981"/>
      <c r="G413" s="979"/>
      <c r="H413" s="981"/>
      <c r="I413" s="981"/>
      <c r="J413" s="979"/>
      <c r="K413" s="981" t="b">
        <v>0</v>
      </c>
      <c r="L413" s="980"/>
    </row>
    <row r="414">
      <c r="A414" s="974"/>
      <c r="B414" s="975"/>
      <c r="C414" s="974"/>
      <c r="D414" s="982"/>
      <c r="E414" s="982"/>
      <c r="F414" s="982"/>
      <c r="G414" s="974"/>
      <c r="H414" s="982"/>
      <c r="I414" s="982"/>
      <c r="J414" s="974"/>
      <c r="K414" s="982" t="b">
        <v>0</v>
      </c>
      <c r="L414" s="975"/>
    </row>
    <row r="415">
      <c r="A415" s="979"/>
      <c r="B415" s="980"/>
      <c r="C415" s="979"/>
      <c r="D415" s="981"/>
      <c r="E415" s="981"/>
      <c r="F415" s="981"/>
      <c r="G415" s="979"/>
      <c r="H415" s="981"/>
      <c r="I415" s="981"/>
      <c r="J415" s="979"/>
      <c r="K415" s="981" t="b">
        <v>0</v>
      </c>
      <c r="L415" s="980"/>
    </row>
    <row r="416">
      <c r="A416" s="974"/>
      <c r="B416" s="975"/>
      <c r="C416" s="974"/>
      <c r="D416" s="982"/>
      <c r="E416" s="982"/>
      <c r="F416" s="982"/>
      <c r="G416" s="974"/>
      <c r="H416" s="982"/>
      <c r="I416" s="982"/>
      <c r="J416" s="974"/>
      <c r="K416" s="982" t="b">
        <v>0</v>
      </c>
      <c r="L416" s="975"/>
    </row>
    <row r="417">
      <c r="A417" s="979"/>
      <c r="B417" s="980"/>
      <c r="C417" s="979"/>
      <c r="D417" s="981"/>
      <c r="E417" s="981"/>
      <c r="F417" s="981"/>
      <c r="G417" s="979"/>
      <c r="H417" s="981"/>
      <c r="I417" s="981"/>
      <c r="J417" s="979"/>
      <c r="K417" s="981" t="b">
        <v>0</v>
      </c>
      <c r="L417" s="980"/>
    </row>
    <row r="418">
      <c r="A418" s="974"/>
      <c r="B418" s="975"/>
      <c r="C418" s="974"/>
      <c r="D418" s="982"/>
      <c r="E418" s="982"/>
      <c r="F418" s="982"/>
      <c r="G418" s="974"/>
      <c r="H418" s="982"/>
      <c r="I418" s="982"/>
      <c r="J418" s="974"/>
      <c r="K418" s="982" t="b">
        <v>0</v>
      </c>
      <c r="L418" s="975"/>
    </row>
    <row r="419">
      <c r="A419" s="979"/>
      <c r="B419" s="980"/>
      <c r="C419" s="979"/>
      <c r="D419" s="981"/>
      <c r="E419" s="981"/>
      <c r="F419" s="981"/>
      <c r="G419" s="979"/>
      <c r="H419" s="981"/>
      <c r="I419" s="981"/>
      <c r="J419" s="979"/>
      <c r="K419" s="981" t="b">
        <v>0</v>
      </c>
      <c r="L419" s="980"/>
    </row>
    <row r="420">
      <c r="A420" s="974"/>
      <c r="B420" s="975"/>
      <c r="C420" s="974"/>
      <c r="D420" s="982"/>
      <c r="E420" s="982"/>
      <c r="F420" s="982"/>
      <c r="G420" s="974"/>
      <c r="H420" s="982"/>
      <c r="I420" s="982"/>
      <c r="J420" s="974"/>
      <c r="K420" s="982" t="b">
        <v>0</v>
      </c>
      <c r="L420" s="975"/>
    </row>
    <row r="421">
      <c r="A421" s="979"/>
      <c r="B421" s="980"/>
      <c r="C421" s="979"/>
      <c r="D421" s="981"/>
      <c r="E421" s="981"/>
      <c r="F421" s="981"/>
      <c r="G421" s="979"/>
      <c r="H421" s="981"/>
      <c r="I421" s="981"/>
      <c r="J421" s="979"/>
      <c r="K421" s="981" t="b">
        <v>0</v>
      </c>
      <c r="L421" s="980"/>
    </row>
    <row r="422">
      <c r="A422" s="974"/>
      <c r="B422" s="975"/>
      <c r="C422" s="974"/>
      <c r="D422" s="982"/>
      <c r="E422" s="982"/>
      <c r="F422" s="982"/>
      <c r="G422" s="974"/>
      <c r="H422" s="982"/>
      <c r="I422" s="982"/>
      <c r="J422" s="974"/>
      <c r="K422" s="982" t="b">
        <v>0</v>
      </c>
      <c r="L422" s="975"/>
    </row>
    <row r="423">
      <c r="A423" s="979"/>
      <c r="B423" s="980"/>
      <c r="C423" s="979"/>
      <c r="D423" s="981"/>
      <c r="E423" s="981"/>
      <c r="F423" s="981"/>
      <c r="G423" s="979"/>
      <c r="H423" s="981"/>
      <c r="I423" s="981"/>
      <c r="J423" s="979"/>
      <c r="K423" s="981" t="b">
        <v>0</v>
      </c>
      <c r="L423" s="980"/>
    </row>
    <row r="424">
      <c r="A424" s="974"/>
      <c r="B424" s="975"/>
      <c r="C424" s="974"/>
      <c r="D424" s="982"/>
      <c r="E424" s="982"/>
      <c r="F424" s="982"/>
      <c r="G424" s="974"/>
      <c r="H424" s="982"/>
      <c r="I424" s="982"/>
      <c r="J424" s="974"/>
      <c r="K424" s="982" t="b">
        <v>0</v>
      </c>
      <c r="L424" s="975"/>
    </row>
    <row r="425">
      <c r="A425" s="979"/>
      <c r="B425" s="980"/>
      <c r="C425" s="979"/>
      <c r="D425" s="981"/>
      <c r="E425" s="981"/>
      <c r="F425" s="981"/>
      <c r="G425" s="979"/>
      <c r="H425" s="981"/>
      <c r="I425" s="981"/>
      <c r="J425" s="979"/>
      <c r="K425" s="981" t="b">
        <v>0</v>
      </c>
      <c r="L425" s="980"/>
    </row>
    <row r="426">
      <c r="A426" s="974"/>
      <c r="B426" s="975"/>
      <c r="C426" s="974"/>
      <c r="D426" s="982"/>
      <c r="E426" s="982"/>
      <c r="F426" s="982"/>
      <c r="G426" s="974"/>
      <c r="H426" s="982"/>
      <c r="I426" s="982"/>
      <c r="J426" s="974"/>
      <c r="K426" s="982" t="b">
        <v>0</v>
      </c>
      <c r="L426" s="975"/>
    </row>
    <row r="427">
      <c r="A427" s="979"/>
      <c r="B427" s="980"/>
      <c r="C427" s="979"/>
      <c r="D427" s="981"/>
      <c r="E427" s="981"/>
      <c r="F427" s="981"/>
      <c r="G427" s="979"/>
      <c r="H427" s="981"/>
      <c r="I427" s="981"/>
      <c r="J427" s="979"/>
      <c r="K427" s="981" t="b">
        <v>0</v>
      </c>
      <c r="L427" s="980"/>
    </row>
    <row r="428">
      <c r="A428" s="974"/>
      <c r="B428" s="975"/>
      <c r="C428" s="974"/>
      <c r="D428" s="982"/>
      <c r="E428" s="982"/>
      <c r="F428" s="982"/>
      <c r="G428" s="974"/>
      <c r="H428" s="982"/>
      <c r="I428" s="982"/>
      <c r="J428" s="974"/>
      <c r="K428" s="982" t="b">
        <v>0</v>
      </c>
      <c r="L428" s="975"/>
    </row>
    <row r="429">
      <c r="A429" s="979"/>
      <c r="B429" s="980"/>
      <c r="C429" s="979"/>
      <c r="D429" s="981"/>
      <c r="E429" s="981"/>
      <c r="F429" s="981"/>
      <c r="G429" s="979"/>
      <c r="H429" s="981"/>
      <c r="I429" s="981"/>
      <c r="J429" s="979"/>
      <c r="K429" s="981" t="b">
        <v>0</v>
      </c>
      <c r="L429" s="980"/>
    </row>
    <row r="430">
      <c r="A430" s="974"/>
      <c r="B430" s="975"/>
      <c r="C430" s="974"/>
      <c r="D430" s="982"/>
      <c r="E430" s="982"/>
      <c r="F430" s="982"/>
      <c r="G430" s="974"/>
      <c r="H430" s="982"/>
      <c r="I430" s="982"/>
      <c r="J430" s="974"/>
      <c r="K430" s="982" t="b">
        <v>0</v>
      </c>
      <c r="L430" s="975"/>
    </row>
    <row r="431">
      <c r="A431" s="979"/>
      <c r="B431" s="980"/>
      <c r="C431" s="979"/>
      <c r="D431" s="981"/>
      <c r="E431" s="981"/>
      <c r="F431" s="981"/>
      <c r="G431" s="979"/>
      <c r="H431" s="981"/>
      <c r="I431" s="981"/>
      <c r="J431" s="979"/>
      <c r="K431" s="981" t="b">
        <v>0</v>
      </c>
      <c r="L431" s="980"/>
    </row>
    <row r="432">
      <c r="A432" s="974"/>
      <c r="B432" s="975"/>
      <c r="C432" s="974"/>
      <c r="D432" s="982"/>
      <c r="E432" s="982"/>
      <c r="F432" s="982"/>
      <c r="G432" s="974"/>
      <c r="H432" s="982"/>
      <c r="I432" s="982"/>
      <c r="J432" s="974"/>
      <c r="K432" s="982" t="b">
        <v>0</v>
      </c>
      <c r="L432" s="975"/>
    </row>
    <row r="433">
      <c r="A433" s="979"/>
      <c r="B433" s="980"/>
      <c r="C433" s="979"/>
      <c r="D433" s="981"/>
      <c r="E433" s="981"/>
      <c r="F433" s="981"/>
      <c r="G433" s="979"/>
      <c r="H433" s="981"/>
      <c r="I433" s="981"/>
      <c r="J433" s="979"/>
      <c r="K433" s="981" t="b">
        <v>0</v>
      </c>
      <c r="L433" s="980"/>
    </row>
    <row r="434">
      <c r="A434" s="974"/>
      <c r="B434" s="975"/>
      <c r="C434" s="974"/>
      <c r="D434" s="982"/>
      <c r="E434" s="982"/>
      <c r="F434" s="982"/>
      <c r="G434" s="974"/>
      <c r="H434" s="982"/>
      <c r="I434" s="982"/>
      <c r="J434" s="974"/>
      <c r="K434" s="982" t="b">
        <v>0</v>
      </c>
      <c r="L434" s="975"/>
    </row>
    <row r="435">
      <c r="A435" s="979"/>
      <c r="B435" s="980"/>
      <c r="C435" s="979"/>
      <c r="D435" s="981"/>
      <c r="E435" s="981"/>
      <c r="F435" s="981"/>
      <c r="G435" s="979"/>
      <c r="H435" s="981"/>
      <c r="I435" s="981"/>
      <c r="J435" s="979"/>
      <c r="K435" s="981" t="b">
        <v>0</v>
      </c>
      <c r="L435" s="980"/>
    </row>
    <row r="436">
      <c r="A436" s="974"/>
      <c r="B436" s="975"/>
      <c r="C436" s="974"/>
      <c r="D436" s="982"/>
      <c r="E436" s="982"/>
      <c r="F436" s="982"/>
      <c r="G436" s="974"/>
      <c r="H436" s="982"/>
      <c r="I436" s="982"/>
      <c r="J436" s="974"/>
      <c r="K436" s="982" t="b">
        <v>0</v>
      </c>
      <c r="L436" s="975"/>
    </row>
    <row r="437">
      <c r="A437" s="979"/>
      <c r="B437" s="980"/>
      <c r="C437" s="979"/>
      <c r="D437" s="981"/>
      <c r="E437" s="981"/>
      <c r="F437" s="981"/>
      <c r="G437" s="979"/>
      <c r="H437" s="981"/>
      <c r="I437" s="981"/>
      <c r="J437" s="979"/>
      <c r="K437" s="981" t="b">
        <v>0</v>
      </c>
      <c r="L437" s="980"/>
    </row>
    <row r="438">
      <c r="A438" s="974"/>
      <c r="B438" s="975"/>
      <c r="C438" s="974"/>
      <c r="D438" s="982"/>
      <c r="E438" s="982"/>
      <c r="F438" s="982"/>
      <c r="G438" s="974"/>
      <c r="H438" s="982"/>
      <c r="I438" s="982"/>
      <c r="J438" s="974"/>
      <c r="K438" s="982" t="b">
        <v>0</v>
      </c>
      <c r="L438" s="975"/>
    </row>
    <row r="439">
      <c r="A439" s="979"/>
      <c r="B439" s="980"/>
      <c r="C439" s="979"/>
      <c r="D439" s="981"/>
      <c r="E439" s="981"/>
      <c r="F439" s="981"/>
      <c r="G439" s="979"/>
      <c r="H439" s="981"/>
      <c r="I439" s="981"/>
      <c r="J439" s="979"/>
      <c r="K439" s="981" t="b">
        <v>0</v>
      </c>
      <c r="L439" s="980"/>
    </row>
    <row r="440">
      <c r="A440" s="974"/>
      <c r="B440" s="975"/>
      <c r="C440" s="974"/>
      <c r="D440" s="982"/>
      <c r="E440" s="982"/>
      <c r="F440" s="982"/>
      <c r="G440" s="974"/>
      <c r="H440" s="982"/>
      <c r="I440" s="982"/>
      <c r="J440" s="974"/>
      <c r="K440" s="982" t="b">
        <v>0</v>
      </c>
      <c r="L440" s="975"/>
    </row>
    <row r="441">
      <c r="A441" s="979"/>
      <c r="B441" s="980"/>
      <c r="C441" s="979"/>
      <c r="D441" s="981"/>
      <c r="E441" s="981"/>
      <c r="F441" s="981"/>
      <c r="G441" s="979"/>
      <c r="H441" s="981"/>
      <c r="I441" s="981"/>
      <c r="J441" s="979"/>
      <c r="K441" s="981" t="b">
        <v>0</v>
      </c>
      <c r="L441" s="980"/>
    </row>
    <row r="442">
      <c r="A442" s="974"/>
      <c r="B442" s="975"/>
      <c r="C442" s="974"/>
      <c r="D442" s="982"/>
      <c r="E442" s="982"/>
      <c r="F442" s="982"/>
      <c r="G442" s="974"/>
      <c r="H442" s="982"/>
      <c r="I442" s="982"/>
      <c r="J442" s="974"/>
      <c r="K442" s="982" t="b">
        <v>0</v>
      </c>
      <c r="L442" s="975"/>
    </row>
    <row r="443">
      <c r="A443" s="979"/>
      <c r="B443" s="980"/>
      <c r="C443" s="979"/>
      <c r="D443" s="981"/>
      <c r="E443" s="981"/>
      <c r="F443" s="981"/>
      <c r="G443" s="979"/>
      <c r="H443" s="981"/>
      <c r="I443" s="981"/>
      <c r="J443" s="979"/>
      <c r="K443" s="981" t="b">
        <v>0</v>
      </c>
      <c r="L443" s="980"/>
    </row>
    <row r="444">
      <c r="A444" s="974"/>
      <c r="B444" s="975"/>
      <c r="C444" s="974"/>
      <c r="D444" s="982"/>
      <c r="E444" s="982"/>
      <c r="F444" s="982"/>
      <c r="G444" s="974"/>
      <c r="H444" s="982"/>
      <c r="I444" s="982"/>
      <c r="J444" s="974"/>
      <c r="K444" s="982" t="b">
        <v>0</v>
      </c>
      <c r="L444" s="975"/>
    </row>
    <row r="445">
      <c r="A445" s="979"/>
      <c r="B445" s="980"/>
      <c r="C445" s="979"/>
      <c r="D445" s="981"/>
      <c r="E445" s="981"/>
      <c r="F445" s="981"/>
      <c r="G445" s="979"/>
      <c r="H445" s="981"/>
      <c r="I445" s="981"/>
      <c r="J445" s="979"/>
      <c r="K445" s="981" t="b">
        <v>0</v>
      </c>
      <c r="L445" s="980"/>
    </row>
    <row r="446">
      <c r="A446" s="974"/>
      <c r="B446" s="975"/>
      <c r="C446" s="974"/>
      <c r="D446" s="982"/>
      <c r="E446" s="982"/>
      <c r="F446" s="982"/>
      <c r="G446" s="974"/>
      <c r="H446" s="982"/>
      <c r="I446" s="982"/>
      <c r="J446" s="974"/>
      <c r="K446" s="982" t="b">
        <v>0</v>
      </c>
      <c r="L446" s="975"/>
    </row>
    <row r="447">
      <c r="A447" s="979"/>
      <c r="B447" s="980"/>
      <c r="C447" s="979"/>
      <c r="D447" s="981"/>
      <c r="E447" s="981"/>
      <c r="F447" s="981"/>
      <c r="G447" s="979"/>
      <c r="H447" s="981"/>
      <c r="I447" s="981"/>
      <c r="J447" s="979"/>
      <c r="K447" s="981" t="b">
        <v>0</v>
      </c>
      <c r="L447" s="980"/>
    </row>
    <row r="448">
      <c r="A448" s="974"/>
      <c r="B448" s="975"/>
      <c r="C448" s="974"/>
      <c r="D448" s="982"/>
      <c r="E448" s="982"/>
      <c r="F448" s="982"/>
      <c r="G448" s="974"/>
      <c r="H448" s="982"/>
      <c r="I448" s="982"/>
      <c r="J448" s="974"/>
      <c r="K448" s="982" t="b">
        <v>0</v>
      </c>
      <c r="L448" s="975"/>
    </row>
    <row r="449">
      <c r="A449" s="979"/>
      <c r="B449" s="980"/>
      <c r="C449" s="979"/>
      <c r="D449" s="981"/>
      <c r="E449" s="981"/>
      <c r="F449" s="981"/>
      <c r="G449" s="979"/>
      <c r="H449" s="981"/>
      <c r="I449" s="981"/>
      <c r="J449" s="979"/>
      <c r="K449" s="981" t="b">
        <v>0</v>
      </c>
      <c r="L449" s="980"/>
    </row>
    <row r="450">
      <c r="A450" s="974"/>
      <c r="B450" s="975"/>
      <c r="C450" s="974"/>
      <c r="D450" s="982"/>
      <c r="E450" s="982"/>
      <c r="F450" s="982"/>
      <c r="G450" s="974"/>
      <c r="H450" s="982"/>
      <c r="I450" s="982"/>
      <c r="J450" s="974"/>
      <c r="K450" s="982" t="b">
        <v>0</v>
      </c>
      <c r="L450" s="975"/>
    </row>
    <row r="451">
      <c r="A451" s="979"/>
      <c r="B451" s="980"/>
      <c r="C451" s="979"/>
      <c r="D451" s="981"/>
      <c r="E451" s="981"/>
      <c r="F451" s="981"/>
      <c r="G451" s="979"/>
      <c r="H451" s="981"/>
      <c r="I451" s="981"/>
      <c r="J451" s="979"/>
      <c r="K451" s="981" t="b">
        <v>0</v>
      </c>
      <c r="L451" s="980"/>
    </row>
    <row r="452">
      <c r="A452" s="974"/>
      <c r="B452" s="975"/>
      <c r="C452" s="974"/>
      <c r="D452" s="982"/>
      <c r="E452" s="982"/>
      <c r="F452" s="982"/>
      <c r="G452" s="974"/>
      <c r="H452" s="982"/>
      <c r="I452" s="982"/>
      <c r="J452" s="974"/>
      <c r="K452" s="982" t="b">
        <v>0</v>
      </c>
      <c r="L452" s="975"/>
    </row>
    <row r="453">
      <c r="A453" s="979"/>
      <c r="B453" s="980"/>
      <c r="C453" s="979"/>
      <c r="D453" s="981"/>
      <c r="E453" s="981"/>
      <c r="F453" s="981"/>
      <c r="G453" s="979"/>
      <c r="H453" s="981"/>
      <c r="I453" s="981"/>
      <c r="J453" s="979"/>
      <c r="K453" s="981" t="b">
        <v>0</v>
      </c>
      <c r="L453" s="980"/>
    </row>
    <row r="454">
      <c r="A454" s="974"/>
      <c r="B454" s="975"/>
      <c r="C454" s="974"/>
      <c r="D454" s="982"/>
      <c r="E454" s="982"/>
      <c r="F454" s="982"/>
      <c r="G454" s="974"/>
      <c r="H454" s="982"/>
      <c r="I454" s="982"/>
      <c r="J454" s="974"/>
      <c r="K454" s="982" t="b">
        <v>0</v>
      </c>
      <c r="L454" s="975"/>
    </row>
    <row r="455">
      <c r="A455" s="979"/>
      <c r="B455" s="980"/>
      <c r="C455" s="979"/>
      <c r="D455" s="981"/>
      <c r="E455" s="981"/>
      <c r="F455" s="981"/>
      <c r="G455" s="979"/>
      <c r="H455" s="981"/>
      <c r="I455" s="981"/>
      <c r="J455" s="979"/>
      <c r="K455" s="981" t="b">
        <v>0</v>
      </c>
      <c r="L455" s="980"/>
    </row>
    <row r="456">
      <c r="A456" s="974"/>
      <c r="B456" s="975"/>
      <c r="C456" s="974"/>
      <c r="D456" s="982"/>
      <c r="E456" s="982"/>
      <c r="F456" s="982"/>
      <c r="G456" s="974"/>
      <c r="H456" s="982"/>
      <c r="I456" s="982"/>
      <c r="J456" s="974"/>
      <c r="K456" s="982" t="b">
        <v>0</v>
      </c>
      <c r="L456" s="975"/>
    </row>
    <row r="457">
      <c r="A457" s="979"/>
      <c r="B457" s="980"/>
      <c r="C457" s="979"/>
      <c r="D457" s="981"/>
      <c r="E457" s="981"/>
      <c r="F457" s="981"/>
      <c r="G457" s="979"/>
      <c r="H457" s="981"/>
      <c r="I457" s="981"/>
      <c r="J457" s="979"/>
      <c r="K457" s="981" t="b">
        <v>0</v>
      </c>
      <c r="L457" s="980"/>
    </row>
    <row r="458">
      <c r="A458" s="974"/>
      <c r="B458" s="975"/>
      <c r="C458" s="974"/>
      <c r="D458" s="982"/>
      <c r="E458" s="982"/>
      <c r="F458" s="982"/>
      <c r="G458" s="974"/>
      <c r="H458" s="982"/>
      <c r="I458" s="982"/>
      <c r="J458" s="974"/>
      <c r="K458" s="982" t="b">
        <v>0</v>
      </c>
      <c r="L458" s="975"/>
    </row>
    <row r="459">
      <c r="A459" s="979"/>
      <c r="B459" s="980"/>
      <c r="C459" s="979"/>
      <c r="D459" s="981"/>
      <c r="E459" s="981"/>
      <c r="F459" s="981"/>
      <c r="G459" s="979"/>
      <c r="H459" s="981"/>
      <c r="I459" s="981"/>
      <c r="J459" s="979"/>
      <c r="K459" s="981" t="b">
        <v>0</v>
      </c>
      <c r="L459" s="980"/>
    </row>
    <row r="460">
      <c r="A460" s="974"/>
      <c r="B460" s="975"/>
      <c r="C460" s="974"/>
      <c r="D460" s="982"/>
      <c r="E460" s="982"/>
      <c r="F460" s="982"/>
      <c r="G460" s="974"/>
      <c r="H460" s="982"/>
      <c r="I460" s="982"/>
      <c r="J460" s="974"/>
      <c r="K460" s="982" t="b">
        <v>0</v>
      </c>
      <c r="L460" s="975"/>
    </row>
    <row r="461">
      <c r="A461" s="979"/>
      <c r="B461" s="980"/>
      <c r="C461" s="979"/>
      <c r="D461" s="981"/>
      <c r="E461" s="981"/>
      <c r="F461" s="981"/>
      <c r="G461" s="979"/>
      <c r="H461" s="981"/>
      <c r="I461" s="981"/>
      <c r="J461" s="979"/>
      <c r="K461" s="981" t="b">
        <v>0</v>
      </c>
      <c r="L461" s="980"/>
    </row>
    <row r="462">
      <c r="A462" s="974"/>
      <c r="B462" s="975"/>
      <c r="C462" s="974"/>
      <c r="D462" s="982"/>
      <c r="E462" s="982"/>
      <c r="F462" s="982"/>
      <c r="G462" s="974"/>
      <c r="H462" s="982"/>
      <c r="I462" s="982"/>
      <c r="J462" s="974"/>
      <c r="K462" s="982" t="b">
        <v>0</v>
      </c>
      <c r="L462" s="975"/>
    </row>
    <row r="463">
      <c r="A463" s="979"/>
      <c r="B463" s="980"/>
      <c r="C463" s="979"/>
      <c r="D463" s="981"/>
      <c r="E463" s="981"/>
      <c r="F463" s="981"/>
      <c r="G463" s="979"/>
      <c r="H463" s="981"/>
      <c r="I463" s="981"/>
      <c r="J463" s="979"/>
      <c r="K463" s="981" t="b">
        <v>0</v>
      </c>
      <c r="L463" s="980"/>
    </row>
    <row r="464">
      <c r="A464" s="974"/>
      <c r="B464" s="975"/>
      <c r="C464" s="974"/>
      <c r="D464" s="982"/>
      <c r="E464" s="982"/>
      <c r="F464" s="982"/>
      <c r="G464" s="974"/>
      <c r="H464" s="982"/>
      <c r="I464" s="982"/>
      <c r="J464" s="974"/>
      <c r="K464" s="982" t="b">
        <v>0</v>
      </c>
      <c r="L464" s="975"/>
    </row>
    <row r="465">
      <c r="A465" s="979"/>
      <c r="B465" s="980"/>
      <c r="C465" s="979"/>
      <c r="D465" s="981"/>
      <c r="E465" s="981"/>
      <c r="F465" s="981"/>
      <c r="G465" s="979"/>
      <c r="H465" s="981"/>
      <c r="I465" s="981"/>
      <c r="J465" s="979"/>
      <c r="K465" s="981" t="b">
        <v>0</v>
      </c>
      <c r="L465" s="980"/>
    </row>
    <row r="466">
      <c r="A466" s="974"/>
      <c r="B466" s="975"/>
      <c r="C466" s="974"/>
      <c r="D466" s="982"/>
      <c r="E466" s="982"/>
      <c r="F466" s="982"/>
      <c r="G466" s="974"/>
      <c r="H466" s="982"/>
      <c r="I466" s="982"/>
      <c r="J466" s="974"/>
      <c r="K466" s="982" t="b">
        <v>0</v>
      </c>
      <c r="L466" s="975"/>
    </row>
    <row r="467">
      <c r="A467" s="979"/>
      <c r="B467" s="980"/>
      <c r="C467" s="979"/>
      <c r="D467" s="981"/>
      <c r="E467" s="981"/>
      <c r="F467" s="981"/>
      <c r="G467" s="979"/>
      <c r="H467" s="981"/>
      <c r="I467" s="981"/>
      <c r="J467" s="979"/>
      <c r="K467" s="981" t="b">
        <v>0</v>
      </c>
      <c r="L467" s="980"/>
    </row>
    <row r="468">
      <c r="A468" s="974"/>
      <c r="B468" s="975"/>
      <c r="C468" s="974"/>
      <c r="D468" s="982"/>
      <c r="E468" s="982"/>
      <c r="F468" s="982"/>
      <c r="G468" s="974"/>
      <c r="H468" s="982"/>
      <c r="I468" s="982"/>
      <c r="J468" s="974"/>
      <c r="K468" s="982" t="b">
        <v>0</v>
      </c>
      <c r="L468" s="975"/>
    </row>
    <row r="469">
      <c r="A469" s="979"/>
      <c r="B469" s="980"/>
      <c r="C469" s="979"/>
      <c r="D469" s="981"/>
      <c r="E469" s="981"/>
      <c r="F469" s="981"/>
      <c r="G469" s="979"/>
      <c r="H469" s="981"/>
      <c r="I469" s="981"/>
      <c r="J469" s="979"/>
      <c r="K469" s="981" t="b">
        <v>0</v>
      </c>
      <c r="L469" s="980"/>
    </row>
    <row r="470">
      <c r="A470" s="974"/>
      <c r="B470" s="975"/>
      <c r="C470" s="974"/>
      <c r="D470" s="982"/>
      <c r="E470" s="982"/>
      <c r="F470" s="982"/>
      <c r="G470" s="974"/>
      <c r="H470" s="982"/>
      <c r="I470" s="982"/>
      <c r="J470" s="974"/>
      <c r="K470" s="982" t="b">
        <v>0</v>
      </c>
      <c r="L470" s="975"/>
    </row>
    <row r="471">
      <c r="A471" s="979"/>
      <c r="B471" s="980"/>
      <c r="C471" s="979"/>
      <c r="D471" s="981"/>
      <c r="E471" s="981"/>
      <c r="F471" s="981"/>
      <c r="G471" s="979"/>
      <c r="H471" s="981"/>
      <c r="I471" s="981"/>
      <c r="J471" s="979"/>
      <c r="K471" s="981" t="b">
        <v>0</v>
      </c>
      <c r="L471" s="980"/>
    </row>
    <row r="472">
      <c r="A472" s="974"/>
      <c r="B472" s="975"/>
      <c r="C472" s="974"/>
      <c r="D472" s="982"/>
      <c r="E472" s="982"/>
      <c r="F472" s="982"/>
      <c r="G472" s="974"/>
      <c r="H472" s="982"/>
      <c r="I472" s="982"/>
      <c r="J472" s="974"/>
      <c r="K472" s="982" t="b">
        <v>0</v>
      </c>
      <c r="L472" s="975"/>
    </row>
    <row r="473">
      <c r="A473" s="979"/>
      <c r="B473" s="980"/>
      <c r="C473" s="979"/>
      <c r="D473" s="981"/>
      <c r="E473" s="981"/>
      <c r="F473" s="981"/>
      <c r="G473" s="979"/>
      <c r="H473" s="981"/>
      <c r="I473" s="981"/>
      <c r="J473" s="979"/>
      <c r="K473" s="981" t="b">
        <v>0</v>
      </c>
      <c r="L473" s="980"/>
    </row>
    <row r="474">
      <c r="A474" s="974"/>
      <c r="B474" s="975"/>
      <c r="C474" s="974"/>
      <c r="D474" s="982"/>
      <c r="E474" s="982"/>
      <c r="F474" s="982"/>
      <c r="G474" s="974"/>
      <c r="H474" s="982"/>
      <c r="I474" s="982"/>
      <c r="J474" s="974"/>
      <c r="K474" s="982" t="b">
        <v>0</v>
      </c>
      <c r="L474" s="975"/>
    </row>
    <row r="475">
      <c r="A475" s="979"/>
      <c r="B475" s="980"/>
      <c r="C475" s="979"/>
      <c r="D475" s="981"/>
      <c r="E475" s="981"/>
      <c r="F475" s="981"/>
      <c r="G475" s="979"/>
      <c r="H475" s="981"/>
      <c r="I475" s="981"/>
      <c r="J475" s="979"/>
      <c r="K475" s="981" t="b">
        <v>0</v>
      </c>
      <c r="L475" s="980"/>
    </row>
    <row r="476">
      <c r="A476" s="974"/>
      <c r="B476" s="975"/>
      <c r="C476" s="974"/>
      <c r="D476" s="982"/>
      <c r="E476" s="982"/>
      <c r="F476" s="982"/>
      <c r="G476" s="974"/>
      <c r="H476" s="982"/>
      <c r="I476" s="982"/>
      <c r="J476" s="974"/>
      <c r="K476" s="982" t="b">
        <v>0</v>
      </c>
      <c r="L476" s="975"/>
    </row>
    <row r="477">
      <c r="A477" s="979"/>
      <c r="B477" s="980"/>
      <c r="C477" s="979"/>
      <c r="D477" s="981"/>
      <c r="E477" s="981"/>
      <c r="F477" s="981"/>
      <c r="G477" s="979"/>
      <c r="H477" s="981"/>
      <c r="I477" s="981"/>
      <c r="J477" s="979"/>
      <c r="K477" s="981" t="b">
        <v>0</v>
      </c>
      <c r="L477" s="980"/>
    </row>
    <row r="478">
      <c r="A478" s="974"/>
      <c r="B478" s="975"/>
      <c r="C478" s="974"/>
      <c r="D478" s="982"/>
      <c r="E478" s="982"/>
      <c r="F478" s="982"/>
      <c r="G478" s="974"/>
      <c r="H478" s="982"/>
      <c r="I478" s="982"/>
      <c r="J478" s="974"/>
      <c r="K478" s="982" t="b">
        <v>0</v>
      </c>
      <c r="L478" s="975"/>
    </row>
    <row r="479">
      <c r="A479" s="979"/>
      <c r="B479" s="980"/>
      <c r="C479" s="979"/>
      <c r="D479" s="981"/>
      <c r="E479" s="981"/>
      <c r="F479" s="981"/>
      <c r="G479" s="979"/>
      <c r="H479" s="981"/>
      <c r="I479" s="981"/>
      <c r="J479" s="979"/>
      <c r="K479" s="981" t="b">
        <v>0</v>
      </c>
      <c r="L479" s="980"/>
    </row>
    <row r="480">
      <c r="A480" s="974"/>
      <c r="B480" s="975"/>
      <c r="C480" s="974"/>
      <c r="D480" s="982"/>
      <c r="E480" s="982"/>
      <c r="F480" s="982"/>
      <c r="G480" s="974"/>
      <c r="H480" s="982"/>
      <c r="I480" s="982"/>
      <c r="J480" s="974"/>
      <c r="K480" s="982" t="b">
        <v>0</v>
      </c>
      <c r="L480" s="975"/>
    </row>
    <row r="481">
      <c r="A481" s="979"/>
      <c r="B481" s="980"/>
      <c r="C481" s="979"/>
      <c r="D481" s="981"/>
      <c r="E481" s="981"/>
      <c r="F481" s="981"/>
      <c r="G481" s="979"/>
      <c r="H481" s="981"/>
      <c r="I481" s="981"/>
      <c r="J481" s="979"/>
      <c r="K481" s="981" t="b">
        <v>0</v>
      </c>
      <c r="L481" s="980"/>
    </row>
    <row r="482">
      <c r="A482" s="974"/>
      <c r="B482" s="975"/>
      <c r="C482" s="974"/>
      <c r="D482" s="982"/>
      <c r="E482" s="982"/>
      <c r="F482" s="982"/>
      <c r="G482" s="974"/>
      <c r="H482" s="982"/>
      <c r="I482" s="982"/>
      <c r="J482" s="974"/>
      <c r="K482" s="982" t="b">
        <v>0</v>
      </c>
      <c r="L482" s="975"/>
    </row>
    <row r="483">
      <c r="A483" s="979"/>
      <c r="B483" s="980"/>
      <c r="C483" s="979"/>
      <c r="D483" s="981"/>
      <c r="E483" s="981"/>
      <c r="F483" s="981"/>
      <c r="G483" s="979"/>
      <c r="H483" s="981"/>
      <c r="I483" s="981"/>
      <c r="J483" s="979"/>
      <c r="K483" s="981" t="b">
        <v>0</v>
      </c>
      <c r="L483" s="980"/>
    </row>
    <row r="484">
      <c r="A484" s="974"/>
      <c r="B484" s="975"/>
      <c r="C484" s="974"/>
      <c r="D484" s="982"/>
      <c r="E484" s="982"/>
      <c r="F484" s="982"/>
      <c r="G484" s="974"/>
      <c r="H484" s="982"/>
      <c r="I484" s="982"/>
      <c r="J484" s="974"/>
      <c r="K484" s="982" t="b">
        <v>0</v>
      </c>
      <c r="L484" s="975"/>
    </row>
    <row r="485">
      <c r="A485" s="979"/>
      <c r="B485" s="980"/>
      <c r="C485" s="979"/>
      <c r="D485" s="981"/>
      <c r="E485" s="981"/>
      <c r="F485" s="981"/>
      <c r="G485" s="979"/>
      <c r="H485" s="981"/>
      <c r="I485" s="981"/>
      <c r="J485" s="979"/>
      <c r="K485" s="981" t="b">
        <v>0</v>
      </c>
      <c r="L485" s="980"/>
    </row>
    <row r="486">
      <c r="A486" s="974"/>
      <c r="B486" s="975"/>
      <c r="C486" s="974"/>
      <c r="D486" s="982"/>
      <c r="E486" s="982"/>
      <c r="F486" s="982"/>
      <c r="G486" s="974"/>
      <c r="H486" s="982"/>
      <c r="I486" s="982"/>
      <c r="J486" s="974"/>
      <c r="K486" s="982" t="b">
        <v>0</v>
      </c>
      <c r="L486" s="975"/>
    </row>
    <row r="487">
      <c r="A487" s="979"/>
      <c r="B487" s="980"/>
      <c r="C487" s="979"/>
      <c r="D487" s="981"/>
      <c r="E487" s="981"/>
      <c r="F487" s="981"/>
      <c r="G487" s="979"/>
      <c r="H487" s="981"/>
      <c r="I487" s="981"/>
      <c r="J487" s="979"/>
      <c r="K487" s="981" t="b">
        <v>0</v>
      </c>
      <c r="L487" s="980"/>
    </row>
    <row r="488">
      <c r="A488" s="974"/>
      <c r="B488" s="975"/>
      <c r="C488" s="974"/>
      <c r="D488" s="982"/>
      <c r="E488" s="982"/>
      <c r="F488" s="982"/>
      <c r="G488" s="974"/>
      <c r="H488" s="982"/>
      <c r="I488" s="982"/>
      <c r="J488" s="974"/>
      <c r="K488" s="982" t="b">
        <v>0</v>
      </c>
      <c r="L488" s="975"/>
    </row>
    <row r="489">
      <c r="A489" s="979"/>
      <c r="B489" s="980"/>
      <c r="C489" s="979"/>
      <c r="D489" s="981"/>
      <c r="E489" s="981"/>
      <c r="F489" s="981"/>
      <c r="G489" s="979"/>
      <c r="H489" s="981"/>
      <c r="I489" s="981"/>
      <c r="J489" s="979"/>
      <c r="K489" s="981" t="b">
        <v>0</v>
      </c>
      <c r="L489" s="980"/>
    </row>
    <row r="490">
      <c r="A490" s="974"/>
      <c r="B490" s="975"/>
      <c r="C490" s="974"/>
      <c r="D490" s="982"/>
      <c r="E490" s="982"/>
      <c r="F490" s="982"/>
      <c r="G490" s="974"/>
      <c r="H490" s="982"/>
      <c r="I490" s="982"/>
      <c r="J490" s="974"/>
      <c r="K490" s="982" t="b">
        <v>0</v>
      </c>
      <c r="L490" s="975"/>
    </row>
    <row r="491">
      <c r="A491" s="979"/>
      <c r="B491" s="980"/>
      <c r="C491" s="979"/>
      <c r="D491" s="981"/>
      <c r="E491" s="981"/>
      <c r="F491" s="981"/>
      <c r="G491" s="979"/>
      <c r="H491" s="981"/>
      <c r="I491" s="981"/>
      <c r="J491" s="979"/>
      <c r="K491" s="981" t="b">
        <v>0</v>
      </c>
      <c r="L491" s="980"/>
    </row>
    <row r="492">
      <c r="A492" s="974"/>
      <c r="B492" s="975"/>
      <c r="C492" s="974"/>
      <c r="D492" s="982"/>
      <c r="E492" s="982"/>
      <c r="F492" s="982"/>
      <c r="G492" s="974"/>
      <c r="H492" s="982"/>
      <c r="I492" s="982"/>
      <c r="J492" s="974"/>
      <c r="K492" s="982" t="b">
        <v>0</v>
      </c>
      <c r="L492" s="975"/>
    </row>
    <row r="493">
      <c r="A493" s="979"/>
      <c r="B493" s="980"/>
      <c r="C493" s="979"/>
      <c r="D493" s="981"/>
      <c r="E493" s="981"/>
      <c r="F493" s="981"/>
      <c r="G493" s="979"/>
      <c r="H493" s="981"/>
      <c r="I493" s="981"/>
      <c r="J493" s="979"/>
      <c r="K493" s="981" t="b">
        <v>0</v>
      </c>
      <c r="L493" s="980"/>
    </row>
    <row r="494">
      <c r="A494" s="974"/>
      <c r="B494" s="975"/>
      <c r="C494" s="974"/>
      <c r="D494" s="982"/>
      <c r="E494" s="982"/>
      <c r="F494" s="982"/>
      <c r="G494" s="974"/>
      <c r="H494" s="982"/>
      <c r="I494" s="982"/>
      <c r="J494" s="974"/>
      <c r="K494" s="982" t="b">
        <v>0</v>
      </c>
      <c r="L494" s="975"/>
    </row>
    <row r="495">
      <c r="A495" s="979"/>
      <c r="B495" s="980"/>
      <c r="C495" s="979"/>
      <c r="D495" s="981"/>
      <c r="E495" s="981"/>
      <c r="F495" s="981"/>
      <c r="G495" s="979"/>
      <c r="H495" s="981"/>
      <c r="I495" s="981"/>
      <c r="J495" s="979"/>
      <c r="K495" s="981" t="b">
        <v>0</v>
      </c>
      <c r="L495" s="980"/>
    </row>
    <row r="496">
      <c r="A496" s="974"/>
      <c r="B496" s="975"/>
      <c r="C496" s="974"/>
      <c r="D496" s="982"/>
      <c r="E496" s="982"/>
      <c r="F496" s="982"/>
      <c r="G496" s="974"/>
      <c r="H496" s="982"/>
      <c r="I496" s="982"/>
      <c r="J496" s="974"/>
      <c r="K496" s="982" t="b">
        <v>0</v>
      </c>
      <c r="L496" s="975"/>
    </row>
    <row r="497">
      <c r="A497" s="979"/>
      <c r="B497" s="980"/>
      <c r="C497" s="979"/>
      <c r="D497" s="981"/>
      <c r="E497" s="981"/>
      <c r="F497" s="981"/>
      <c r="G497" s="979"/>
      <c r="H497" s="981"/>
      <c r="I497" s="981"/>
      <c r="J497" s="979"/>
      <c r="K497" s="981" t="b">
        <v>0</v>
      </c>
      <c r="L497" s="980"/>
    </row>
    <row r="498">
      <c r="A498" s="974"/>
      <c r="B498" s="975"/>
      <c r="C498" s="974"/>
      <c r="D498" s="982"/>
      <c r="E498" s="982"/>
      <c r="F498" s="982"/>
      <c r="G498" s="974"/>
      <c r="H498" s="982"/>
      <c r="I498" s="982"/>
      <c r="J498" s="974"/>
      <c r="K498" s="982" t="b">
        <v>0</v>
      </c>
      <c r="L498" s="975"/>
    </row>
    <row r="499">
      <c r="A499" s="979"/>
      <c r="B499" s="980"/>
      <c r="C499" s="979"/>
      <c r="D499" s="981"/>
      <c r="E499" s="981"/>
      <c r="F499" s="981"/>
      <c r="G499" s="979"/>
      <c r="H499" s="981"/>
      <c r="I499" s="981"/>
      <c r="J499" s="979"/>
      <c r="K499" s="981" t="b">
        <v>0</v>
      </c>
      <c r="L499" s="980"/>
    </row>
    <row r="500">
      <c r="A500" s="974"/>
      <c r="B500" s="975"/>
      <c r="C500" s="974"/>
      <c r="D500" s="982"/>
      <c r="E500" s="982"/>
      <c r="F500" s="982"/>
      <c r="G500" s="974"/>
      <c r="H500" s="982"/>
      <c r="I500" s="982"/>
      <c r="J500" s="974"/>
      <c r="K500" s="982" t="b">
        <v>0</v>
      </c>
      <c r="L500" s="975"/>
    </row>
    <row r="501">
      <c r="A501" s="979"/>
      <c r="B501" s="980"/>
      <c r="C501" s="979"/>
      <c r="D501" s="981"/>
      <c r="E501" s="981"/>
      <c r="F501" s="981"/>
      <c r="G501" s="979"/>
      <c r="H501" s="981"/>
      <c r="I501" s="981"/>
      <c r="J501" s="979"/>
      <c r="K501" s="981" t="b">
        <v>0</v>
      </c>
      <c r="L501" s="980"/>
    </row>
    <row r="502">
      <c r="A502" s="974"/>
      <c r="B502" s="975"/>
      <c r="C502" s="974"/>
      <c r="D502" s="982"/>
      <c r="E502" s="982"/>
      <c r="F502" s="982"/>
      <c r="G502" s="974"/>
      <c r="H502" s="982"/>
      <c r="I502" s="982"/>
      <c r="J502" s="974"/>
      <c r="K502" s="982" t="b">
        <v>0</v>
      </c>
      <c r="L502" s="975"/>
    </row>
    <row r="503">
      <c r="A503" s="979"/>
      <c r="B503" s="980"/>
      <c r="C503" s="979"/>
      <c r="D503" s="981"/>
      <c r="E503" s="981"/>
      <c r="F503" s="981"/>
      <c r="G503" s="979"/>
      <c r="H503" s="981"/>
      <c r="I503" s="981"/>
      <c r="J503" s="979"/>
      <c r="K503" s="981" t="b">
        <v>0</v>
      </c>
      <c r="L503" s="980"/>
    </row>
    <row r="504">
      <c r="A504" s="974"/>
      <c r="B504" s="975"/>
      <c r="C504" s="974"/>
      <c r="D504" s="982"/>
      <c r="E504" s="982"/>
      <c r="F504" s="982"/>
      <c r="G504" s="974"/>
      <c r="H504" s="982"/>
      <c r="I504" s="982"/>
      <c r="J504" s="974"/>
      <c r="K504" s="982" t="b">
        <v>0</v>
      </c>
      <c r="L504" s="975"/>
    </row>
    <row r="505">
      <c r="A505" s="979"/>
      <c r="B505" s="980"/>
      <c r="C505" s="979"/>
      <c r="D505" s="981"/>
      <c r="E505" s="981"/>
      <c r="F505" s="981"/>
      <c r="G505" s="979"/>
      <c r="H505" s="981"/>
      <c r="I505" s="981"/>
      <c r="J505" s="979"/>
      <c r="K505" s="981" t="b">
        <v>0</v>
      </c>
      <c r="L505" s="980"/>
    </row>
    <row r="506">
      <c r="A506" s="974"/>
      <c r="B506" s="975"/>
      <c r="C506" s="974"/>
      <c r="D506" s="982"/>
      <c r="E506" s="982"/>
      <c r="F506" s="982"/>
      <c r="G506" s="974"/>
      <c r="H506" s="982"/>
      <c r="I506" s="982"/>
      <c r="J506" s="974"/>
      <c r="K506" s="982" t="b">
        <v>0</v>
      </c>
      <c r="L506" s="975"/>
    </row>
    <row r="507">
      <c r="A507" s="979"/>
      <c r="B507" s="980"/>
      <c r="C507" s="979"/>
      <c r="D507" s="981"/>
      <c r="E507" s="981"/>
      <c r="F507" s="981"/>
      <c r="G507" s="979"/>
      <c r="H507" s="981"/>
      <c r="I507" s="981"/>
      <c r="J507" s="979"/>
      <c r="K507" s="981" t="b">
        <v>0</v>
      </c>
      <c r="L507" s="980"/>
    </row>
    <row r="508">
      <c r="A508" s="974"/>
      <c r="B508" s="975"/>
      <c r="C508" s="974"/>
      <c r="D508" s="982"/>
      <c r="E508" s="982"/>
      <c r="F508" s="982"/>
      <c r="G508" s="974"/>
      <c r="H508" s="982"/>
      <c r="I508" s="982"/>
      <c r="J508" s="974"/>
      <c r="K508" s="982" t="b">
        <v>0</v>
      </c>
      <c r="L508" s="975"/>
    </row>
    <row r="509">
      <c r="A509" s="979"/>
      <c r="B509" s="980"/>
      <c r="C509" s="979"/>
      <c r="D509" s="981"/>
      <c r="E509" s="981"/>
      <c r="F509" s="981"/>
      <c r="G509" s="979"/>
      <c r="H509" s="981"/>
      <c r="I509" s="981"/>
      <c r="J509" s="979"/>
      <c r="K509" s="981" t="b">
        <v>0</v>
      </c>
      <c r="L509" s="980"/>
    </row>
    <row r="510">
      <c r="A510" s="974"/>
      <c r="B510" s="975"/>
      <c r="C510" s="974"/>
      <c r="D510" s="982"/>
      <c r="E510" s="982"/>
      <c r="F510" s="982"/>
      <c r="G510" s="974"/>
      <c r="H510" s="982"/>
      <c r="I510" s="982"/>
      <c r="J510" s="974"/>
      <c r="K510" s="982" t="b">
        <v>0</v>
      </c>
      <c r="L510" s="975"/>
    </row>
    <row r="511">
      <c r="A511" s="979"/>
      <c r="B511" s="980"/>
      <c r="C511" s="979"/>
      <c r="D511" s="981"/>
      <c r="E511" s="981"/>
      <c r="F511" s="981"/>
      <c r="G511" s="979"/>
      <c r="H511" s="981"/>
      <c r="I511" s="981"/>
      <c r="J511" s="979"/>
      <c r="K511" s="981" t="b">
        <v>0</v>
      </c>
      <c r="L511" s="980"/>
    </row>
    <row r="512">
      <c r="A512" s="974"/>
      <c r="B512" s="975"/>
      <c r="C512" s="974"/>
      <c r="D512" s="982"/>
      <c r="E512" s="982"/>
      <c r="F512" s="982"/>
      <c r="G512" s="974"/>
      <c r="H512" s="982"/>
      <c r="I512" s="982"/>
      <c r="J512" s="974"/>
      <c r="K512" s="982" t="b">
        <v>0</v>
      </c>
      <c r="L512" s="975"/>
    </row>
    <row r="513">
      <c r="A513" s="979"/>
      <c r="B513" s="980"/>
      <c r="C513" s="979"/>
      <c r="D513" s="981"/>
      <c r="E513" s="981"/>
      <c r="F513" s="981"/>
      <c r="G513" s="979"/>
      <c r="H513" s="981"/>
      <c r="I513" s="981"/>
      <c r="J513" s="979"/>
      <c r="K513" s="981" t="b">
        <v>0</v>
      </c>
      <c r="L513" s="980"/>
    </row>
    <row r="514">
      <c r="A514" s="974"/>
      <c r="B514" s="975"/>
      <c r="C514" s="974"/>
      <c r="D514" s="982"/>
      <c r="E514" s="982"/>
      <c r="F514" s="982"/>
      <c r="G514" s="974"/>
      <c r="H514" s="982"/>
      <c r="I514" s="982"/>
      <c r="J514" s="974"/>
      <c r="K514" s="982" t="b">
        <v>0</v>
      </c>
      <c r="L514" s="975"/>
    </row>
    <row r="515">
      <c r="A515" s="979"/>
      <c r="B515" s="980"/>
      <c r="C515" s="979"/>
      <c r="D515" s="981"/>
      <c r="E515" s="981"/>
      <c r="F515" s="981"/>
      <c r="G515" s="979"/>
      <c r="H515" s="981"/>
      <c r="I515" s="981"/>
      <c r="J515" s="979"/>
      <c r="K515" s="981" t="b">
        <v>0</v>
      </c>
      <c r="L515" s="980"/>
    </row>
    <row r="516">
      <c r="A516" s="974"/>
      <c r="B516" s="975"/>
      <c r="C516" s="974"/>
      <c r="D516" s="982"/>
      <c r="E516" s="982"/>
      <c r="F516" s="982"/>
      <c r="G516" s="974"/>
      <c r="H516" s="982"/>
      <c r="I516" s="982"/>
      <c r="J516" s="974"/>
      <c r="K516" s="982" t="b">
        <v>0</v>
      </c>
      <c r="L516" s="975"/>
    </row>
    <row r="517">
      <c r="A517" s="979"/>
      <c r="B517" s="980"/>
      <c r="C517" s="979"/>
      <c r="D517" s="981"/>
      <c r="E517" s="981"/>
      <c r="F517" s="981"/>
      <c r="G517" s="979"/>
      <c r="H517" s="981"/>
      <c r="I517" s="981"/>
      <c r="J517" s="979"/>
      <c r="K517" s="981" t="b">
        <v>0</v>
      </c>
      <c r="L517" s="980"/>
    </row>
    <row r="518">
      <c r="A518" s="974"/>
      <c r="B518" s="975"/>
      <c r="C518" s="974"/>
      <c r="D518" s="982"/>
      <c r="E518" s="982"/>
      <c r="F518" s="982"/>
      <c r="G518" s="974"/>
      <c r="H518" s="982"/>
      <c r="I518" s="982"/>
      <c r="J518" s="974"/>
      <c r="K518" s="982" t="b">
        <v>0</v>
      </c>
      <c r="L518" s="975"/>
    </row>
    <row r="519">
      <c r="A519" s="979"/>
      <c r="B519" s="980"/>
      <c r="C519" s="979"/>
      <c r="D519" s="981"/>
      <c r="E519" s="981"/>
      <c r="F519" s="981"/>
      <c r="G519" s="979"/>
      <c r="H519" s="981"/>
      <c r="I519" s="981"/>
      <c r="J519" s="979"/>
      <c r="K519" s="981" t="b">
        <v>0</v>
      </c>
      <c r="L519" s="980"/>
    </row>
    <row r="520">
      <c r="A520" s="974"/>
      <c r="B520" s="975"/>
      <c r="C520" s="974"/>
      <c r="D520" s="982"/>
      <c r="E520" s="982"/>
      <c r="F520" s="982"/>
      <c r="G520" s="974"/>
      <c r="H520" s="982"/>
      <c r="I520" s="982"/>
      <c r="J520" s="974"/>
      <c r="K520" s="982" t="b">
        <v>0</v>
      </c>
      <c r="L520" s="975"/>
    </row>
    <row r="521">
      <c r="A521" s="979"/>
      <c r="B521" s="980"/>
      <c r="C521" s="979"/>
      <c r="D521" s="981"/>
      <c r="E521" s="981"/>
      <c r="F521" s="981"/>
      <c r="G521" s="979"/>
      <c r="H521" s="981"/>
      <c r="I521" s="981"/>
      <c r="J521" s="979"/>
      <c r="K521" s="981" t="b">
        <v>0</v>
      </c>
      <c r="L521" s="980"/>
    </row>
    <row r="522">
      <c r="A522" s="974"/>
      <c r="B522" s="975"/>
      <c r="C522" s="974"/>
      <c r="D522" s="982"/>
      <c r="E522" s="982"/>
      <c r="F522" s="982"/>
      <c r="G522" s="974"/>
      <c r="H522" s="982"/>
      <c r="I522" s="982"/>
      <c r="J522" s="974"/>
      <c r="K522" s="982" t="b">
        <v>0</v>
      </c>
      <c r="L522" s="975"/>
    </row>
    <row r="523">
      <c r="A523" s="979"/>
      <c r="B523" s="980"/>
      <c r="C523" s="979"/>
      <c r="D523" s="981"/>
      <c r="E523" s="981"/>
      <c r="F523" s="981"/>
      <c r="G523" s="979"/>
      <c r="H523" s="981"/>
      <c r="I523" s="981"/>
      <c r="J523" s="979"/>
      <c r="K523" s="981" t="b">
        <v>0</v>
      </c>
      <c r="L523" s="980"/>
    </row>
    <row r="524">
      <c r="A524" s="974"/>
      <c r="B524" s="975"/>
      <c r="C524" s="974"/>
      <c r="D524" s="982"/>
      <c r="E524" s="982"/>
      <c r="F524" s="982"/>
      <c r="G524" s="974"/>
      <c r="H524" s="982"/>
      <c r="I524" s="982"/>
      <c r="J524" s="974"/>
      <c r="K524" s="982" t="b">
        <v>0</v>
      </c>
      <c r="L524" s="975"/>
    </row>
    <row r="525">
      <c r="A525" s="979"/>
      <c r="B525" s="980"/>
      <c r="C525" s="979"/>
      <c r="D525" s="981"/>
      <c r="E525" s="981"/>
      <c r="F525" s="981"/>
      <c r="G525" s="979"/>
      <c r="H525" s="981"/>
      <c r="I525" s="981"/>
      <c r="J525" s="979"/>
      <c r="K525" s="981" t="b">
        <v>0</v>
      </c>
      <c r="L525" s="980"/>
    </row>
    <row r="526">
      <c r="A526" s="974"/>
      <c r="B526" s="975"/>
      <c r="C526" s="974"/>
      <c r="D526" s="982"/>
      <c r="E526" s="982"/>
      <c r="F526" s="982"/>
      <c r="G526" s="974"/>
      <c r="H526" s="982"/>
      <c r="I526" s="982"/>
      <c r="J526" s="974"/>
      <c r="K526" s="982" t="b">
        <v>0</v>
      </c>
      <c r="L526" s="975"/>
    </row>
    <row r="527">
      <c r="A527" s="979"/>
      <c r="B527" s="980"/>
      <c r="C527" s="979"/>
      <c r="D527" s="981"/>
      <c r="E527" s="981"/>
      <c r="F527" s="981"/>
      <c r="G527" s="979"/>
      <c r="H527" s="981"/>
      <c r="I527" s="981"/>
      <c r="J527" s="979"/>
      <c r="K527" s="981" t="b">
        <v>0</v>
      </c>
      <c r="L527" s="980"/>
    </row>
    <row r="528">
      <c r="A528" s="974"/>
      <c r="B528" s="975"/>
      <c r="C528" s="974"/>
      <c r="D528" s="982"/>
      <c r="E528" s="982"/>
      <c r="F528" s="982"/>
      <c r="G528" s="974"/>
      <c r="H528" s="982"/>
      <c r="I528" s="982"/>
      <c r="J528" s="974"/>
      <c r="K528" s="982" t="b">
        <v>0</v>
      </c>
      <c r="L528" s="975"/>
    </row>
    <row r="529">
      <c r="A529" s="979"/>
      <c r="B529" s="980"/>
      <c r="C529" s="979"/>
      <c r="D529" s="981"/>
      <c r="E529" s="981"/>
      <c r="F529" s="981"/>
      <c r="G529" s="979"/>
      <c r="H529" s="981"/>
      <c r="I529" s="981"/>
      <c r="J529" s="979"/>
      <c r="K529" s="981" t="b">
        <v>0</v>
      </c>
      <c r="L529" s="980"/>
    </row>
    <row r="530">
      <c r="A530" s="974"/>
      <c r="B530" s="975"/>
      <c r="C530" s="974"/>
      <c r="D530" s="982"/>
      <c r="E530" s="982"/>
      <c r="F530" s="982"/>
      <c r="G530" s="974"/>
      <c r="H530" s="982"/>
      <c r="I530" s="982"/>
      <c r="J530" s="974"/>
      <c r="K530" s="982" t="b">
        <v>0</v>
      </c>
      <c r="L530" s="975"/>
    </row>
    <row r="531">
      <c r="A531" s="979"/>
      <c r="B531" s="980"/>
      <c r="C531" s="979"/>
      <c r="D531" s="981"/>
      <c r="E531" s="981"/>
      <c r="F531" s="981"/>
      <c r="G531" s="979"/>
      <c r="H531" s="981"/>
      <c r="I531" s="981"/>
      <c r="J531" s="979"/>
      <c r="K531" s="981" t="b">
        <v>0</v>
      </c>
      <c r="L531" s="980"/>
    </row>
    <row r="532">
      <c r="A532" s="974"/>
      <c r="B532" s="975"/>
      <c r="C532" s="974"/>
      <c r="D532" s="982"/>
      <c r="E532" s="982"/>
      <c r="F532" s="982"/>
      <c r="G532" s="974"/>
      <c r="H532" s="982"/>
      <c r="I532" s="982"/>
      <c r="J532" s="974"/>
      <c r="K532" s="982" t="b">
        <v>0</v>
      </c>
      <c r="L532" s="975"/>
    </row>
    <row r="533">
      <c r="A533" s="979"/>
      <c r="B533" s="980"/>
      <c r="C533" s="979"/>
      <c r="D533" s="981"/>
      <c r="E533" s="981"/>
      <c r="F533" s="981"/>
      <c r="G533" s="979"/>
      <c r="H533" s="981"/>
      <c r="I533" s="981"/>
      <c r="J533" s="979"/>
      <c r="K533" s="981" t="b">
        <v>0</v>
      </c>
      <c r="L533" s="980"/>
    </row>
    <row r="534">
      <c r="A534" s="974"/>
      <c r="B534" s="975"/>
      <c r="C534" s="974"/>
      <c r="D534" s="982"/>
      <c r="E534" s="982"/>
      <c r="F534" s="982"/>
      <c r="G534" s="974"/>
      <c r="H534" s="982"/>
      <c r="I534" s="982"/>
      <c r="J534" s="974"/>
      <c r="K534" s="982" t="b">
        <v>0</v>
      </c>
      <c r="L534" s="975"/>
    </row>
    <row r="535">
      <c r="A535" s="979"/>
      <c r="B535" s="980"/>
      <c r="C535" s="979"/>
      <c r="D535" s="981"/>
      <c r="E535" s="981"/>
      <c r="F535" s="981"/>
      <c r="G535" s="979"/>
      <c r="H535" s="981"/>
      <c r="I535" s="981"/>
      <c r="J535" s="979"/>
      <c r="K535" s="981" t="b">
        <v>0</v>
      </c>
      <c r="L535" s="980"/>
    </row>
    <row r="536">
      <c r="A536" s="974"/>
      <c r="B536" s="975"/>
      <c r="C536" s="974"/>
      <c r="D536" s="982"/>
      <c r="E536" s="982"/>
      <c r="F536" s="982"/>
      <c r="G536" s="974"/>
      <c r="H536" s="982"/>
      <c r="I536" s="982"/>
      <c r="J536" s="974"/>
      <c r="K536" s="982" t="b">
        <v>0</v>
      </c>
      <c r="L536" s="975"/>
    </row>
    <row r="537">
      <c r="A537" s="979"/>
      <c r="B537" s="980"/>
      <c r="C537" s="979"/>
      <c r="D537" s="981"/>
      <c r="E537" s="981"/>
      <c r="F537" s="981"/>
      <c r="G537" s="979"/>
      <c r="H537" s="981"/>
      <c r="I537" s="981"/>
      <c r="J537" s="979"/>
      <c r="K537" s="981" t="b">
        <v>0</v>
      </c>
      <c r="L537" s="980"/>
    </row>
    <row r="538">
      <c r="A538" s="974"/>
      <c r="B538" s="975"/>
      <c r="C538" s="974"/>
      <c r="D538" s="982"/>
      <c r="E538" s="982"/>
      <c r="F538" s="982"/>
      <c r="G538" s="974"/>
      <c r="H538" s="982"/>
      <c r="I538" s="982"/>
      <c r="J538" s="974"/>
      <c r="K538" s="982" t="b">
        <v>0</v>
      </c>
      <c r="L538" s="975"/>
    </row>
    <row r="539">
      <c r="A539" s="979"/>
      <c r="B539" s="980"/>
      <c r="C539" s="979"/>
      <c r="D539" s="981"/>
      <c r="E539" s="981"/>
      <c r="F539" s="981"/>
      <c r="G539" s="979"/>
      <c r="H539" s="981"/>
      <c r="I539" s="981"/>
      <c r="J539" s="979"/>
      <c r="K539" s="981" t="b">
        <v>0</v>
      </c>
      <c r="L539" s="980"/>
    </row>
    <row r="540">
      <c r="A540" s="974"/>
      <c r="B540" s="975"/>
      <c r="C540" s="974"/>
      <c r="D540" s="982"/>
      <c r="E540" s="982"/>
      <c r="F540" s="982"/>
      <c r="G540" s="974"/>
      <c r="H540" s="982"/>
      <c r="I540" s="982"/>
      <c r="J540" s="974"/>
      <c r="K540" s="982" t="b">
        <v>0</v>
      </c>
      <c r="L540" s="975"/>
    </row>
    <row r="541">
      <c r="A541" s="979"/>
      <c r="B541" s="980"/>
      <c r="C541" s="979"/>
      <c r="D541" s="981"/>
      <c r="E541" s="981"/>
      <c r="F541" s="981"/>
      <c r="G541" s="979"/>
      <c r="H541" s="981"/>
      <c r="I541" s="981"/>
      <c r="J541" s="979"/>
      <c r="K541" s="981" t="b">
        <v>0</v>
      </c>
      <c r="L541" s="980"/>
    </row>
    <row r="542">
      <c r="A542" s="974"/>
      <c r="B542" s="975"/>
      <c r="C542" s="974"/>
      <c r="D542" s="982"/>
      <c r="E542" s="982"/>
      <c r="F542" s="982"/>
      <c r="G542" s="974"/>
      <c r="H542" s="982"/>
      <c r="I542" s="982"/>
      <c r="J542" s="974"/>
      <c r="K542" s="982" t="b">
        <v>0</v>
      </c>
      <c r="L542" s="975"/>
    </row>
    <row r="543">
      <c r="A543" s="979"/>
      <c r="B543" s="980"/>
      <c r="C543" s="979"/>
      <c r="D543" s="981"/>
      <c r="E543" s="981"/>
      <c r="F543" s="981"/>
      <c r="G543" s="979"/>
      <c r="H543" s="981"/>
      <c r="I543" s="981"/>
      <c r="J543" s="979"/>
      <c r="K543" s="981" t="b">
        <v>0</v>
      </c>
      <c r="L543" s="980"/>
    </row>
    <row r="544">
      <c r="A544" s="974"/>
      <c r="B544" s="975"/>
      <c r="C544" s="974"/>
      <c r="D544" s="982"/>
      <c r="E544" s="982"/>
      <c r="F544" s="982"/>
      <c r="G544" s="974"/>
      <c r="H544" s="982"/>
      <c r="I544" s="982"/>
      <c r="J544" s="974"/>
      <c r="K544" s="982" t="b">
        <v>0</v>
      </c>
      <c r="L544" s="975"/>
    </row>
    <row r="545">
      <c r="A545" s="979"/>
      <c r="B545" s="980"/>
      <c r="C545" s="979"/>
      <c r="D545" s="981"/>
      <c r="E545" s="981"/>
      <c r="F545" s="981"/>
      <c r="G545" s="979"/>
      <c r="H545" s="981"/>
      <c r="I545" s="981"/>
      <c r="J545" s="979"/>
      <c r="K545" s="981" t="b">
        <v>0</v>
      </c>
      <c r="L545" s="980"/>
    </row>
    <row r="546">
      <c r="A546" s="974"/>
      <c r="B546" s="975"/>
      <c r="C546" s="974"/>
      <c r="D546" s="982"/>
      <c r="E546" s="982"/>
      <c r="F546" s="982"/>
      <c r="G546" s="974"/>
      <c r="H546" s="982"/>
      <c r="I546" s="982"/>
      <c r="J546" s="974"/>
      <c r="K546" s="982" t="b">
        <v>0</v>
      </c>
      <c r="L546" s="975"/>
    </row>
    <row r="547">
      <c r="A547" s="979"/>
      <c r="B547" s="980"/>
      <c r="C547" s="979"/>
      <c r="D547" s="981"/>
      <c r="E547" s="981"/>
      <c r="F547" s="981"/>
      <c r="G547" s="979"/>
      <c r="H547" s="981"/>
      <c r="I547" s="981"/>
      <c r="J547" s="979"/>
      <c r="K547" s="981" t="b">
        <v>0</v>
      </c>
      <c r="L547" s="980"/>
    </row>
    <row r="548">
      <c r="A548" s="974"/>
      <c r="B548" s="975"/>
      <c r="C548" s="974"/>
      <c r="D548" s="982"/>
      <c r="E548" s="982"/>
      <c r="F548" s="982"/>
      <c r="G548" s="974"/>
      <c r="H548" s="982"/>
      <c r="I548" s="982"/>
      <c r="J548" s="974"/>
      <c r="K548" s="982" t="b">
        <v>0</v>
      </c>
      <c r="L548" s="975"/>
    </row>
    <row r="549">
      <c r="A549" s="979"/>
      <c r="B549" s="980"/>
      <c r="C549" s="979"/>
      <c r="D549" s="981"/>
      <c r="E549" s="981"/>
      <c r="F549" s="981"/>
      <c r="G549" s="979"/>
      <c r="H549" s="981"/>
      <c r="I549" s="981"/>
      <c r="J549" s="979"/>
      <c r="K549" s="981" t="b">
        <v>0</v>
      </c>
      <c r="L549" s="980"/>
    </row>
    <row r="550">
      <c r="A550" s="974"/>
      <c r="B550" s="975"/>
      <c r="C550" s="974"/>
      <c r="D550" s="982"/>
      <c r="E550" s="982"/>
      <c r="F550" s="982"/>
      <c r="G550" s="974"/>
      <c r="H550" s="982"/>
      <c r="I550" s="982"/>
      <c r="J550" s="974"/>
      <c r="K550" s="982" t="b">
        <v>0</v>
      </c>
      <c r="L550" s="975"/>
    </row>
    <row r="551">
      <c r="A551" s="979"/>
      <c r="B551" s="980"/>
      <c r="C551" s="979"/>
      <c r="D551" s="981"/>
      <c r="E551" s="981"/>
      <c r="F551" s="981"/>
      <c r="G551" s="979"/>
      <c r="H551" s="981"/>
      <c r="I551" s="981"/>
      <c r="J551" s="979"/>
      <c r="K551" s="981" t="b">
        <v>0</v>
      </c>
      <c r="L551" s="980"/>
    </row>
    <row r="552">
      <c r="A552" s="974"/>
      <c r="B552" s="975"/>
      <c r="C552" s="974"/>
      <c r="D552" s="982"/>
      <c r="E552" s="982"/>
      <c r="F552" s="982"/>
      <c r="G552" s="974"/>
      <c r="H552" s="982"/>
      <c r="I552" s="982"/>
      <c r="J552" s="974"/>
      <c r="K552" s="982" t="b">
        <v>0</v>
      </c>
      <c r="L552" s="975"/>
    </row>
    <row r="553">
      <c r="A553" s="979"/>
      <c r="B553" s="980"/>
      <c r="C553" s="979"/>
      <c r="D553" s="981"/>
      <c r="E553" s="981"/>
      <c r="F553" s="981"/>
      <c r="G553" s="979"/>
      <c r="H553" s="981"/>
      <c r="I553" s="981"/>
      <c r="J553" s="979"/>
      <c r="K553" s="981" t="b">
        <v>0</v>
      </c>
      <c r="L553" s="980"/>
    </row>
    <row r="554">
      <c r="A554" s="974"/>
      <c r="B554" s="975"/>
      <c r="C554" s="974"/>
      <c r="D554" s="982"/>
      <c r="E554" s="982"/>
      <c r="F554" s="982"/>
      <c r="G554" s="974"/>
      <c r="H554" s="982"/>
      <c r="I554" s="982"/>
      <c r="J554" s="974"/>
      <c r="K554" s="982" t="b">
        <v>0</v>
      </c>
      <c r="L554" s="975"/>
    </row>
    <row r="555">
      <c r="A555" s="979"/>
      <c r="B555" s="980"/>
      <c r="C555" s="979"/>
      <c r="D555" s="981"/>
      <c r="E555" s="981"/>
      <c r="F555" s="981"/>
      <c r="G555" s="979"/>
      <c r="H555" s="981"/>
      <c r="I555" s="981"/>
      <c r="J555" s="979"/>
      <c r="K555" s="981" t="b">
        <v>0</v>
      </c>
      <c r="L555" s="980"/>
    </row>
    <row r="556">
      <c r="A556" s="974"/>
      <c r="B556" s="975"/>
      <c r="C556" s="974"/>
      <c r="D556" s="982"/>
      <c r="E556" s="982"/>
      <c r="F556" s="982"/>
      <c r="G556" s="974"/>
      <c r="H556" s="982"/>
      <c r="I556" s="982"/>
      <c r="J556" s="974"/>
      <c r="K556" s="982" t="b">
        <v>0</v>
      </c>
      <c r="L556" s="975"/>
    </row>
    <row r="557">
      <c r="A557" s="979"/>
      <c r="B557" s="980"/>
      <c r="C557" s="979"/>
      <c r="D557" s="981"/>
      <c r="E557" s="981"/>
      <c r="F557" s="981"/>
      <c r="G557" s="979"/>
      <c r="H557" s="981"/>
      <c r="I557" s="981"/>
      <c r="J557" s="979"/>
      <c r="K557" s="981" t="b">
        <v>0</v>
      </c>
      <c r="L557" s="980"/>
    </row>
    <row r="558">
      <c r="A558" s="974"/>
      <c r="B558" s="975"/>
      <c r="C558" s="974"/>
      <c r="D558" s="982"/>
      <c r="E558" s="982"/>
      <c r="F558" s="982"/>
      <c r="G558" s="974"/>
      <c r="H558" s="982"/>
      <c r="I558" s="982"/>
      <c r="J558" s="974"/>
      <c r="K558" s="982" t="b">
        <v>0</v>
      </c>
      <c r="L558" s="975"/>
    </row>
    <row r="559">
      <c r="A559" s="979"/>
      <c r="B559" s="980"/>
      <c r="C559" s="979"/>
      <c r="D559" s="981"/>
      <c r="E559" s="981"/>
      <c r="F559" s="981"/>
      <c r="G559" s="979"/>
      <c r="H559" s="981"/>
      <c r="I559" s="981"/>
      <c r="J559" s="979"/>
      <c r="K559" s="981" t="b">
        <v>0</v>
      </c>
      <c r="L559" s="980"/>
    </row>
    <row r="560">
      <c r="A560" s="974"/>
      <c r="B560" s="975"/>
      <c r="C560" s="974"/>
      <c r="D560" s="982"/>
      <c r="E560" s="982"/>
      <c r="F560" s="982"/>
      <c r="G560" s="974"/>
      <c r="H560" s="982"/>
      <c r="I560" s="982"/>
      <c r="J560" s="974"/>
      <c r="K560" s="982" t="b">
        <v>0</v>
      </c>
      <c r="L560" s="975"/>
    </row>
    <row r="561">
      <c r="A561" s="979"/>
      <c r="B561" s="980"/>
      <c r="C561" s="979"/>
      <c r="D561" s="981"/>
      <c r="E561" s="981"/>
      <c r="F561" s="981"/>
      <c r="G561" s="979"/>
      <c r="H561" s="981"/>
      <c r="I561" s="981"/>
      <c r="J561" s="979"/>
      <c r="K561" s="981" t="b">
        <v>0</v>
      </c>
      <c r="L561" s="980"/>
    </row>
    <row r="562">
      <c r="A562" s="974"/>
      <c r="B562" s="975"/>
      <c r="C562" s="974"/>
      <c r="D562" s="982"/>
      <c r="E562" s="982"/>
      <c r="F562" s="982"/>
      <c r="G562" s="974"/>
      <c r="H562" s="982"/>
      <c r="I562" s="982"/>
      <c r="J562" s="974"/>
      <c r="K562" s="982" t="b">
        <v>0</v>
      </c>
      <c r="L562" s="975"/>
    </row>
    <row r="563">
      <c r="A563" s="979"/>
      <c r="B563" s="980"/>
      <c r="C563" s="979"/>
      <c r="D563" s="981"/>
      <c r="E563" s="981"/>
      <c r="F563" s="981"/>
      <c r="G563" s="979"/>
      <c r="H563" s="981"/>
      <c r="I563" s="981"/>
      <c r="J563" s="979"/>
      <c r="K563" s="981" t="b">
        <v>0</v>
      </c>
      <c r="L563" s="980"/>
    </row>
    <row r="564">
      <c r="A564" s="974"/>
      <c r="B564" s="975"/>
      <c r="C564" s="974"/>
      <c r="D564" s="982"/>
      <c r="E564" s="982"/>
      <c r="F564" s="982"/>
      <c r="G564" s="974"/>
      <c r="H564" s="982"/>
      <c r="I564" s="982"/>
      <c r="J564" s="974"/>
      <c r="K564" s="982" t="b">
        <v>0</v>
      </c>
      <c r="L564" s="975"/>
    </row>
    <row r="565">
      <c r="A565" s="979"/>
      <c r="B565" s="980"/>
      <c r="C565" s="979"/>
      <c r="D565" s="981"/>
      <c r="E565" s="981"/>
      <c r="F565" s="981"/>
      <c r="G565" s="979"/>
      <c r="H565" s="981"/>
      <c r="I565" s="981"/>
      <c r="J565" s="979"/>
      <c r="K565" s="981" t="b">
        <v>0</v>
      </c>
      <c r="L565" s="980"/>
    </row>
    <row r="566">
      <c r="A566" s="974"/>
      <c r="B566" s="975"/>
      <c r="C566" s="974"/>
      <c r="D566" s="982"/>
      <c r="E566" s="982"/>
      <c r="F566" s="982"/>
      <c r="G566" s="974"/>
      <c r="H566" s="982"/>
      <c r="I566" s="982"/>
      <c r="J566" s="974"/>
      <c r="K566" s="982" t="b">
        <v>0</v>
      </c>
      <c r="L566" s="975"/>
    </row>
    <row r="567">
      <c r="A567" s="979"/>
      <c r="B567" s="980"/>
      <c r="C567" s="979"/>
      <c r="D567" s="981"/>
      <c r="E567" s="981"/>
      <c r="F567" s="981"/>
      <c r="G567" s="979"/>
      <c r="H567" s="981"/>
      <c r="I567" s="981"/>
      <c r="J567" s="979"/>
      <c r="K567" s="981" t="b">
        <v>0</v>
      </c>
      <c r="L567" s="980"/>
    </row>
    <row r="568">
      <c r="A568" s="974"/>
      <c r="B568" s="975"/>
      <c r="C568" s="974"/>
      <c r="D568" s="982"/>
      <c r="E568" s="982"/>
      <c r="F568" s="982"/>
      <c r="G568" s="974"/>
      <c r="H568" s="982"/>
      <c r="I568" s="982"/>
      <c r="J568" s="974"/>
      <c r="K568" s="982" t="b">
        <v>0</v>
      </c>
      <c r="L568" s="975"/>
    </row>
    <row r="569">
      <c r="A569" s="979"/>
      <c r="B569" s="980"/>
      <c r="C569" s="979"/>
      <c r="D569" s="981"/>
      <c r="E569" s="981"/>
      <c r="F569" s="981"/>
      <c r="G569" s="979"/>
      <c r="H569" s="981"/>
      <c r="I569" s="981"/>
      <c r="J569" s="979"/>
      <c r="K569" s="981" t="b">
        <v>0</v>
      </c>
      <c r="L569" s="980"/>
    </row>
    <row r="570">
      <c r="A570" s="974"/>
      <c r="B570" s="975"/>
      <c r="C570" s="974"/>
      <c r="D570" s="982"/>
      <c r="E570" s="982"/>
      <c r="F570" s="982"/>
      <c r="G570" s="974"/>
      <c r="H570" s="982"/>
      <c r="I570" s="982"/>
      <c r="J570" s="974"/>
      <c r="K570" s="982" t="b">
        <v>0</v>
      </c>
      <c r="L570" s="975"/>
    </row>
    <row r="571">
      <c r="A571" s="979"/>
      <c r="B571" s="980"/>
      <c r="C571" s="979"/>
      <c r="D571" s="981"/>
      <c r="E571" s="981"/>
      <c r="F571" s="981"/>
      <c r="G571" s="979"/>
      <c r="H571" s="981"/>
      <c r="I571" s="981"/>
      <c r="J571" s="979"/>
      <c r="K571" s="981" t="b">
        <v>0</v>
      </c>
      <c r="L571" s="980"/>
    </row>
    <row r="572">
      <c r="A572" s="974"/>
      <c r="B572" s="975"/>
      <c r="C572" s="974"/>
      <c r="D572" s="982"/>
      <c r="E572" s="982"/>
      <c r="F572" s="982"/>
      <c r="G572" s="974"/>
      <c r="H572" s="982"/>
      <c r="I572" s="982"/>
      <c r="J572" s="974"/>
      <c r="K572" s="982" t="b">
        <v>0</v>
      </c>
      <c r="L572" s="975"/>
    </row>
    <row r="573">
      <c r="A573" s="979"/>
      <c r="B573" s="980"/>
      <c r="C573" s="979"/>
      <c r="D573" s="981"/>
      <c r="E573" s="981"/>
      <c r="F573" s="981"/>
      <c r="G573" s="979"/>
      <c r="H573" s="981"/>
      <c r="I573" s="981"/>
      <c r="J573" s="979"/>
      <c r="K573" s="981" t="b">
        <v>0</v>
      </c>
      <c r="L573" s="980"/>
    </row>
    <row r="574">
      <c r="A574" s="974"/>
      <c r="B574" s="975"/>
      <c r="C574" s="974"/>
      <c r="D574" s="982"/>
      <c r="E574" s="982"/>
      <c r="F574" s="982"/>
      <c r="G574" s="974"/>
      <c r="H574" s="982"/>
      <c r="I574" s="982"/>
      <c r="J574" s="974"/>
      <c r="K574" s="982" t="b">
        <v>0</v>
      </c>
      <c r="L574" s="975"/>
    </row>
    <row r="575">
      <c r="A575" s="979"/>
      <c r="B575" s="980"/>
      <c r="C575" s="979"/>
      <c r="D575" s="981"/>
      <c r="E575" s="981"/>
      <c r="F575" s="981"/>
      <c r="G575" s="979"/>
      <c r="H575" s="981"/>
      <c r="I575" s="981"/>
      <c r="J575" s="979"/>
      <c r="K575" s="981" t="b">
        <v>0</v>
      </c>
      <c r="L575" s="980"/>
    </row>
    <row r="576">
      <c r="A576" s="974"/>
      <c r="B576" s="975"/>
      <c r="C576" s="974"/>
      <c r="D576" s="982"/>
      <c r="E576" s="982"/>
      <c r="F576" s="982"/>
      <c r="G576" s="974"/>
      <c r="H576" s="982"/>
      <c r="I576" s="982"/>
      <c r="J576" s="974"/>
      <c r="K576" s="982" t="b">
        <v>0</v>
      </c>
      <c r="L576" s="975"/>
    </row>
    <row r="577">
      <c r="A577" s="979"/>
      <c r="B577" s="980"/>
      <c r="C577" s="979"/>
      <c r="D577" s="981"/>
      <c r="E577" s="981"/>
      <c r="F577" s="981"/>
      <c r="G577" s="979"/>
      <c r="H577" s="981"/>
      <c r="I577" s="981"/>
      <c r="J577" s="979"/>
      <c r="K577" s="981" t="b">
        <v>0</v>
      </c>
      <c r="L577" s="980"/>
    </row>
    <row r="578">
      <c r="A578" s="974"/>
      <c r="B578" s="975"/>
      <c r="C578" s="974"/>
      <c r="D578" s="982"/>
      <c r="E578" s="982"/>
      <c r="F578" s="982"/>
      <c r="G578" s="974"/>
      <c r="H578" s="982"/>
      <c r="I578" s="982"/>
      <c r="J578" s="974"/>
      <c r="K578" s="982" t="b">
        <v>0</v>
      </c>
      <c r="L578" s="975"/>
    </row>
    <row r="579">
      <c r="A579" s="979"/>
      <c r="B579" s="980"/>
      <c r="C579" s="979"/>
      <c r="D579" s="981"/>
      <c r="E579" s="981"/>
      <c r="F579" s="981"/>
      <c r="G579" s="979"/>
      <c r="H579" s="981"/>
      <c r="I579" s="981"/>
      <c r="J579" s="979"/>
      <c r="K579" s="981" t="b">
        <v>0</v>
      </c>
      <c r="L579" s="980"/>
    </row>
    <row r="580">
      <c r="A580" s="974"/>
      <c r="B580" s="975"/>
      <c r="C580" s="974"/>
      <c r="D580" s="982"/>
      <c r="E580" s="982"/>
      <c r="F580" s="982"/>
      <c r="G580" s="974"/>
      <c r="H580" s="982"/>
      <c r="I580" s="982"/>
      <c r="J580" s="974"/>
      <c r="K580" s="982" t="b">
        <v>0</v>
      </c>
      <c r="L580" s="975"/>
    </row>
    <row r="581">
      <c r="A581" s="979"/>
      <c r="B581" s="980"/>
      <c r="C581" s="979"/>
      <c r="D581" s="981"/>
      <c r="E581" s="981"/>
      <c r="F581" s="981"/>
      <c r="G581" s="979"/>
      <c r="H581" s="981"/>
      <c r="I581" s="981"/>
      <c r="J581" s="979"/>
      <c r="K581" s="981" t="b">
        <v>0</v>
      </c>
      <c r="L581" s="980"/>
    </row>
    <row r="582">
      <c r="A582" s="974"/>
      <c r="B582" s="975"/>
      <c r="C582" s="974"/>
      <c r="D582" s="982"/>
      <c r="E582" s="982"/>
      <c r="F582" s="982"/>
      <c r="G582" s="974"/>
      <c r="H582" s="982"/>
      <c r="I582" s="982"/>
      <c r="J582" s="974"/>
      <c r="K582" s="982" t="b">
        <v>0</v>
      </c>
      <c r="L582" s="975"/>
    </row>
    <row r="583">
      <c r="A583" s="979"/>
      <c r="B583" s="980"/>
      <c r="C583" s="979"/>
      <c r="D583" s="981"/>
      <c r="E583" s="981"/>
      <c r="F583" s="981"/>
      <c r="G583" s="979"/>
      <c r="H583" s="981"/>
      <c r="I583" s="981"/>
      <c r="J583" s="979"/>
      <c r="K583" s="981" t="b">
        <v>0</v>
      </c>
      <c r="L583" s="980"/>
    </row>
    <row r="584">
      <c r="A584" s="974"/>
      <c r="B584" s="975"/>
      <c r="C584" s="974"/>
      <c r="D584" s="982"/>
      <c r="E584" s="982"/>
      <c r="F584" s="982"/>
      <c r="G584" s="974"/>
      <c r="H584" s="982"/>
      <c r="I584" s="982"/>
      <c r="J584" s="974"/>
      <c r="K584" s="982" t="b">
        <v>0</v>
      </c>
      <c r="L584" s="975"/>
    </row>
    <row r="585">
      <c r="A585" s="979"/>
      <c r="B585" s="980"/>
      <c r="C585" s="979"/>
      <c r="D585" s="981"/>
      <c r="E585" s="981"/>
      <c r="F585" s="981"/>
      <c r="G585" s="979"/>
      <c r="H585" s="981"/>
      <c r="I585" s="981"/>
      <c r="J585" s="979"/>
      <c r="K585" s="981" t="b">
        <v>0</v>
      </c>
      <c r="L585" s="980"/>
    </row>
    <row r="586">
      <c r="A586" s="974"/>
      <c r="B586" s="975"/>
      <c r="C586" s="974"/>
      <c r="D586" s="982"/>
      <c r="E586" s="982"/>
      <c r="F586" s="982"/>
      <c r="G586" s="974"/>
      <c r="H586" s="982"/>
      <c r="I586" s="982"/>
      <c r="J586" s="974"/>
      <c r="K586" s="982" t="b">
        <v>0</v>
      </c>
      <c r="L586" s="975"/>
    </row>
    <row r="587">
      <c r="A587" s="979"/>
      <c r="B587" s="980"/>
      <c r="C587" s="979"/>
      <c r="D587" s="981"/>
      <c r="E587" s="981"/>
      <c r="F587" s="981"/>
      <c r="G587" s="979"/>
      <c r="H587" s="981"/>
      <c r="I587" s="981"/>
      <c r="J587" s="979"/>
      <c r="K587" s="981" t="b">
        <v>0</v>
      </c>
      <c r="L587" s="980"/>
    </row>
    <row r="588">
      <c r="A588" s="974"/>
      <c r="B588" s="975"/>
      <c r="C588" s="974"/>
      <c r="D588" s="982"/>
      <c r="E588" s="982"/>
      <c r="F588" s="982"/>
      <c r="G588" s="974"/>
      <c r="H588" s="982"/>
      <c r="I588" s="982"/>
      <c r="J588" s="974"/>
      <c r="K588" s="982" t="b">
        <v>0</v>
      </c>
      <c r="L588" s="975"/>
    </row>
    <row r="589">
      <c r="A589" s="979"/>
      <c r="B589" s="980"/>
      <c r="C589" s="979"/>
      <c r="D589" s="981"/>
      <c r="E589" s="981"/>
      <c r="F589" s="981"/>
      <c r="G589" s="979"/>
      <c r="H589" s="981"/>
      <c r="I589" s="981"/>
      <c r="J589" s="979"/>
      <c r="K589" s="981" t="b">
        <v>0</v>
      </c>
      <c r="L589" s="980"/>
    </row>
    <row r="590">
      <c r="A590" s="974"/>
      <c r="B590" s="975"/>
      <c r="C590" s="974"/>
      <c r="D590" s="982"/>
      <c r="E590" s="982"/>
      <c r="F590" s="982"/>
      <c r="G590" s="974"/>
      <c r="H590" s="982"/>
      <c r="I590" s="982"/>
      <c r="J590" s="974"/>
      <c r="K590" s="982" t="b">
        <v>0</v>
      </c>
      <c r="L590" s="975"/>
    </row>
    <row r="591">
      <c r="A591" s="979"/>
      <c r="B591" s="980"/>
      <c r="C591" s="979"/>
      <c r="D591" s="981"/>
      <c r="E591" s="981"/>
      <c r="F591" s="981"/>
      <c r="G591" s="979"/>
      <c r="H591" s="981"/>
      <c r="I591" s="981"/>
      <c r="J591" s="979"/>
      <c r="K591" s="981" t="b">
        <v>0</v>
      </c>
      <c r="L591" s="980"/>
    </row>
    <row r="592">
      <c r="A592" s="974"/>
      <c r="B592" s="975"/>
      <c r="C592" s="974"/>
      <c r="D592" s="982"/>
      <c r="E592" s="982"/>
      <c r="F592" s="982"/>
      <c r="G592" s="974"/>
      <c r="H592" s="982"/>
      <c r="I592" s="982"/>
      <c r="J592" s="974"/>
      <c r="K592" s="982" t="b">
        <v>0</v>
      </c>
      <c r="L592" s="975"/>
    </row>
    <row r="593">
      <c r="A593" s="979"/>
      <c r="B593" s="980"/>
      <c r="C593" s="979"/>
      <c r="D593" s="981"/>
      <c r="E593" s="981"/>
      <c r="F593" s="981"/>
      <c r="G593" s="979"/>
      <c r="H593" s="981"/>
      <c r="I593" s="981"/>
      <c r="J593" s="979"/>
      <c r="K593" s="981" t="b">
        <v>0</v>
      </c>
      <c r="L593" s="980"/>
    </row>
    <row r="594">
      <c r="A594" s="974"/>
      <c r="B594" s="975"/>
      <c r="C594" s="974"/>
      <c r="D594" s="982"/>
      <c r="E594" s="982"/>
      <c r="F594" s="982"/>
      <c r="G594" s="974"/>
      <c r="H594" s="982"/>
      <c r="I594" s="982"/>
      <c r="J594" s="974"/>
      <c r="K594" s="982" t="b">
        <v>0</v>
      </c>
      <c r="L594" s="975"/>
    </row>
    <row r="595">
      <c r="A595" s="979"/>
      <c r="B595" s="980"/>
      <c r="C595" s="979"/>
      <c r="D595" s="981"/>
      <c r="E595" s="981"/>
      <c r="F595" s="981"/>
      <c r="G595" s="979"/>
      <c r="H595" s="981"/>
      <c r="I595" s="981"/>
      <c r="J595" s="979"/>
      <c r="K595" s="981" t="b">
        <v>0</v>
      </c>
      <c r="L595" s="980"/>
    </row>
    <row r="596">
      <c r="A596" s="974"/>
      <c r="B596" s="975"/>
      <c r="C596" s="974"/>
      <c r="D596" s="982"/>
      <c r="E596" s="982"/>
      <c r="F596" s="982"/>
      <c r="G596" s="974"/>
      <c r="H596" s="982"/>
      <c r="I596" s="982"/>
      <c r="J596" s="974"/>
      <c r="K596" s="982" t="b">
        <v>0</v>
      </c>
      <c r="L596" s="975"/>
    </row>
    <row r="597">
      <c r="A597" s="979"/>
      <c r="B597" s="980"/>
      <c r="C597" s="979"/>
      <c r="D597" s="981"/>
      <c r="E597" s="981"/>
      <c r="F597" s="981"/>
      <c r="G597" s="979"/>
      <c r="H597" s="981"/>
      <c r="I597" s="981"/>
      <c r="J597" s="979"/>
      <c r="K597" s="981" t="b">
        <v>0</v>
      </c>
      <c r="L597" s="980"/>
    </row>
    <row r="598">
      <c r="A598" s="974"/>
      <c r="B598" s="975"/>
      <c r="C598" s="974"/>
      <c r="D598" s="982"/>
      <c r="E598" s="982"/>
      <c r="F598" s="982"/>
      <c r="G598" s="974"/>
      <c r="H598" s="982"/>
      <c r="I598" s="982"/>
      <c r="J598" s="974"/>
      <c r="K598" s="982" t="b">
        <v>0</v>
      </c>
      <c r="L598" s="975"/>
    </row>
    <row r="599">
      <c r="A599" s="979"/>
      <c r="B599" s="980"/>
      <c r="C599" s="979"/>
      <c r="D599" s="981"/>
      <c r="E599" s="981"/>
      <c r="F599" s="981"/>
      <c r="G599" s="979"/>
      <c r="H599" s="981"/>
      <c r="I599" s="981"/>
      <c r="J599" s="979"/>
      <c r="K599" s="981" t="b">
        <v>0</v>
      </c>
      <c r="L599" s="980"/>
    </row>
    <row r="600">
      <c r="A600" s="974"/>
      <c r="B600" s="975"/>
      <c r="C600" s="974"/>
      <c r="D600" s="982"/>
      <c r="E600" s="982"/>
      <c r="F600" s="982"/>
      <c r="G600" s="974"/>
      <c r="H600" s="982"/>
      <c r="I600" s="982"/>
      <c r="J600" s="974"/>
      <c r="K600" s="982" t="b">
        <v>0</v>
      </c>
      <c r="L600" s="975"/>
    </row>
    <row r="601">
      <c r="A601" s="979"/>
      <c r="B601" s="980"/>
      <c r="C601" s="979"/>
      <c r="D601" s="981"/>
      <c r="E601" s="981"/>
      <c r="F601" s="981"/>
      <c r="G601" s="979"/>
      <c r="H601" s="981"/>
      <c r="I601" s="981"/>
      <c r="J601" s="979"/>
      <c r="K601" s="981" t="b">
        <v>0</v>
      </c>
      <c r="L601" s="980"/>
    </row>
    <row r="602">
      <c r="A602" s="974"/>
      <c r="B602" s="975"/>
      <c r="C602" s="974"/>
      <c r="D602" s="982"/>
      <c r="E602" s="982"/>
      <c r="F602" s="982"/>
      <c r="G602" s="974"/>
      <c r="H602" s="982"/>
      <c r="I602" s="982"/>
      <c r="J602" s="974"/>
      <c r="K602" s="982" t="b">
        <v>0</v>
      </c>
      <c r="L602" s="975"/>
    </row>
    <row r="603">
      <c r="A603" s="979"/>
      <c r="B603" s="980"/>
      <c r="C603" s="979"/>
      <c r="D603" s="981"/>
      <c r="E603" s="981"/>
      <c r="F603" s="981"/>
      <c r="G603" s="979"/>
      <c r="H603" s="981"/>
      <c r="I603" s="981"/>
      <c r="J603" s="979"/>
      <c r="K603" s="981" t="b">
        <v>0</v>
      </c>
      <c r="L603" s="980"/>
    </row>
    <row r="604">
      <c r="A604" s="974"/>
      <c r="B604" s="975"/>
      <c r="C604" s="974"/>
      <c r="D604" s="982"/>
      <c r="E604" s="982"/>
      <c r="F604" s="982"/>
      <c r="G604" s="974"/>
      <c r="H604" s="982"/>
      <c r="I604" s="982"/>
      <c r="J604" s="974"/>
      <c r="K604" s="982" t="b">
        <v>0</v>
      </c>
      <c r="L604" s="975"/>
    </row>
    <row r="605">
      <c r="A605" s="979"/>
      <c r="B605" s="980"/>
      <c r="C605" s="979"/>
      <c r="D605" s="981"/>
      <c r="E605" s="981"/>
      <c r="F605" s="981"/>
      <c r="G605" s="979"/>
      <c r="H605" s="981"/>
      <c r="I605" s="981"/>
      <c r="J605" s="979"/>
      <c r="K605" s="981" t="b">
        <v>0</v>
      </c>
      <c r="L605" s="980"/>
    </row>
    <row r="606">
      <c r="A606" s="974"/>
      <c r="B606" s="975"/>
      <c r="C606" s="974"/>
      <c r="D606" s="982"/>
      <c r="E606" s="982"/>
      <c r="F606" s="982"/>
      <c r="G606" s="974"/>
      <c r="H606" s="982"/>
      <c r="I606" s="982"/>
      <c r="J606" s="974"/>
      <c r="K606" s="982" t="b">
        <v>0</v>
      </c>
      <c r="L606" s="975"/>
    </row>
    <row r="607">
      <c r="A607" s="979"/>
      <c r="B607" s="980"/>
      <c r="C607" s="979"/>
      <c r="D607" s="981"/>
      <c r="E607" s="981"/>
      <c r="F607" s="981"/>
      <c r="G607" s="979"/>
      <c r="H607" s="981"/>
      <c r="I607" s="981"/>
      <c r="J607" s="979"/>
      <c r="K607" s="981" t="b">
        <v>0</v>
      </c>
      <c r="L607" s="980"/>
    </row>
    <row r="608">
      <c r="A608" s="974"/>
      <c r="B608" s="975"/>
      <c r="C608" s="974"/>
      <c r="D608" s="982"/>
      <c r="E608" s="982"/>
      <c r="F608" s="982"/>
      <c r="G608" s="974"/>
      <c r="H608" s="982"/>
      <c r="I608" s="982"/>
      <c r="J608" s="974"/>
      <c r="K608" s="982" t="b">
        <v>0</v>
      </c>
      <c r="L608" s="975"/>
    </row>
    <row r="609">
      <c r="A609" s="979"/>
      <c r="B609" s="980"/>
      <c r="C609" s="979"/>
      <c r="D609" s="981"/>
      <c r="E609" s="981"/>
      <c r="F609" s="981"/>
      <c r="G609" s="979"/>
      <c r="H609" s="981"/>
      <c r="I609" s="981"/>
      <c r="J609" s="979"/>
      <c r="K609" s="981" t="b">
        <v>0</v>
      </c>
      <c r="L609" s="980"/>
    </row>
    <row r="610">
      <c r="A610" s="974"/>
      <c r="B610" s="975"/>
      <c r="C610" s="974"/>
      <c r="D610" s="982"/>
      <c r="E610" s="982"/>
      <c r="F610" s="982"/>
      <c r="G610" s="974"/>
      <c r="H610" s="982"/>
      <c r="I610" s="982"/>
      <c r="J610" s="974"/>
      <c r="K610" s="982" t="b">
        <v>0</v>
      </c>
      <c r="L610" s="975"/>
    </row>
    <row r="611">
      <c r="A611" s="979"/>
      <c r="B611" s="980"/>
      <c r="C611" s="979"/>
      <c r="D611" s="981"/>
      <c r="E611" s="981"/>
      <c r="F611" s="981"/>
      <c r="G611" s="979"/>
      <c r="H611" s="981"/>
      <c r="I611" s="981"/>
      <c r="J611" s="979"/>
      <c r="K611" s="981" t="b">
        <v>0</v>
      </c>
      <c r="L611" s="980"/>
    </row>
    <row r="612">
      <c r="A612" s="974"/>
      <c r="B612" s="975"/>
      <c r="C612" s="974"/>
      <c r="D612" s="982"/>
      <c r="E612" s="982"/>
      <c r="F612" s="982"/>
      <c r="G612" s="974"/>
      <c r="H612" s="982"/>
      <c r="I612" s="982"/>
      <c r="J612" s="974"/>
      <c r="K612" s="982" t="b">
        <v>0</v>
      </c>
      <c r="L612" s="975"/>
    </row>
    <row r="613">
      <c r="A613" s="979"/>
      <c r="B613" s="980"/>
      <c r="C613" s="979"/>
      <c r="D613" s="981"/>
      <c r="E613" s="981"/>
      <c r="F613" s="981"/>
      <c r="G613" s="979"/>
      <c r="H613" s="981"/>
      <c r="I613" s="981"/>
      <c r="J613" s="979"/>
      <c r="K613" s="981" t="b">
        <v>0</v>
      </c>
      <c r="L613" s="980"/>
    </row>
    <row r="614">
      <c r="A614" s="974"/>
      <c r="B614" s="975"/>
      <c r="C614" s="974"/>
      <c r="D614" s="982"/>
      <c r="E614" s="982"/>
      <c r="F614" s="982"/>
      <c r="G614" s="974"/>
      <c r="H614" s="982"/>
      <c r="I614" s="982"/>
      <c r="J614" s="974"/>
      <c r="K614" s="982" t="b">
        <v>0</v>
      </c>
      <c r="L614" s="975"/>
    </row>
    <row r="615">
      <c r="A615" s="979"/>
      <c r="B615" s="980"/>
      <c r="C615" s="979"/>
      <c r="D615" s="981"/>
      <c r="E615" s="981"/>
      <c r="F615" s="981"/>
      <c r="G615" s="979"/>
      <c r="H615" s="981"/>
      <c r="I615" s="981"/>
      <c r="J615" s="979"/>
      <c r="K615" s="981" t="b">
        <v>0</v>
      </c>
      <c r="L615" s="980"/>
    </row>
    <row r="616">
      <c r="A616" s="974"/>
      <c r="B616" s="975"/>
      <c r="C616" s="974"/>
      <c r="D616" s="982"/>
      <c r="E616" s="982"/>
      <c r="F616" s="982"/>
      <c r="G616" s="974"/>
      <c r="H616" s="982"/>
      <c r="I616" s="982"/>
      <c r="J616" s="974"/>
      <c r="K616" s="982" t="b">
        <v>0</v>
      </c>
      <c r="L616" s="975"/>
    </row>
    <row r="617">
      <c r="A617" s="979"/>
      <c r="B617" s="980"/>
      <c r="C617" s="979"/>
      <c r="D617" s="981"/>
      <c r="E617" s="981"/>
      <c r="F617" s="981"/>
      <c r="G617" s="979"/>
      <c r="H617" s="981"/>
      <c r="I617" s="981"/>
      <c r="J617" s="979"/>
      <c r="K617" s="981" t="b">
        <v>0</v>
      </c>
      <c r="L617" s="980"/>
    </row>
    <row r="618">
      <c r="A618" s="974"/>
      <c r="B618" s="975"/>
      <c r="C618" s="974"/>
      <c r="D618" s="982"/>
      <c r="E618" s="982"/>
      <c r="F618" s="982"/>
      <c r="G618" s="974"/>
      <c r="H618" s="982"/>
      <c r="I618" s="982"/>
      <c r="J618" s="974"/>
      <c r="K618" s="982" t="b">
        <v>0</v>
      </c>
      <c r="L618" s="975"/>
    </row>
    <row r="619">
      <c r="A619" s="979"/>
      <c r="B619" s="980"/>
      <c r="C619" s="979"/>
      <c r="D619" s="981"/>
      <c r="E619" s="981"/>
      <c r="F619" s="981"/>
      <c r="G619" s="979"/>
      <c r="H619" s="981"/>
      <c r="I619" s="981"/>
      <c r="J619" s="979"/>
      <c r="K619" s="981" t="b">
        <v>0</v>
      </c>
      <c r="L619" s="980"/>
    </row>
    <row r="620">
      <c r="A620" s="974"/>
      <c r="B620" s="975"/>
      <c r="C620" s="974"/>
      <c r="D620" s="982"/>
      <c r="E620" s="982"/>
      <c r="F620" s="982"/>
      <c r="G620" s="974"/>
      <c r="H620" s="982"/>
      <c r="I620" s="982"/>
      <c r="J620" s="974"/>
      <c r="K620" s="982" t="b">
        <v>0</v>
      </c>
      <c r="L620" s="975"/>
    </row>
    <row r="621">
      <c r="A621" s="979"/>
      <c r="B621" s="980"/>
      <c r="C621" s="979"/>
      <c r="D621" s="981"/>
      <c r="E621" s="981"/>
      <c r="F621" s="981"/>
      <c r="G621" s="979"/>
      <c r="H621" s="981"/>
      <c r="I621" s="981"/>
      <c r="J621" s="979"/>
      <c r="K621" s="981" t="b">
        <v>0</v>
      </c>
      <c r="L621" s="980"/>
    </row>
    <row r="622">
      <c r="A622" s="974"/>
      <c r="B622" s="975"/>
      <c r="C622" s="974"/>
      <c r="D622" s="982"/>
      <c r="E622" s="982"/>
      <c r="F622" s="982"/>
      <c r="G622" s="974"/>
      <c r="H622" s="982"/>
      <c r="I622" s="982"/>
      <c r="J622" s="974"/>
      <c r="K622" s="982" t="b">
        <v>0</v>
      </c>
      <c r="L622" s="975"/>
    </row>
    <row r="623">
      <c r="A623" s="979"/>
      <c r="B623" s="980"/>
      <c r="C623" s="979"/>
      <c r="D623" s="981"/>
      <c r="E623" s="981"/>
      <c r="F623" s="981"/>
      <c r="G623" s="979"/>
      <c r="H623" s="981"/>
      <c r="I623" s="981"/>
      <c r="J623" s="979"/>
      <c r="K623" s="981" t="b">
        <v>0</v>
      </c>
      <c r="L623" s="980"/>
    </row>
    <row r="624">
      <c r="A624" s="974"/>
      <c r="B624" s="975"/>
      <c r="C624" s="974"/>
      <c r="D624" s="982"/>
      <c r="E624" s="982"/>
      <c r="F624" s="982"/>
      <c r="G624" s="974"/>
      <c r="H624" s="982"/>
      <c r="I624" s="982"/>
      <c r="J624" s="974"/>
      <c r="K624" s="982" t="b">
        <v>0</v>
      </c>
      <c r="L624" s="975"/>
    </row>
    <row r="625">
      <c r="A625" s="979"/>
      <c r="B625" s="980"/>
      <c r="C625" s="979"/>
      <c r="D625" s="981"/>
      <c r="E625" s="981"/>
      <c r="F625" s="981"/>
      <c r="G625" s="979"/>
      <c r="H625" s="981"/>
      <c r="I625" s="981"/>
      <c r="J625" s="979"/>
      <c r="K625" s="981" t="b">
        <v>0</v>
      </c>
      <c r="L625" s="980"/>
    </row>
    <row r="626">
      <c r="A626" s="974"/>
      <c r="B626" s="975"/>
      <c r="C626" s="974"/>
      <c r="D626" s="982"/>
      <c r="E626" s="982"/>
      <c r="F626" s="982"/>
      <c r="G626" s="974"/>
      <c r="H626" s="982"/>
      <c r="I626" s="982"/>
      <c r="J626" s="974"/>
      <c r="K626" s="982" t="b">
        <v>0</v>
      </c>
      <c r="L626" s="975"/>
    </row>
    <row r="627">
      <c r="A627" s="979"/>
      <c r="B627" s="980"/>
      <c r="C627" s="979"/>
      <c r="D627" s="981"/>
      <c r="E627" s="981"/>
      <c r="F627" s="981"/>
      <c r="G627" s="979"/>
      <c r="H627" s="981"/>
      <c r="I627" s="981"/>
      <c r="J627" s="979"/>
      <c r="K627" s="981" t="b">
        <v>0</v>
      </c>
      <c r="L627" s="980"/>
    </row>
    <row r="628">
      <c r="A628" s="974"/>
      <c r="B628" s="975"/>
      <c r="C628" s="974"/>
      <c r="D628" s="982"/>
      <c r="E628" s="982"/>
      <c r="F628" s="982"/>
      <c r="G628" s="974"/>
      <c r="H628" s="982"/>
      <c r="I628" s="982"/>
      <c r="J628" s="974"/>
      <c r="K628" s="982" t="b">
        <v>0</v>
      </c>
      <c r="L628" s="975"/>
    </row>
    <row r="629">
      <c r="A629" s="979"/>
      <c r="B629" s="980"/>
      <c r="C629" s="979"/>
      <c r="D629" s="981"/>
      <c r="E629" s="981"/>
      <c r="F629" s="981"/>
      <c r="G629" s="979"/>
      <c r="H629" s="981"/>
      <c r="I629" s="981"/>
      <c r="J629" s="979"/>
      <c r="K629" s="981" t="b">
        <v>0</v>
      </c>
      <c r="L629" s="980"/>
    </row>
    <row r="630">
      <c r="A630" s="974"/>
      <c r="B630" s="975"/>
      <c r="C630" s="974"/>
      <c r="D630" s="982"/>
      <c r="E630" s="982"/>
      <c r="F630" s="982"/>
      <c r="G630" s="974"/>
      <c r="H630" s="982"/>
      <c r="I630" s="982"/>
      <c r="J630" s="974"/>
      <c r="K630" s="982" t="b">
        <v>0</v>
      </c>
      <c r="L630" s="975"/>
    </row>
    <row r="631">
      <c r="A631" s="979"/>
      <c r="B631" s="980"/>
      <c r="C631" s="979"/>
      <c r="D631" s="981"/>
      <c r="E631" s="981"/>
      <c r="F631" s="981"/>
      <c r="G631" s="979"/>
      <c r="H631" s="981"/>
      <c r="I631" s="981"/>
      <c r="J631" s="979"/>
      <c r="K631" s="981" t="b">
        <v>0</v>
      </c>
      <c r="L631" s="980"/>
    </row>
    <row r="632">
      <c r="A632" s="974"/>
      <c r="B632" s="975"/>
      <c r="C632" s="974"/>
      <c r="D632" s="982"/>
      <c r="E632" s="982"/>
      <c r="F632" s="982"/>
      <c r="G632" s="974"/>
      <c r="H632" s="982"/>
      <c r="I632" s="982"/>
      <c r="J632" s="974"/>
      <c r="K632" s="982" t="b">
        <v>0</v>
      </c>
      <c r="L632" s="975"/>
    </row>
    <row r="633">
      <c r="A633" s="979"/>
      <c r="B633" s="980"/>
      <c r="C633" s="979"/>
      <c r="D633" s="981"/>
      <c r="E633" s="981"/>
      <c r="F633" s="981"/>
      <c r="G633" s="979"/>
      <c r="H633" s="981"/>
      <c r="I633" s="981"/>
      <c r="J633" s="979"/>
      <c r="K633" s="981" t="b">
        <v>0</v>
      </c>
      <c r="L633" s="980"/>
    </row>
    <row r="634">
      <c r="A634" s="974"/>
      <c r="B634" s="975"/>
      <c r="C634" s="974"/>
      <c r="D634" s="982"/>
      <c r="E634" s="982"/>
      <c r="F634" s="982"/>
      <c r="G634" s="974"/>
      <c r="H634" s="982"/>
      <c r="I634" s="982"/>
      <c r="J634" s="974"/>
      <c r="K634" s="982" t="b">
        <v>0</v>
      </c>
      <c r="L634" s="975"/>
    </row>
    <row r="635">
      <c r="A635" s="979"/>
      <c r="B635" s="980"/>
      <c r="C635" s="979"/>
      <c r="D635" s="981"/>
      <c r="E635" s="981"/>
      <c r="F635" s="981"/>
      <c r="G635" s="979"/>
      <c r="H635" s="981"/>
      <c r="I635" s="981"/>
      <c r="J635" s="979"/>
      <c r="K635" s="981" t="b">
        <v>0</v>
      </c>
      <c r="L635" s="980"/>
    </row>
    <row r="636">
      <c r="A636" s="974"/>
      <c r="B636" s="975"/>
      <c r="C636" s="974"/>
      <c r="D636" s="982"/>
      <c r="E636" s="982"/>
      <c r="F636" s="982"/>
      <c r="G636" s="974"/>
      <c r="H636" s="982"/>
      <c r="I636" s="982"/>
      <c r="J636" s="974"/>
      <c r="K636" s="982" t="b">
        <v>0</v>
      </c>
      <c r="L636" s="975"/>
    </row>
    <row r="637">
      <c r="A637" s="979"/>
      <c r="B637" s="980"/>
      <c r="C637" s="979"/>
      <c r="D637" s="981"/>
      <c r="E637" s="981"/>
      <c r="F637" s="981"/>
      <c r="G637" s="979"/>
      <c r="H637" s="981"/>
      <c r="I637" s="981"/>
      <c r="J637" s="979"/>
      <c r="K637" s="981" t="b">
        <v>0</v>
      </c>
      <c r="L637" s="980"/>
    </row>
    <row r="638">
      <c r="A638" s="974"/>
      <c r="B638" s="975"/>
      <c r="C638" s="974"/>
      <c r="D638" s="982"/>
      <c r="E638" s="982"/>
      <c r="F638" s="982"/>
      <c r="G638" s="974"/>
      <c r="H638" s="982"/>
      <c r="I638" s="982"/>
      <c r="J638" s="974"/>
      <c r="K638" s="982" t="b">
        <v>0</v>
      </c>
      <c r="L638" s="975"/>
    </row>
    <row r="639">
      <c r="A639" s="979"/>
      <c r="B639" s="980"/>
      <c r="C639" s="979"/>
      <c r="D639" s="981"/>
      <c r="E639" s="981"/>
      <c r="F639" s="981"/>
      <c r="G639" s="979"/>
      <c r="H639" s="981"/>
      <c r="I639" s="981"/>
      <c r="J639" s="979"/>
      <c r="K639" s="981" t="b">
        <v>0</v>
      </c>
      <c r="L639" s="980"/>
    </row>
    <row r="640">
      <c r="A640" s="974"/>
      <c r="B640" s="975"/>
      <c r="C640" s="974"/>
      <c r="D640" s="982"/>
      <c r="E640" s="982"/>
      <c r="F640" s="982"/>
      <c r="G640" s="974"/>
      <c r="H640" s="982"/>
      <c r="I640" s="982"/>
      <c r="J640" s="974"/>
      <c r="K640" s="982" t="b">
        <v>0</v>
      </c>
      <c r="L640" s="975"/>
    </row>
    <row r="641">
      <c r="A641" s="979"/>
      <c r="B641" s="980"/>
      <c r="C641" s="979"/>
      <c r="D641" s="981"/>
      <c r="E641" s="981"/>
      <c r="F641" s="981"/>
      <c r="G641" s="979"/>
      <c r="H641" s="981"/>
      <c r="I641" s="981"/>
      <c r="J641" s="979"/>
      <c r="K641" s="981" t="b">
        <v>0</v>
      </c>
      <c r="L641" s="980"/>
    </row>
    <row r="642">
      <c r="A642" s="974"/>
      <c r="B642" s="975"/>
      <c r="C642" s="974"/>
      <c r="D642" s="982"/>
      <c r="E642" s="982"/>
      <c r="F642" s="982"/>
      <c r="G642" s="974"/>
      <c r="H642" s="982"/>
      <c r="I642" s="982"/>
      <c r="J642" s="974"/>
      <c r="K642" s="982" t="b">
        <v>0</v>
      </c>
      <c r="L642" s="975"/>
    </row>
    <row r="643">
      <c r="A643" s="979"/>
      <c r="B643" s="980"/>
      <c r="C643" s="979"/>
      <c r="D643" s="981"/>
      <c r="E643" s="981"/>
      <c r="F643" s="981"/>
      <c r="G643" s="979"/>
      <c r="H643" s="981"/>
      <c r="I643" s="981"/>
      <c r="J643" s="979"/>
      <c r="K643" s="981" t="b">
        <v>0</v>
      </c>
      <c r="L643" s="980"/>
    </row>
    <row r="644">
      <c r="A644" s="974"/>
      <c r="B644" s="975"/>
      <c r="C644" s="974"/>
      <c r="D644" s="982"/>
      <c r="E644" s="982"/>
      <c r="F644" s="982"/>
      <c r="G644" s="974"/>
      <c r="H644" s="982"/>
      <c r="I644" s="982"/>
      <c r="J644" s="974"/>
      <c r="K644" s="982" t="b">
        <v>0</v>
      </c>
      <c r="L644" s="975"/>
    </row>
    <row r="645">
      <c r="A645" s="979"/>
      <c r="B645" s="980"/>
      <c r="C645" s="979"/>
      <c r="D645" s="981"/>
      <c r="E645" s="981"/>
      <c r="F645" s="981"/>
      <c r="G645" s="979"/>
      <c r="H645" s="981"/>
      <c r="I645" s="981"/>
      <c r="J645" s="979"/>
      <c r="K645" s="981" t="b">
        <v>0</v>
      </c>
      <c r="L645" s="980"/>
    </row>
    <row r="646">
      <c r="A646" s="974"/>
      <c r="B646" s="975"/>
      <c r="C646" s="974"/>
      <c r="D646" s="982"/>
      <c r="E646" s="982"/>
      <c r="F646" s="982"/>
      <c r="G646" s="974"/>
      <c r="H646" s="982"/>
      <c r="I646" s="982"/>
      <c r="J646" s="974"/>
      <c r="K646" s="982" t="b">
        <v>0</v>
      </c>
      <c r="L646" s="975"/>
    </row>
    <row r="647">
      <c r="A647" s="979"/>
      <c r="B647" s="980"/>
      <c r="C647" s="979"/>
      <c r="D647" s="981"/>
      <c r="E647" s="981"/>
      <c r="F647" s="981"/>
      <c r="G647" s="979"/>
      <c r="H647" s="981"/>
      <c r="I647" s="981"/>
      <c r="J647" s="979"/>
      <c r="K647" s="981" t="b">
        <v>0</v>
      </c>
      <c r="L647" s="980"/>
    </row>
    <row r="648">
      <c r="A648" s="974"/>
      <c r="B648" s="975"/>
      <c r="C648" s="974"/>
      <c r="D648" s="982"/>
      <c r="E648" s="982"/>
      <c r="F648" s="982"/>
      <c r="G648" s="974"/>
      <c r="H648" s="982"/>
      <c r="I648" s="982"/>
      <c r="J648" s="974"/>
      <c r="K648" s="982" t="b">
        <v>0</v>
      </c>
      <c r="L648" s="975"/>
    </row>
    <row r="649">
      <c r="A649" s="979"/>
      <c r="B649" s="980"/>
      <c r="C649" s="979"/>
      <c r="D649" s="981"/>
      <c r="E649" s="981"/>
      <c r="F649" s="981"/>
      <c r="G649" s="979"/>
      <c r="H649" s="981"/>
      <c r="I649" s="981"/>
      <c r="J649" s="979"/>
      <c r="K649" s="981" t="b">
        <v>0</v>
      </c>
      <c r="L649" s="980"/>
    </row>
    <row r="650">
      <c r="A650" s="974"/>
      <c r="B650" s="975"/>
      <c r="C650" s="974"/>
      <c r="D650" s="982"/>
      <c r="E650" s="982"/>
      <c r="F650" s="982"/>
      <c r="G650" s="974"/>
      <c r="H650" s="982"/>
      <c r="I650" s="982"/>
      <c r="J650" s="974"/>
      <c r="K650" s="982" t="b">
        <v>0</v>
      </c>
      <c r="L650" s="975"/>
    </row>
    <row r="651">
      <c r="A651" s="979"/>
      <c r="B651" s="980"/>
      <c r="C651" s="979"/>
      <c r="D651" s="981"/>
      <c r="E651" s="981"/>
      <c r="F651" s="981"/>
      <c r="G651" s="979"/>
      <c r="H651" s="981"/>
      <c r="I651" s="981"/>
      <c r="J651" s="979"/>
      <c r="K651" s="981" t="b">
        <v>0</v>
      </c>
      <c r="L651" s="980"/>
    </row>
    <row r="652">
      <c r="A652" s="974"/>
      <c r="B652" s="975"/>
      <c r="C652" s="974"/>
      <c r="D652" s="982"/>
      <c r="E652" s="982"/>
      <c r="F652" s="982"/>
      <c r="G652" s="974"/>
      <c r="H652" s="982"/>
      <c r="I652" s="982"/>
      <c r="J652" s="974"/>
      <c r="K652" s="982" t="b">
        <v>0</v>
      </c>
      <c r="L652" s="975"/>
    </row>
    <row r="653">
      <c r="A653" s="979"/>
      <c r="B653" s="980"/>
      <c r="C653" s="979"/>
      <c r="D653" s="981"/>
      <c r="E653" s="981"/>
      <c r="F653" s="981"/>
      <c r="G653" s="979"/>
      <c r="H653" s="981"/>
      <c r="I653" s="981"/>
      <c r="J653" s="979"/>
      <c r="K653" s="981" t="b">
        <v>0</v>
      </c>
      <c r="L653" s="980"/>
    </row>
    <row r="654">
      <c r="A654" s="974"/>
      <c r="B654" s="975"/>
      <c r="C654" s="974"/>
      <c r="D654" s="982"/>
      <c r="E654" s="982"/>
      <c r="F654" s="982"/>
      <c r="G654" s="974"/>
      <c r="H654" s="982"/>
      <c r="I654" s="982"/>
      <c r="J654" s="974"/>
      <c r="K654" s="982" t="b">
        <v>0</v>
      </c>
      <c r="L654" s="975"/>
    </row>
    <row r="655">
      <c r="A655" s="979"/>
      <c r="B655" s="980"/>
      <c r="C655" s="979"/>
      <c r="D655" s="981"/>
      <c r="E655" s="981"/>
      <c r="F655" s="981"/>
      <c r="G655" s="979"/>
      <c r="H655" s="981"/>
      <c r="I655" s="981"/>
      <c r="J655" s="979"/>
      <c r="K655" s="981" t="b">
        <v>0</v>
      </c>
      <c r="L655" s="980"/>
    </row>
    <row r="656">
      <c r="A656" s="974"/>
      <c r="B656" s="975"/>
      <c r="C656" s="974"/>
      <c r="D656" s="982"/>
      <c r="E656" s="982"/>
      <c r="F656" s="982"/>
      <c r="G656" s="974"/>
      <c r="H656" s="982"/>
      <c r="I656" s="982"/>
      <c r="J656" s="974"/>
      <c r="K656" s="982" t="b">
        <v>0</v>
      </c>
      <c r="L656" s="975"/>
    </row>
    <row r="657">
      <c r="A657" s="979"/>
      <c r="B657" s="980"/>
      <c r="C657" s="979"/>
      <c r="D657" s="981"/>
      <c r="E657" s="981"/>
      <c r="F657" s="981"/>
      <c r="G657" s="979"/>
      <c r="H657" s="981"/>
      <c r="I657" s="981"/>
      <c r="J657" s="979"/>
      <c r="K657" s="981" t="b">
        <v>0</v>
      </c>
      <c r="L657" s="980"/>
    </row>
    <row r="658">
      <c r="A658" s="974"/>
      <c r="B658" s="975"/>
      <c r="C658" s="974"/>
      <c r="D658" s="982"/>
      <c r="E658" s="982"/>
      <c r="F658" s="982"/>
      <c r="G658" s="974"/>
      <c r="H658" s="982"/>
      <c r="I658" s="982"/>
      <c r="J658" s="974"/>
      <c r="K658" s="982" t="b">
        <v>0</v>
      </c>
      <c r="L658" s="975"/>
    </row>
    <row r="659">
      <c r="A659" s="979"/>
      <c r="B659" s="980"/>
      <c r="C659" s="979"/>
      <c r="D659" s="981"/>
      <c r="E659" s="981"/>
      <c r="F659" s="981"/>
      <c r="G659" s="979"/>
      <c r="H659" s="981"/>
      <c r="I659" s="981"/>
      <c r="J659" s="979"/>
      <c r="K659" s="981" t="b">
        <v>0</v>
      </c>
      <c r="L659" s="980"/>
    </row>
    <row r="660">
      <c r="A660" s="974"/>
      <c r="B660" s="975"/>
      <c r="C660" s="974"/>
      <c r="D660" s="982"/>
      <c r="E660" s="982"/>
      <c r="F660" s="982"/>
      <c r="G660" s="974"/>
      <c r="H660" s="982"/>
      <c r="I660" s="982"/>
      <c r="J660" s="974"/>
      <c r="K660" s="982" t="b">
        <v>0</v>
      </c>
      <c r="L660" s="975"/>
    </row>
    <row r="661">
      <c r="A661" s="979"/>
      <c r="B661" s="980"/>
      <c r="C661" s="979"/>
      <c r="D661" s="981"/>
      <c r="E661" s="981"/>
      <c r="F661" s="981"/>
      <c r="G661" s="979"/>
      <c r="H661" s="981"/>
      <c r="I661" s="981"/>
      <c r="J661" s="979"/>
      <c r="K661" s="981" t="b">
        <v>0</v>
      </c>
      <c r="L661" s="980"/>
    </row>
    <row r="662">
      <c r="A662" s="974"/>
      <c r="B662" s="975"/>
      <c r="C662" s="974"/>
      <c r="D662" s="982"/>
      <c r="E662" s="982"/>
      <c r="F662" s="982"/>
      <c r="G662" s="974"/>
      <c r="H662" s="982"/>
      <c r="I662" s="982"/>
      <c r="J662" s="974"/>
      <c r="K662" s="982" t="b">
        <v>0</v>
      </c>
      <c r="L662" s="975"/>
    </row>
    <row r="663">
      <c r="A663" s="979"/>
      <c r="B663" s="980"/>
      <c r="C663" s="979"/>
      <c r="D663" s="981"/>
      <c r="E663" s="981"/>
      <c r="F663" s="981"/>
      <c r="G663" s="979"/>
      <c r="H663" s="981"/>
      <c r="I663" s="981"/>
      <c r="J663" s="979"/>
      <c r="K663" s="981" t="b">
        <v>0</v>
      </c>
      <c r="L663" s="980"/>
    </row>
    <row r="664">
      <c r="A664" s="974"/>
      <c r="B664" s="975"/>
      <c r="C664" s="974"/>
      <c r="D664" s="982"/>
      <c r="E664" s="982"/>
      <c r="F664" s="982"/>
      <c r="G664" s="974"/>
      <c r="H664" s="982"/>
      <c r="I664" s="982"/>
      <c r="J664" s="974"/>
      <c r="K664" s="982" t="b">
        <v>0</v>
      </c>
      <c r="L664" s="975"/>
    </row>
    <row r="665">
      <c r="A665" s="979"/>
      <c r="B665" s="980"/>
      <c r="C665" s="979"/>
      <c r="D665" s="981"/>
      <c r="E665" s="981"/>
      <c r="F665" s="981"/>
      <c r="G665" s="979"/>
      <c r="H665" s="981"/>
      <c r="I665" s="981"/>
      <c r="J665" s="979"/>
      <c r="K665" s="981" t="b">
        <v>0</v>
      </c>
      <c r="L665" s="980"/>
    </row>
    <row r="666">
      <c r="A666" s="974"/>
      <c r="B666" s="975"/>
      <c r="C666" s="974"/>
      <c r="D666" s="982"/>
      <c r="E666" s="982"/>
      <c r="F666" s="982"/>
      <c r="G666" s="974"/>
      <c r="H666" s="982"/>
      <c r="I666" s="982"/>
      <c r="J666" s="974"/>
      <c r="K666" s="982" t="b">
        <v>0</v>
      </c>
      <c r="L666" s="975"/>
    </row>
    <row r="667">
      <c r="A667" s="979"/>
      <c r="B667" s="980"/>
      <c r="C667" s="979"/>
      <c r="D667" s="981"/>
      <c r="E667" s="981"/>
      <c r="F667" s="981"/>
      <c r="G667" s="979"/>
      <c r="H667" s="981"/>
      <c r="I667" s="981"/>
      <c r="J667" s="979"/>
      <c r="K667" s="981" t="b">
        <v>0</v>
      </c>
      <c r="L667" s="980"/>
    </row>
    <row r="668">
      <c r="A668" s="974"/>
      <c r="B668" s="975"/>
      <c r="C668" s="974"/>
      <c r="D668" s="982"/>
      <c r="E668" s="982"/>
      <c r="F668" s="982"/>
      <c r="G668" s="974"/>
      <c r="H668" s="982"/>
      <c r="I668" s="982"/>
      <c r="J668" s="974"/>
      <c r="K668" s="982" t="b">
        <v>0</v>
      </c>
      <c r="L668" s="975"/>
    </row>
    <row r="669">
      <c r="A669" s="979"/>
      <c r="B669" s="980"/>
      <c r="C669" s="979"/>
      <c r="D669" s="981"/>
      <c r="E669" s="981"/>
      <c r="F669" s="981"/>
      <c r="G669" s="979"/>
      <c r="H669" s="981"/>
      <c r="I669" s="981"/>
      <c r="J669" s="979"/>
      <c r="K669" s="981" t="b">
        <v>0</v>
      </c>
      <c r="L669" s="980"/>
    </row>
    <row r="670">
      <c r="A670" s="974"/>
      <c r="B670" s="975"/>
      <c r="C670" s="974"/>
      <c r="D670" s="982"/>
      <c r="E670" s="982"/>
      <c r="F670" s="982"/>
      <c r="G670" s="974"/>
      <c r="H670" s="982"/>
      <c r="I670" s="982"/>
      <c r="J670" s="974"/>
      <c r="K670" s="982" t="b">
        <v>0</v>
      </c>
      <c r="L670" s="975"/>
    </row>
    <row r="671">
      <c r="A671" s="979"/>
      <c r="B671" s="980"/>
      <c r="C671" s="979"/>
      <c r="D671" s="981"/>
      <c r="E671" s="981"/>
      <c r="F671" s="981"/>
      <c r="G671" s="979"/>
      <c r="H671" s="981"/>
      <c r="I671" s="981"/>
      <c r="J671" s="979"/>
      <c r="K671" s="981" t="b">
        <v>0</v>
      </c>
      <c r="L671" s="980"/>
    </row>
    <row r="672">
      <c r="A672" s="974"/>
      <c r="B672" s="975"/>
      <c r="C672" s="974"/>
      <c r="D672" s="982"/>
      <c r="E672" s="982"/>
      <c r="F672" s="982"/>
      <c r="G672" s="974"/>
      <c r="H672" s="982"/>
      <c r="I672" s="982"/>
      <c r="J672" s="974"/>
      <c r="K672" s="982" t="b">
        <v>0</v>
      </c>
      <c r="L672" s="975"/>
    </row>
    <row r="673">
      <c r="A673" s="979"/>
      <c r="B673" s="980"/>
      <c r="C673" s="979"/>
      <c r="D673" s="981"/>
      <c r="E673" s="981"/>
      <c r="F673" s="981"/>
      <c r="G673" s="979"/>
      <c r="H673" s="981"/>
      <c r="I673" s="981"/>
      <c r="J673" s="979"/>
      <c r="K673" s="981" t="b">
        <v>0</v>
      </c>
      <c r="L673" s="980"/>
    </row>
    <row r="674">
      <c r="A674" s="974"/>
      <c r="B674" s="975"/>
      <c r="C674" s="974"/>
      <c r="D674" s="982"/>
      <c r="E674" s="982"/>
      <c r="F674" s="982"/>
      <c r="G674" s="974"/>
      <c r="H674" s="982"/>
      <c r="I674" s="982"/>
      <c r="J674" s="974"/>
      <c r="K674" s="982" t="b">
        <v>0</v>
      </c>
      <c r="L674" s="975"/>
    </row>
    <row r="675">
      <c r="A675" s="979"/>
      <c r="B675" s="980"/>
      <c r="C675" s="979"/>
      <c r="D675" s="981"/>
      <c r="E675" s="981"/>
      <c r="F675" s="981"/>
      <c r="G675" s="979"/>
      <c r="H675" s="981"/>
      <c r="I675" s="981"/>
      <c r="J675" s="979"/>
      <c r="K675" s="981" t="b">
        <v>0</v>
      </c>
      <c r="L675" s="980"/>
    </row>
    <row r="676">
      <c r="A676" s="974"/>
      <c r="B676" s="975"/>
      <c r="C676" s="974"/>
      <c r="D676" s="982"/>
      <c r="E676" s="982"/>
      <c r="F676" s="982"/>
      <c r="G676" s="974"/>
      <c r="H676" s="982"/>
      <c r="I676" s="982"/>
      <c r="J676" s="974"/>
      <c r="K676" s="982" t="b">
        <v>0</v>
      </c>
      <c r="L676" s="975"/>
    </row>
    <row r="677">
      <c r="A677" s="979"/>
      <c r="B677" s="980"/>
      <c r="C677" s="979"/>
      <c r="D677" s="981"/>
      <c r="E677" s="981"/>
      <c r="F677" s="981"/>
      <c r="G677" s="979"/>
      <c r="H677" s="981"/>
      <c r="I677" s="981"/>
      <c r="J677" s="979"/>
      <c r="K677" s="981" t="b">
        <v>0</v>
      </c>
      <c r="L677" s="980"/>
    </row>
    <row r="678">
      <c r="A678" s="974"/>
      <c r="B678" s="975"/>
      <c r="C678" s="974"/>
      <c r="D678" s="982"/>
      <c r="E678" s="982"/>
      <c r="F678" s="982"/>
      <c r="G678" s="974"/>
      <c r="H678" s="982"/>
      <c r="I678" s="982"/>
      <c r="J678" s="974"/>
      <c r="K678" s="982" t="b">
        <v>0</v>
      </c>
      <c r="L678" s="975"/>
    </row>
    <row r="679">
      <c r="A679" s="979"/>
      <c r="B679" s="980"/>
      <c r="C679" s="979"/>
      <c r="D679" s="981"/>
      <c r="E679" s="981"/>
      <c r="F679" s="981"/>
      <c r="G679" s="979"/>
      <c r="H679" s="981"/>
      <c r="I679" s="981"/>
      <c r="J679" s="979"/>
      <c r="K679" s="981" t="b">
        <v>0</v>
      </c>
      <c r="L679" s="980"/>
    </row>
    <row r="680">
      <c r="A680" s="974"/>
      <c r="B680" s="975"/>
      <c r="C680" s="974"/>
      <c r="D680" s="982"/>
      <c r="E680" s="982"/>
      <c r="F680" s="982"/>
      <c r="G680" s="974"/>
      <c r="H680" s="982"/>
      <c r="I680" s="982"/>
      <c r="J680" s="974"/>
      <c r="K680" s="982" t="b">
        <v>0</v>
      </c>
      <c r="L680" s="975"/>
    </row>
    <row r="681">
      <c r="A681" s="979"/>
      <c r="B681" s="980"/>
      <c r="C681" s="979"/>
      <c r="D681" s="981"/>
      <c r="E681" s="981"/>
      <c r="F681" s="981"/>
      <c r="G681" s="979"/>
      <c r="H681" s="981"/>
      <c r="I681" s="981"/>
      <c r="J681" s="979"/>
      <c r="K681" s="981" t="b">
        <v>0</v>
      </c>
      <c r="L681" s="980"/>
    </row>
    <row r="682">
      <c r="A682" s="974"/>
      <c r="B682" s="975"/>
      <c r="C682" s="974"/>
      <c r="D682" s="982"/>
      <c r="E682" s="982"/>
      <c r="F682" s="982"/>
      <c r="G682" s="974"/>
      <c r="H682" s="982"/>
      <c r="I682" s="982"/>
      <c r="J682" s="974"/>
      <c r="K682" s="982" t="b">
        <v>0</v>
      </c>
      <c r="L682" s="975"/>
    </row>
    <row r="683">
      <c r="A683" s="979"/>
      <c r="B683" s="980"/>
      <c r="C683" s="979"/>
      <c r="D683" s="981"/>
      <c r="E683" s="981"/>
      <c r="F683" s="981"/>
      <c r="G683" s="979"/>
      <c r="H683" s="981"/>
      <c r="I683" s="981"/>
      <c r="J683" s="979"/>
      <c r="K683" s="981" t="b">
        <v>0</v>
      </c>
      <c r="L683" s="980"/>
    </row>
    <row r="684">
      <c r="A684" s="974"/>
      <c r="B684" s="975"/>
      <c r="C684" s="974"/>
      <c r="D684" s="982"/>
      <c r="E684" s="982"/>
      <c r="F684" s="982"/>
      <c r="G684" s="974"/>
      <c r="H684" s="982"/>
      <c r="I684" s="982"/>
      <c r="J684" s="974"/>
      <c r="K684" s="982" t="b">
        <v>0</v>
      </c>
      <c r="L684" s="975"/>
    </row>
    <row r="685">
      <c r="A685" s="979"/>
      <c r="B685" s="980"/>
      <c r="C685" s="979"/>
      <c r="D685" s="981"/>
      <c r="E685" s="981"/>
      <c r="F685" s="981"/>
      <c r="G685" s="979"/>
      <c r="H685" s="981"/>
      <c r="I685" s="981"/>
      <c r="J685" s="979"/>
      <c r="K685" s="981" t="b">
        <v>0</v>
      </c>
      <c r="L685" s="980"/>
    </row>
    <row r="686">
      <c r="A686" s="974"/>
      <c r="B686" s="975"/>
      <c r="C686" s="974"/>
      <c r="D686" s="982"/>
      <c r="E686" s="982"/>
      <c r="F686" s="982"/>
      <c r="G686" s="974"/>
      <c r="H686" s="982"/>
      <c r="I686" s="982"/>
      <c r="J686" s="974"/>
      <c r="K686" s="982" t="b">
        <v>0</v>
      </c>
      <c r="L686" s="975"/>
    </row>
    <row r="687">
      <c r="A687" s="979"/>
      <c r="B687" s="980"/>
      <c r="C687" s="979"/>
      <c r="D687" s="981"/>
      <c r="E687" s="981"/>
      <c r="F687" s="981"/>
      <c r="G687" s="979"/>
      <c r="H687" s="981"/>
      <c r="I687" s="981"/>
      <c r="J687" s="979"/>
      <c r="K687" s="981" t="b">
        <v>0</v>
      </c>
      <c r="L687" s="980"/>
    </row>
    <row r="688">
      <c r="A688" s="974"/>
      <c r="B688" s="975"/>
      <c r="C688" s="974"/>
      <c r="D688" s="982"/>
      <c r="E688" s="982"/>
      <c r="F688" s="982"/>
      <c r="G688" s="974"/>
      <c r="H688" s="982"/>
      <c r="I688" s="982"/>
      <c r="J688" s="974"/>
      <c r="K688" s="982" t="b">
        <v>0</v>
      </c>
      <c r="L688" s="975"/>
    </row>
    <row r="689">
      <c r="A689" s="979"/>
      <c r="B689" s="980"/>
      <c r="C689" s="979"/>
      <c r="D689" s="981"/>
      <c r="E689" s="981"/>
      <c r="F689" s="981"/>
      <c r="G689" s="979"/>
      <c r="H689" s="981"/>
      <c r="I689" s="981"/>
      <c r="J689" s="979"/>
      <c r="K689" s="981" t="b">
        <v>0</v>
      </c>
      <c r="L689" s="980"/>
    </row>
    <row r="690">
      <c r="A690" s="974"/>
      <c r="B690" s="975"/>
      <c r="C690" s="974"/>
      <c r="D690" s="982"/>
      <c r="E690" s="982"/>
      <c r="F690" s="982"/>
      <c r="G690" s="974"/>
      <c r="H690" s="982"/>
      <c r="I690" s="982"/>
      <c r="J690" s="974"/>
      <c r="K690" s="982" t="b">
        <v>0</v>
      </c>
      <c r="L690" s="975"/>
    </row>
    <row r="691">
      <c r="A691" s="979"/>
      <c r="B691" s="980"/>
      <c r="C691" s="979"/>
      <c r="D691" s="981"/>
      <c r="E691" s="981"/>
      <c r="F691" s="981"/>
      <c r="G691" s="979"/>
      <c r="H691" s="981"/>
      <c r="I691" s="981"/>
      <c r="J691" s="979"/>
      <c r="K691" s="981" t="b">
        <v>0</v>
      </c>
      <c r="L691" s="980"/>
    </row>
    <row r="692">
      <c r="A692" s="974"/>
      <c r="B692" s="975"/>
      <c r="C692" s="974"/>
      <c r="D692" s="982"/>
      <c r="E692" s="982"/>
      <c r="F692" s="982"/>
      <c r="G692" s="974"/>
      <c r="H692" s="982"/>
      <c r="I692" s="982"/>
      <c r="J692" s="974"/>
      <c r="K692" s="982" t="b">
        <v>0</v>
      </c>
      <c r="L692" s="975"/>
    </row>
    <row r="693">
      <c r="A693" s="979"/>
      <c r="B693" s="980"/>
      <c r="C693" s="979"/>
      <c r="D693" s="981"/>
      <c r="E693" s="981"/>
      <c r="F693" s="981"/>
      <c r="G693" s="979"/>
      <c r="H693" s="981"/>
      <c r="I693" s="981"/>
      <c r="J693" s="979"/>
      <c r="K693" s="981" t="b">
        <v>0</v>
      </c>
      <c r="L693" s="980"/>
    </row>
    <row r="694">
      <c r="A694" s="974"/>
      <c r="B694" s="975"/>
      <c r="C694" s="974"/>
      <c r="D694" s="982"/>
      <c r="E694" s="982"/>
      <c r="F694" s="982"/>
      <c r="G694" s="974"/>
      <c r="H694" s="982"/>
      <c r="I694" s="982"/>
      <c r="J694" s="974"/>
      <c r="K694" s="982" t="b">
        <v>0</v>
      </c>
      <c r="L694" s="975"/>
    </row>
    <row r="695">
      <c r="A695" s="979"/>
      <c r="B695" s="980"/>
      <c r="C695" s="979"/>
      <c r="D695" s="981"/>
      <c r="E695" s="981"/>
      <c r="F695" s="981"/>
      <c r="G695" s="979"/>
      <c r="H695" s="981"/>
      <c r="I695" s="981"/>
      <c r="J695" s="979"/>
      <c r="K695" s="981" t="b">
        <v>0</v>
      </c>
      <c r="L695" s="980"/>
    </row>
    <row r="696">
      <c r="A696" s="974"/>
      <c r="B696" s="975"/>
      <c r="C696" s="974"/>
      <c r="D696" s="982"/>
      <c r="E696" s="982"/>
      <c r="F696" s="982"/>
      <c r="G696" s="974"/>
      <c r="H696" s="982"/>
      <c r="I696" s="982"/>
      <c r="J696" s="974"/>
      <c r="K696" s="982" t="b">
        <v>0</v>
      </c>
      <c r="L696" s="975"/>
    </row>
    <row r="697">
      <c r="A697" s="979"/>
      <c r="B697" s="980"/>
      <c r="C697" s="979"/>
      <c r="D697" s="981"/>
      <c r="E697" s="981"/>
      <c r="F697" s="981"/>
      <c r="G697" s="979"/>
      <c r="H697" s="981"/>
      <c r="I697" s="981"/>
      <c r="J697" s="979"/>
      <c r="K697" s="981" t="b">
        <v>0</v>
      </c>
      <c r="L697" s="980"/>
    </row>
    <row r="698">
      <c r="A698" s="974"/>
      <c r="B698" s="975"/>
      <c r="C698" s="974"/>
      <c r="D698" s="982"/>
      <c r="E698" s="982"/>
      <c r="F698" s="982"/>
      <c r="G698" s="974"/>
      <c r="H698" s="982"/>
      <c r="I698" s="982"/>
      <c r="J698" s="974"/>
      <c r="K698" s="982" t="b">
        <v>0</v>
      </c>
      <c r="L698" s="975"/>
    </row>
    <row r="699">
      <c r="A699" s="979"/>
      <c r="B699" s="980"/>
      <c r="C699" s="979"/>
      <c r="D699" s="981"/>
      <c r="E699" s="981"/>
      <c r="F699" s="981"/>
      <c r="G699" s="979"/>
      <c r="H699" s="981"/>
      <c r="I699" s="981"/>
      <c r="J699" s="979"/>
      <c r="K699" s="981" t="b">
        <v>0</v>
      </c>
      <c r="L699" s="980"/>
    </row>
    <row r="700">
      <c r="A700" s="974"/>
      <c r="B700" s="975"/>
      <c r="C700" s="974"/>
      <c r="D700" s="982"/>
      <c r="E700" s="982"/>
      <c r="F700" s="982"/>
      <c r="G700" s="974"/>
      <c r="H700" s="982"/>
      <c r="I700" s="982"/>
      <c r="J700" s="974"/>
      <c r="K700" s="982" t="b">
        <v>0</v>
      </c>
      <c r="L700" s="975"/>
    </row>
    <row r="701">
      <c r="A701" s="979"/>
      <c r="B701" s="980"/>
      <c r="C701" s="979"/>
      <c r="D701" s="981"/>
      <c r="E701" s="981"/>
      <c r="F701" s="981"/>
      <c r="G701" s="979"/>
      <c r="H701" s="981"/>
      <c r="I701" s="981"/>
      <c r="J701" s="979"/>
      <c r="K701" s="981" t="b">
        <v>0</v>
      </c>
      <c r="L701" s="980"/>
    </row>
    <row r="702">
      <c r="A702" s="974"/>
      <c r="B702" s="975"/>
      <c r="C702" s="974"/>
      <c r="D702" s="982"/>
      <c r="E702" s="982"/>
      <c r="F702" s="982"/>
      <c r="G702" s="974"/>
      <c r="H702" s="982"/>
      <c r="I702" s="982"/>
      <c r="J702" s="974"/>
      <c r="K702" s="982" t="b">
        <v>0</v>
      </c>
      <c r="L702" s="975"/>
    </row>
    <row r="703">
      <c r="A703" s="979"/>
      <c r="B703" s="980"/>
      <c r="C703" s="979"/>
      <c r="D703" s="981"/>
      <c r="E703" s="981"/>
      <c r="F703" s="981"/>
      <c r="G703" s="979"/>
      <c r="H703" s="981"/>
      <c r="I703" s="981"/>
      <c r="J703" s="979"/>
      <c r="K703" s="981" t="b">
        <v>0</v>
      </c>
      <c r="L703" s="980"/>
    </row>
    <row r="704">
      <c r="A704" s="974"/>
      <c r="B704" s="975"/>
      <c r="C704" s="974"/>
      <c r="D704" s="982"/>
      <c r="E704" s="982"/>
      <c r="F704" s="982"/>
      <c r="G704" s="974"/>
      <c r="H704" s="982"/>
      <c r="I704" s="982"/>
      <c r="J704" s="974"/>
      <c r="K704" s="982" t="b">
        <v>0</v>
      </c>
      <c r="L704" s="975"/>
    </row>
    <row r="705">
      <c r="A705" s="979"/>
      <c r="B705" s="980"/>
      <c r="C705" s="979"/>
      <c r="D705" s="981"/>
      <c r="E705" s="981"/>
      <c r="F705" s="981"/>
      <c r="G705" s="979"/>
      <c r="H705" s="981"/>
      <c r="I705" s="981"/>
      <c r="J705" s="979"/>
      <c r="K705" s="981" t="b">
        <v>0</v>
      </c>
      <c r="L705" s="980"/>
    </row>
    <row r="706">
      <c r="A706" s="974"/>
      <c r="B706" s="975"/>
      <c r="C706" s="974"/>
      <c r="D706" s="982"/>
      <c r="E706" s="982"/>
      <c r="F706" s="982"/>
      <c r="G706" s="974"/>
      <c r="H706" s="982"/>
      <c r="I706" s="982"/>
      <c r="J706" s="974"/>
      <c r="K706" s="982" t="b">
        <v>0</v>
      </c>
      <c r="L706" s="975"/>
    </row>
    <row r="707">
      <c r="A707" s="979"/>
      <c r="B707" s="980"/>
      <c r="C707" s="979"/>
      <c r="D707" s="981"/>
      <c r="E707" s="981"/>
      <c r="F707" s="981"/>
      <c r="G707" s="979"/>
      <c r="H707" s="981"/>
      <c r="I707" s="981"/>
      <c r="J707" s="979"/>
      <c r="K707" s="981" t="b">
        <v>0</v>
      </c>
      <c r="L707" s="980"/>
    </row>
    <row r="708">
      <c r="A708" s="974"/>
      <c r="B708" s="975"/>
      <c r="C708" s="974"/>
      <c r="D708" s="982"/>
      <c r="E708" s="982"/>
      <c r="F708" s="982"/>
      <c r="G708" s="974"/>
      <c r="H708" s="982"/>
      <c r="I708" s="982"/>
      <c r="J708" s="974"/>
      <c r="K708" s="982" t="b">
        <v>0</v>
      </c>
      <c r="L708" s="975"/>
    </row>
    <row r="709">
      <c r="A709" s="979"/>
      <c r="B709" s="980"/>
      <c r="C709" s="979"/>
      <c r="D709" s="981"/>
      <c r="E709" s="981"/>
      <c r="F709" s="981"/>
      <c r="G709" s="979"/>
      <c r="H709" s="981"/>
      <c r="I709" s="981"/>
      <c r="J709" s="979"/>
      <c r="K709" s="981" t="b">
        <v>0</v>
      </c>
      <c r="L709" s="980"/>
    </row>
    <row r="710">
      <c r="A710" s="974"/>
      <c r="B710" s="975"/>
      <c r="C710" s="974"/>
      <c r="D710" s="982"/>
      <c r="E710" s="982"/>
      <c r="F710" s="982"/>
      <c r="G710" s="974"/>
      <c r="H710" s="982"/>
      <c r="I710" s="982"/>
      <c r="J710" s="974"/>
      <c r="K710" s="982" t="b">
        <v>0</v>
      </c>
      <c r="L710" s="975"/>
    </row>
    <row r="711">
      <c r="A711" s="979"/>
      <c r="B711" s="980"/>
      <c r="C711" s="979"/>
      <c r="D711" s="981"/>
      <c r="E711" s="981"/>
      <c r="F711" s="981"/>
      <c r="G711" s="979"/>
      <c r="H711" s="981"/>
      <c r="I711" s="981"/>
      <c r="J711" s="979"/>
      <c r="K711" s="981" t="b">
        <v>0</v>
      </c>
      <c r="L711" s="980"/>
    </row>
    <row r="712">
      <c r="A712" s="974"/>
      <c r="B712" s="975"/>
      <c r="C712" s="974"/>
      <c r="D712" s="982"/>
      <c r="E712" s="982"/>
      <c r="F712" s="982"/>
      <c r="G712" s="974"/>
      <c r="H712" s="982"/>
      <c r="I712" s="982"/>
      <c r="J712" s="974"/>
      <c r="K712" s="982" t="b">
        <v>0</v>
      </c>
      <c r="L712" s="975"/>
    </row>
    <row r="713">
      <c r="A713" s="979"/>
      <c r="B713" s="980"/>
      <c r="C713" s="979"/>
      <c r="D713" s="981"/>
      <c r="E713" s="981"/>
      <c r="F713" s="981"/>
      <c r="G713" s="979"/>
      <c r="H713" s="981"/>
      <c r="I713" s="981"/>
      <c r="J713" s="979"/>
      <c r="K713" s="981" t="b">
        <v>0</v>
      </c>
      <c r="L713" s="980"/>
    </row>
    <row r="714">
      <c r="A714" s="974"/>
      <c r="B714" s="975"/>
      <c r="C714" s="974"/>
      <c r="D714" s="982"/>
      <c r="E714" s="982"/>
      <c r="F714" s="982"/>
      <c r="G714" s="974"/>
      <c r="H714" s="982"/>
      <c r="I714" s="982"/>
      <c r="J714" s="974"/>
      <c r="K714" s="982" t="b">
        <v>0</v>
      </c>
      <c r="L714" s="975"/>
    </row>
    <row r="715">
      <c r="A715" s="979"/>
      <c r="B715" s="980"/>
      <c r="C715" s="979"/>
      <c r="D715" s="981"/>
      <c r="E715" s="981"/>
      <c r="F715" s="981"/>
      <c r="G715" s="979"/>
      <c r="H715" s="981"/>
      <c r="I715" s="981"/>
      <c r="J715" s="979"/>
      <c r="K715" s="981" t="b">
        <v>0</v>
      </c>
      <c r="L715" s="980"/>
    </row>
    <row r="716">
      <c r="A716" s="974"/>
      <c r="B716" s="975"/>
      <c r="C716" s="974"/>
      <c r="D716" s="982"/>
      <c r="E716" s="982"/>
      <c r="F716" s="982"/>
      <c r="G716" s="974"/>
      <c r="H716" s="982"/>
      <c r="I716" s="982"/>
      <c r="J716" s="974"/>
      <c r="K716" s="982" t="b">
        <v>0</v>
      </c>
      <c r="L716" s="975"/>
    </row>
    <row r="717">
      <c r="A717" s="979"/>
      <c r="B717" s="980"/>
      <c r="C717" s="979"/>
      <c r="D717" s="981"/>
      <c r="E717" s="981"/>
      <c r="F717" s="981"/>
      <c r="G717" s="979"/>
      <c r="H717" s="981"/>
      <c r="I717" s="981"/>
      <c r="J717" s="979"/>
      <c r="K717" s="981" t="b">
        <v>0</v>
      </c>
      <c r="L717" s="980"/>
    </row>
    <row r="718">
      <c r="A718" s="974"/>
      <c r="B718" s="975"/>
      <c r="C718" s="974"/>
      <c r="D718" s="982"/>
      <c r="E718" s="982"/>
      <c r="F718" s="982"/>
      <c r="G718" s="974"/>
      <c r="H718" s="982"/>
      <c r="I718" s="982"/>
      <c r="J718" s="974"/>
      <c r="K718" s="982" t="b">
        <v>0</v>
      </c>
      <c r="L718" s="975"/>
    </row>
    <row r="719">
      <c r="A719" s="979"/>
      <c r="B719" s="980"/>
      <c r="C719" s="979"/>
      <c r="D719" s="981"/>
      <c r="E719" s="981"/>
      <c r="F719" s="981"/>
      <c r="G719" s="979"/>
      <c r="H719" s="981"/>
      <c r="I719" s="981"/>
      <c r="J719" s="979"/>
      <c r="K719" s="981" t="b">
        <v>0</v>
      </c>
      <c r="L719" s="980"/>
    </row>
    <row r="720">
      <c r="A720" s="974"/>
      <c r="B720" s="975"/>
      <c r="C720" s="974"/>
      <c r="D720" s="982"/>
      <c r="E720" s="982"/>
      <c r="F720" s="982"/>
      <c r="G720" s="974"/>
      <c r="H720" s="982"/>
      <c r="I720" s="982"/>
      <c r="J720" s="974"/>
      <c r="K720" s="982" t="b">
        <v>0</v>
      </c>
      <c r="L720" s="975"/>
    </row>
    <row r="721">
      <c r="A721" s="979"/>
      <c r="B721" s="980"/>
      <c r="C721" s="979"/>
      <c r="D721" s="981"/>
      <c r="E721" s="981"/>
      <c r="F721" s="981"/>
      <c r="G721" s="979"/>
      <c r="H721" s="981"/>
      <c r="I721" s="981"/>
      <c r="J721" s="979"/>
      <c r="K721" s="981" t="b">
        <v>0</v>
      </c>
      <c r="L721" s="980"/>
    </row>
    <row r="722">
      <c r="A722" s="974"/>
      <c r="B722" s="975"/>
      <c r="C722" s="974"/>
      <c r="D722" s="982"/>
      <c r="E722" s="982"/>
      <c r="F722" s="982"/>
      <c r="G722" s="974"/>
      <c r="H722" s="982"/>
      <c r="I722" s="982"/>
      <c r="J722" s="974"/>
      <c r="K722" s="982" t="b">
        <v>0</v>
      </c>
      <c r="L722" s="975"/>
    </row>
    <row r="723">
      <c r="A723" s="979"/>
      <c r="B723" s="980"/>
      <c r="C723" s="979"/>
      <c r="D723" s="981"/>
      <c r="E723" s="981"/>
      <c r="F723" s="981"/>
      <c r="G723" s="979"/>
      <c r="H723" s="981"/>
      <c r="I723" s="981"/>
      <c r="J723" s="979"/>
      <c r="K723" s="981" t="b">
        <v>0</v>
      </c>
      <c r="L723" s="980"/>
    </row>
    <row r="724">
      <c r="A724" s="974"/>
      <c r="B724" s="975"/>
      <c r="C724" s="974"/>
      <c r="D724" s="982"/>
      <c r="E724" s="982"/>
      <c r="F724" s="982"/>
      <c r="G724" s="974"/>
      <c r="H724" s="982"/>
      <c r="I724" s="982"/>
      <c r="J724" s="974"/>
      <c r="K724" s="982" t="b">
        <v>0</v>
      </c>
      <c r="L724" s="975"/>
    </row>
    <row r="725">
      <c r="A725" s="979"/>
      <c r="B725" s="980"/>
      <c r="C725" s="979"/>
      <c r="D725" s="981"/>
      <c r="E725" s="981"/>
      <c r="F725" s="981"/>
      <c r="G725" s="979"/>
      <c r="H725" s="981"/>
      <c r="I725" s="981"/>
      <c r="J725" s="979"/>
      <c r="K725" s="981" t="b">
        <v>0</v>
      </c>
      <c r="L725" s="980"/>
    </row>
    <row r="726">
      <c r="A726" s="974"/>
      <c r="B726" s="975"/>
      <c r="C726" s="974"/>
      <c r="D726" s="982"/>
      <c r="E726" s="982"/>
      <c r="F726" s="982"/>
      <c r="G726" s="974"/>
      <c r="H726" s="982"/>
      <c r="I726" s="982"/>
      <c r="J726" s="974"/>
      <c r="K726" s="982" t="b">
        <v>0</v>
      </c>
      <c r="L726" s="975"/>
    </row>
    <row r="727">
      <c r="A727" s="979"/>
      <c r="B727" s="980"/>
      <c r="C727" s="979"/>
      <c r="D727" s="981"/>
      <c r="E727" s="981"/>
      <c r="F727" s="981"/>
      <c r="G727" s="979"/>
      <c r="H727" s="981"/>
      <c r="I727" s="981"/>
      <c r="J727" s="979"/>
      <c r="K727" s="981" t="b">
        <v>0</v>
      </c>
      <c r="L727" s="980"/>
    </row>
    <row r="728">
      <c r="A728" s="974"/>
      <c r="B728" s="975"/>
      <c r="C728" s="974"/>
      <c r="D728" s="982"/>
      <c r="E728" s="982"/>
      <c r="F728" s="982"/>
      <c r="G728" s="974"/>
      <c r="H728" s="982"/>
      <c r="I728" s="982"/>
      <c r="J728" s="974"/>
      <c r="K728" s="982" t="b">
        <v>0</v>
      </c>
      <c r="L728" s="975"/>
    </row>
    <row r="729">
      <c r="A729" s="979"/>
      <c r="B729" s="980"/>
      <c r="C729" s="979"/>
      <c r="D729" s="981"/>
      <c r="E729" s="981"/>
      <c r="F729" s="981"/>
      <c r="G729" s="979"/>
      <c r="H729" s="981"/>
      <c r="I729" s="981"/>
      <c r="J729" s="979"/>
      <c r="K729" s="981" t="b">
        <v>0</v>
      </c>
      <c r="L729" s="980"/>
    </row>
    <row r="730">
      <c r="A730" s="974"/>
      <c r="B730" s="975"/>
      <c r="C730" s="974"/>
      <c r="D730" s="982"/>
      <c r="E730" s="982"/>
      <c r="F730" s="982"/>
      <c r="G730" s="974"/>
      <c r="H730" s="982"/>
      <c r="I730" s="982"/>
      <c r="J730" s="974"/>
      <c r="K730" s="982" t="b">
        <v>0</v>
      </c>
      <c r="L730" s="975"/>
    </row>
    <row r="731">
      <c r="A731" s="979"/>
      <c r="B731" s="980"/>
      <c r="C731" s="979"/>
      <c r="D731" s="981"/>
      <c r="E731" s="981"/>
      <c r="F731" s="981"/>
      <c r="G731" s="979"/>
      <c r="H731" s="981"/>
      <c r="I731" s="981"/>
      <c r="J731" s="979"/>
      <c r="K731" s="981" t="b">
        <v>0</v>
      </c>
      <c r="L731" s="980"/>
    </row>
    <row r="732">
      <c r="A732" s="974"/>
      <c r="B732" s="975"/>
      <c r="C732" s="974"/>
      <c r="D732" s="982"/>
      <c r="E732" s="982"/>
      <c r="F732" s="982"/>
      <c r="G732" s="974"/>
      <c r="H732" s="982"/>
      <c r="I732" s="982"/>
      <c r="J732" s="974"/>
      <c r="K732" s="982" t="b">
        <v>0</v>
      </c>
      <c r="L732" s="975"/>
    </row>
    <row r="733">
      <c r="A733" s="979"/>
      <c r="B733" s="980"/>
      <c r="C733" s="979"/>
      <c r="D733" s="981"/>
      <c r="E733" s="981"/>
      <c r="F733" s="981"/>
      <c r="G733" s="979"/>
      <c r="H733" s="981"/>
      <c r="I733" s="981"/>
      <c r="J733" s="979"/>
      <c r="K733" s="981" t="b">
        <v>0</v>
      </c>
      <c r="L733" s="980"/>
    </row>
    <row r="734">
      <c r="A734" s="974"/>
      <c r="B734" s="975"/>
      <c r="C734" s="974"/>
      <c r="D734" s="982"/>
      <c r="E734" s="982"/>
      <c r="F734" s="982"/>
      <c r="G734" s="974"/>
      <c r="H734" s="982"/>
      <c r="I734" s="982"/>
      <c r="J734" s="974"/>
      <c r="K734" s="982" t="b">
        <v>0</v>
      </c>
      <c r="L734" s="975"/>
    </row>
    <row r="735">
      <c r="A735" s="979"/>
      <c r="B735" s="980"/>
      <c r="C735" s="979"/>
      <c r="D735" s="981"/>
      <c r="E735" s="981"/>
      <c r="F735" s="981"/>
      <c r="G735" s="979"/>
      <c r="H735" s="981"/>
      <c r="I735" s="981"/>
      <c r="J735" s="979"/>
      <c r="K735" s="981" t="b">
        <v>0</v>
      </c>
      <c r="L735" s="980"/>
    </row>
    <row r="736">
      <c r="A736" s="974"/>
      <c r="B736" s="975"/>
      <c r="C736" s="974"/>
      <c r="D736" s="982"/>
      <c r="E736" s="982"/>
      <c r="F736" s="982"/>
      <c r="G736" s="974"/>
      <c r="H736" s="982"/>
      <c r="I736" s="982"/>
      <c r="J736" s="974"/>
      <c r="K736" s="982" t="b">
        <v>0</v>
      </c>
      <c r="L736" s="975"/>
    </row>
    <row r="737">
      <c r="A737" s="979"/>
      <c r="B737" s="980"/>
      <c r="C737" s="979"/>
      <c r="D737" s="981"/>
      <c r="E737" s="981"/>
      <c r="F737" s="981"/>
      <c r="G737" s="979"/>
      <c r="H737" s="981"/>
      <c r="I737" s="981"/>
      <c r="J737" s="979"/>
      <c r="K737" s="981" t="b">
        <v>0</v>
      </c>
      <c r="L737" s="980"/>
    </row>
    <row r="738">
      <c r="A738" s="974"/>
      <c r="B738" s="975"/>
      <c r="C738" s="974"/>
      <c r="D738" s="982"/>
      <c r="E738" s="982"/>
      <c r="F738" s="982"/>
      <c r="G738" s="974"/>
      <c r="H738" s="982"/>
      <c r="I738" s="982"/>
      <c r="J738" s="974"/>
      <c r="K738" s="982" t="b">
        <v>0</v>
      </c>
      <c r="L738" s="975"/>
    </row>
    <row r="739">
      <c r="A739" s="979"/>
      <c r="B739" s="980"/>
      <c r="C739" s="979"/>
      <c r="D739" s="981"/>
      <c r="E739" s="981"/>
      <c r="F739" s="981"/>
      <c r="G739" s="979"/>
      <c r="H739" s="981"/>
      <c r="I739" s="981"/>
      <c r="J739" s="979"/>
      <c r="K739" s="981" t="b">
        <v>0</v>
      </c>
      <c r="L739" s="980"/>
    </row>
    <row r="740">
      <c r="A740" s="974"/>
      <c r="B740" s="975"/>
      <c r="C740" s="974"/>
      <c r="D740" s="982"/>
      <c r="E740" s="982"/>
      <c r="F740" s="982"/>
      <c r="G740" s="974"/>
      <c r="H740" s="982"/>
      <c r="I740" s="982"/>
      <c r="J740" s="974"/>
      <c r="K740" s="982" t="b">
        <v>0</v>
      </c>
      <c r="L740" s="975"/>
    </row>
    <row r="741">
      <c r="A741" s="979"/>
      <c r="B741" s="980"/>
      <c r="C741" s="979"/>
      <c r="D741" s="981"/>
      <c r="E741" s="981"/>
      <c r="F741" s="981"/>
      <c r="G741" s="979"/>
      <c r="H741" s="981"/>
      <c r="I741" s="981"/>
      <c r="J741" s="979"/>
      <c r="K741" s="981" t="b">
        <v>0</v>
      </c>
      <c r="L741" s="980"/>
    </row>
    <row r="742">
      <c r="A742" s="974"/>
      <c r="B742" s="975"/>
      <c r="C742" s="974"/>
      <c r="D742" s="982"/>
      <c r="E742" s="982"/>
      <c r="F742" s="982"/>
      <c r="G742" s="974"/>
      <c r="H742" s="982"/>
      <c r="I742" s="982"/>
      <c r="J742" s="974"/>
      <c r="K742" s="982" t="b">
        <v>0</v>
      </c>
      <c r="L742" s="975"/>
    </row>
    <row r="743">
      <c r="A743" s="979"/>
      <c r="B743" s="980"/>
      <c r="C743" s="979"/>
      <c r="D743" s="981"/>
      <c r="E743" s="981"/>
      <c r="F743" s="981"/>
      <c r="G743" s="979"/>
      <c r="H743" s="981"/>
      <c r="I743" s="981"/>
      <c r="J743" s="979"/>
      <c r="K743" s="981" t="b">
        <v>0</v>
      </c>
      <c r="L743" s="980"/>
    </row>
    <row r="744">
      <c r="A744" s="974"/>
      <c r="B744" s="975"/>
      <c r="C744" s="974"/>
      <c r="D744" s="982"/>
      <c r="E744" s="982"/>
      <c r="F744" s="982"/>
      <c r="G744" s="974"/>
      <c r="H744" s="982"/>
      <c r="I744" s="982"/>
      <c r="J744" s="974"/>
      <c r="K744" s="982" t="b">
        <v>0</v>
      </c>
      <c r="L744" s="975"/>
    </row>
    <row r="745">
      <c r="A745" s="979"/>
      <c r="B745" s="980"/>
      <c r="C745" s="979"/>
      <c r="D745" s="981"/>
      <c r="E745" s="981"/>
      <c r="F745" s="981"/>
      <c r="G745" s="979"/>
      <c r="H745" s="981"/>
      <c r="I745" s="981"/>
      <c r="J745" s="979"/>
      <c r="K745" s="981" t="b">
        <v>0</v>
      </c>
      <c r="L745" s="980"/>
    </row>
    <row r="746">
      <c r="A746" s="974"/>
      <c r="B746" s="975"/>
      <c r="C746" s="974"/>
      <c r="D746" s="982"/>
      <c r="E746" s="982"/>
      <c r="F746" s="982"/>
      <c r="G746" s="974"/>
      <c r="H746" s="982"/>
      <c r="I746" s="982"/>
      <c r="J746" s="974"/>
      <c r="K746" s="982" t="b">
        <v>0</v>
      </c>
      <c r="L746" s="975"/>
    </row>
    <row r="747">
      <c r="A747" s="979"/>
      <c r="B747" s="980"/>
      <c r="C747" s="979"/>
      <c r="D747" s="981"/>
      <c r="E747" s="981"/>
      <c r="F747" s="981"/>
      <c r="G747" s="979"/>
      <c r="H747" s="981"/>
      <c r="I747" s="981"/>
      <c r="J747" s="979"/>
      <c r="K747" s="981" t="b">
        <v>0</v>
      </c>
      <c r="L747" s="980"/>
    </row>
    <row r="748">
      <c r="A748" s="974"/>
      <c r="B748" s="975"/>
      <c r="C748" s="974"/>
      <c r="D748" s="982"/>
      <c r="E748" s="982"/>
      <c r="F748" s="982"/>
      <c r="G748" s="974"/>
      <c r="H748" s="982"/>
      <c r="I748" s="982"/>
      <c r="J748" s="974"/>
      <c r="K748" s="982" t="b">
        <v>0</v>
      </c>
      <c r="L748" s="975"/>
    </row>
    <row r="749">
      <c r="A749" s="979"/>
      <c r="B749" s="980"/>
      <c r="C749" s="979"/>
      <c r="D749" s="981"/>
      <c r="E749" s="981"/>
      <c r="F749" s="981"/>
      <c r="G749" s="979"/>
      <c r="H749" s="981"/>
      <c r="I749" s="981"/>
      <c r="J749" s="979"/>
      <c r="K749" s="981" t="b">
        <v>0</v>
      </c>
      <c r="L749" s="980"/>
    </row>
    <row r="750">
      <c r="A750" s="974"/>
      <c r="B750" s="975"/>
      <c r="C750" s="974"/>
      <c r="D750" s="982"/>
      <c r="E750" s="982"/>
      <c r="F750" s="982"/>
      <c r="G750" s="974"/>
      <c r="H750" s="982"/>
      <c r="I750" s="982"/>
      <c r="J750" s="974"/>
      <c r="K750" s="982" t="b">
        <v>0</v>
      </c>
      <c r="L750" s="975"/>
    </row>
    <row r="751">
      <c r="A751" s="979"/>
      <c r="B751" s="980"/>
      <c r="C751" s="979"/>
      <c r="D751" s="981"/>
      <c r="E751" s="981"/>
      <c r="F751" s="981"/>
      <c r="G751" s="979"/>
      <c r="H751" s="981"/>
      <c r="I751" s="981"/>
      <c r="J751" s="979"/>
      <c r="K751" s="981" t="b">
        <v>0</v>
      </c>
      <c r="L751" s="980"/>
    </row>
    <row r="752">
      <c r="A752" s="974"/>
      <c r="B752" s="975"/>
      <c r="C752" s="974"/>
      <c r="D752" s="982"/>
      <c r="E752" s="982"/>
      <c r="F752" s="982"/>
      <c r="G752" s="974"/>
      <c r="H752" s="982"/>
      <c r="I752" s="982"/>
      <c r="J752" s="974"/>
      <c r="K752" s="982" t="b">
        <v>0</v>
      </c>
      <c r="L752" s="975"/>
    </row>
    <row r="753">
      <c r="A753" s="979"/>
      <c r="B753" s="980"/>
      <c r="C753" s="979"/>
      <c r="D753" s="981"/>
      <c r="E753" s="981"/>
      <c r="F753" s="981"/>
      <c r="G753" s="979"/>
      <c r="H753" s="981"/>
      <c r="I753" s="981"/>
      <c r="J753" s="979"/>
      <c r="K753" s="981" t="b">
        <v>0</v>
      </c>
      <c r="L753" s="980"/>
    </row>
    <row r="754">
      <c r="A754" s="974"/>
      <c r="B754" s="975"/>
      <c r="C754" s="974"/>
      <c r="D754" s="982"/>
      <c r="E754" s="982"/>
      <c r="F754" s="982"/>
      <c r="G754" s="974"/>
      <c r="H754" s="982"/>
      <c r="I754" s="982"/>
      <c r="J754" s="974"/>
      <c r="K754" s="982" t="b">
        <v>0</v>
      </c>
      <c r="L754" s="975"/>
    </row>
    <row r="755">
      <c r="A755" s="979"/>
      <c r="B755" s="980"/>
      <c r="C755" s="979"/>
      <c r="D755" s="981"/>
      <c r="E755" s="981"/>
      <c r="F755" s="981"/>
      <c r="G755" s="979"/>
      <c r="H755" s="981"/>
      <c r="I755" s="981"/>
      <c r="J755" s="979"/>
      <c r="K755" s="981" t="b">
        <v>0</v>
      </c>
      <c r="L755" s="980"/>
    </row>
    <row r="756">
      <c r="A756" s="974"/>
      <c r="B756" s="975"/>
      <c r="C756" s="974"/>
      <c r="D756" s="982"/>
      <c r="E756" s="982"/>
      <c r="F756" s="982"/>
      <c r="G756" s="974"/>
      <c r="H756" s="982"/>
      <c r="I756" s="982"/>
      <c r="J756" s="974"/>
      <c r="K756" s="982" t="b">
        <v>0</v>
      </c>
      <c r="L756" s="975"/>
    </row>
    <row r="757">
      <c r="A757" s="979"/>
      <c r="B757" s="980"/>
      <c r="C757" s="979"/>
      <c r="D757" s="981"/>
      <c r="E757" s="981"/>
      <c r="F757" s="981"/>
      <c r="G757" s="979"/>
      <c r="H757" s="981"/>
      <c r="I757" s="981"/>
      <c r="J757" s="979"/>
      <c r="K757" s="981" t="b">
        <v>0</v>
      </c>
      <c r="L757" s="980"/>
    </row>
    <row r="758">
      <c r="A758" s="974"/>
      <c r="B758" s="975"/>
      <c r="C758" s="974"/>
      <c r="D758" s="982"/>
      <c r="E758" s="982"/>
      <c r="F758" s="982"/>
      <c r="G758" s="974"/>
      <c r="H758" s="982"/>
      <c r="I758" s="982"/>
      <c r="J758" s="974"/>
      <c r="K758" s="982" t="b">
        <v>0</v>
      </c>
      <c r="L758" s="975"/>
    </row>
    <row r="759">
      <c r="A759" s="979"/>
      <c r="B759" s="980"/>
      <c r="C759" s="979"/>
      <c r="D759" s="981"/>
      <c r="E759" s="981"/>
      <c r="F759" s="981"/>
      <c r="G759" s="979"/>
      <c r="H759" s="981"/>
      <c r="I759" s="981"/>
      <c r="J759" s="979"/>
      <c r="K759" s="981" t="b">
        <v>0</v>
      </c>
      <c r="L759" s="980"/>
    </row>
    <row r="760">
      <c r="A760" s="974"/>
      <c r="B760" s="975"/>
      <c r="C760" s="974"/>
      <c r="D760" s="982"/>
      <c r="E760" s="982"/>
      <c r="F760" s="982"/>
      <c r="G760" s="974"/>
      <c r="H760" s="982"/>
      <c r="I760" s="982"/>
      <c r="J760" s="974"/>
      <c r="K760" s="982" t="b">
        <v>0</v>
      </c>
      <c r="L760" s="975"/>
    </row>
    <row r="761">
      <c r="A761" s="979"/>
      <c r="B761" s="980"/>
      <c r="C761" s="979"/>
      <c r="D761" s="981"/>
      <c r="E761" s="981"/>
      <c r="F761" s="981"/>
      <c r="G761" s="979"/>
      <c r="H761" s="981"/>
      <c r="I761" s="981"/>
      <c r="J761" s="979"/>
      <c r="K761" s="981" t="b">
        <v>0</v>
      </c>
      <c r="L761" s="980"/>
    </row>
    <row r="762">
      <c r="A762" s="974"/>
      <c r="B762" s="975"/>
      <c r="C762" s="974"/>
      <c r="D762" s="982"/>
      <c r="E762" s="982"/>
      <c r="F762" s="982"/>
      <c r="G762" s="974"/>
      <c r="H762" s="982"/>
      <c r="I762" s="982"/>
      <c r="J762" s="974"/>
      <c r="K762" s="982" t="b">
        <v>0</v>
      </c>
      <c r="L762" s="975"/>
    </row>
    <row r="763">
      <c r="A763" s="979"/>
      <c r="B763" s="980"/>
      <c r="C763" s="979"/>
      <c r="D763" s="981"/>
      <c r="E763" s="981"/>
      <c r="F763" s="981"/>
      <c r="G763" s="979"/>
      <c r="H763" s="981"/>
      <c r="I763" s="981"/>
      <c r="J763" s="979"/>
      <c r="K763" s="981" t="b">
        <v>0</v>
      </c>
      <c r="L763" s="980"/>
    </row>
    <row r="764">
      <c r="A764" s="974"/>
      <c r="B764" s="975"/>
      <c r="C764" s="974"/>
      <c r="D764" s="982"/>
      <c r="E764" s="982"/>
      <c r="F764" s="982"/>
      <c r="G764" s="974"/>
      <c r="H764" s="982"/>
      <c r="I764" s="982"/>
      <c r="J764" s="974"/>
      <c r="K764" s="982" t="b">
        <v>0</v>
      </c>
      <c r="L764" s="975"/>
    </row>
    <row r="765">
      <c r="A765" s="979"/>
      <c r="B765" s="980"/>
      <c r="C765" s="979"/>
      <c r="D765" s="981"/>
      <c r="E765" s="981"/>
      <c r="F765" s="981"/>
      <c r="G765" s="979"/>
      <c r="H765" s="981"/>
      <c r="I765" s="981"/>
      <c r="J765" s="979"/>
      <c r="K765" s="981" t="b">
        <v>0</v>
      </c>
      <c r="L765" s="980"/>
    </row>
    <row r="766">
      <c r="A766" s="974"/>
      <c r="B766" s="975"/>
      <c r="C766" s="974"/>
      <c r="D766" s="982"/>
      <c r="E766" s="982"/>
      <c r="F766" s="982"/>
      <c r="G766" s="974"/>
      <c r="H766" s="982"/>
      <c r="I766" s="982"/>
      <c r="J766" s="974"/>
      <c r="K766" s="982" t="b">
        <v>0</v>
      </c>
      <c r="L766" s="975"/>
    </row>
    <row r="767">
      <c r="A767" s="979"/>
      <c r="B767" s="980"/>
      <c r="C767" s="979"/>
      <c r="D767" s="981"/>
      <c r="E767" s="981"/>
      <c r="F767" s="981"/>
      <c r="G767" s="979"/>
      <c r="H767" s="981"/>
      <c r="I767" s="981"/>
      <c r="J767" s="979"/>
      <c r="K767" s="981" t="b">
        <v>0</v>
      </c>
      <c r="L767" s="980"/>
    </row>
    <row r="768">
      <c r="A768" s="974"/>
      <c r="B768" s="975"/>
      <c r="C768" s="974"/>
      <c r="D768" s="982"/>
      <c r="E768" s="982"/>
      <c r="F768" s="982"/>
      <c r="G768" s="974"/>
      <c r="H768" s="982"/>
      <c r="I768" s="982"/>
      <c r="J768" s="974"/>
      <c r="K768" s="982" t="b">
        <v>0</v>
      </c>
      <c r="L768" s="975"/>
    </row>
    <row r="769">
      <c r="A769" s="979"/>
      <c r="B769" s="980"/>
      <c r="C769" s="979"/>
      <c r="D769" s="981"/>
      <c r="E769" s="981"/>
      <c r="F769" s="981"/>
      <c r="G769" s="979"/>
      <c r="H769" s="981"/>
      <c r="I769" s="981"/>
      <c r="J769" s="979"/>
      <c r="K769" s="981" t="b">
        <v>0</v>
      </c>
      <c r="L769" s="980"/>
    </row>
    <row r="770">
      <c r="A770" s="974"/>
      <c r="B770" s="975"/>
      <c r="C770" s="974"/>
      <c r="D770" s="982"/>
      <c r="E770" s="982"/>
      <c r="F770" s="982"/>
      <c r="G770" s="974"/>
      <c r="H770" s="982"/>
      <c r="I770" s="982"/>
      <c r="J770" s="974"/>
      <c r="K770" s="982" t="b">
        <v>0</v>
      </c>
      <c r="L770" s="975"/>
    </row>
    <row r="771">
      <c r="A771" s="979"/>
      <c r="B771" s="980"/>
      <c r="C771" s="979"/>
      <c r="D771" s="981"/>
      <c r="E771" s="981"/>
      <c r="F771" s="981"/>
      <c r="G771" s="979"/>
      <c r="H771" s="981"/>
      <c r="I771" s="981"/>
      <c r="J771" s="979"/>
      <c r="K771" s="981" t="b">
        <v>0</v>
      </c>
      <c r="L771" s="980"/>
    </row>
    <row r="772">
      <c r="A772" s="974"/>
      <c r="B772" s="975"/>
      <c r="C772" s="974"/>
      <c r="D772" s="982"/>
      <c r="E772" s="982"/>
      <c r="F772" s="982"/>
      <c r="G772" s="974"/>
      <c r="H772" s="982"/>
      <c r="I772" s="982"/>
      <c r="J772" s="974"/>
      <c r="K772" s="982" t="b">
        <v>0</v>
      </c>
      <c r="L772" s="975"/>
    </row>
    <row r="773">
      <c r="A773" s="979"/>
      <c r="B773" s="980"/>
      <c r="C773" s="979"/>
      <c r="D773" s="981"/>
      <c r="E773" s="981"/>
      <c r="F773" s="981"/>
      <c r="G773" s="979"/>
      <c r="H773" s="981"/>
      <c r="I773" s="981"/>
      <c r="J773" s="979"/>
      <c r="K773" s="981" t="b">
        <v>0</v>
      </c>
      <c r="L773" s="980"/>
    </row>
    <row r="774">
      <c r="A774" s="974"/>
      <c r="B774" s="975"/>
      <c r="C774" s="974"/>
      <c r="D774" s="982"/>
      <c r="E774" s="982"/>
      <c r="F774" s="982"/>
      <c r="G774" s="974"/>
      <c r="H774" s="982"/>
      <c r="I774" s="982"/>
      <c r="J774" s="974"/>
      <c r="K774" s="982" t="b">
        <v>0</v>
      </c>
      <c r="L774" s="975"/>
    </row>
    <row r="775">
      <c r="A775" s="979"/>
      <c r="B775" s="980"/>
      <c r="C775" s="979"/>
      <c r="D775" s="981"/>
      <c r="E775" s="981"/>
      <c r="F775" s="981"/>
      <c r="G775" s="979"/>
      <c r="H775" s="981"/>
      <c r="I775" s="981"/>
      <c r="J775" s="979"/>
      <c r="K775" s="981" t="b">
        <v>0</v>
      </c>
      <c r="L775" s="980"/>
    </row>
    <row r="776">
      <c r="A776" s="974"/>
      <c r="B776" s="975"/>
      <c r="C776" s="974"/>
      <c r="D776" s="982"/>
      <c r="E776" s="982"/>
      <c r="F776" s="982"/>
      <c r="G776" s="974"/>
      <c r="H776" s="982"/>
      <c r="I776" s="982"/>
      <c r="J776" s="974"/>
      <c r="K776" s="982" t="b">
        <v>0</v>
      </c>
      <c r="L776" s="975"/>
    </row>
    <row r="777">
      <c r="A777" s="979"/>
      <c r="B777" s="980"/>
      <c r="C777" s="979"/>
      <c r="D777" s="981"/>
      <c r="E777" s="981"/>
      <c r="F777" s="981"/>
      <c r="G777" s="979"/>
      <c r="H777" s="981"/>
      <c r="I777" s="981"/>
      <c r="J777" s="979"/>
      <c r="K777" s="981" t="b">
        <v>0</v>
      </c>
      <c r="L777" s="980"/>
    </row>
    <row r="778">
      <c r="A778" s="974"/>
      <c r="B778" s="975"/>
      <c r="C778" s="974"/>
      <c r="D778" s="982"/>
      <c r="E778" s="982"/>
      <c r="F778" s="982"/>
      <c r="G778" s="974"/>
      <c r="H778" s="982"/>
      <c r="I778" s="982"/>
      <c r="J778" s="974"/>
      <c r="K778" s="982" t="b">
        <v>0</v>
      </c>
      <c r="L778" s="975"/>
    </row>
    <row r="779">
      <c r="A779" s="979"/>
      <c r="B779" s="980"/>
      <c r="C779" s="979"/>
      <c r="D779" s="981"/>
      <c r="E779" s="981"/>
      <c r="F779" s="981"/>
      <c r="G779" s="979"/>
      <c r="H779" s="981"/>
      <c r="I779" s="981"/>
      <c r="J779" s="979"/>
      <c r="K779" s="981" t="b">
        <v>0</v>
      </c>
      <c r="L779" s="980"/>
    </row>
    <row r="780">
      <c r="A780" s="974"/>
      <c r="B780" s="975"/>
      <c r="C780" s="974"/>
      <c r="D780" s="982"/>
      <c r="E780" s="982"/>
      <c r="F780" s="982"/>
      <c r="G780" s="974"/>
      <c r="H780" s="982"/>
      <c r="I780" s="982"/>
      <c r="J780" s="974"/>
      <c r="K780" s="982" t="b">
        <v>0</v>
      </c>
      <c r="L780" s="975"/>
    </row>
    <row r="781">
      <c r="A781" s="979"/>
      <c r="B781" s="980"/>
      <c r="C781" s="979"/>
      <c r="D781" s="981"/>
      <c r="E781" s="981"/>
      <c r="F781" s="981"/>
      <c r="G781" s="979"/>
      <c r="H781" s="981"/>
      <c r="I781" s="981"/>
      <c r="J781" s="979"/>
      <c r="K781" s="981" t="b">
        <v>0</v>
      </c>
      <c r="L781" s="980"/>
    </row>
    <row r="782">
      <c r="A782" s="974"/>
      <c r="B782" s="975"/>
      <c r="C782" s="974"/>
      <c r="D782" s="982"/>
      <c r="E782" s="982"/>
      <c r="F782" s="982"/>
      <c r="G782" s="974"/>
      <c r="H782" s="982"/>
      <c r="I782" s="982"/>
      <c r="J782" s="974"/>
      <c r="K782" s="982" t="b">
        <v>0</v>
      </c>
      <c r="L782" s="975"/>
    </row>
    <row r="783">
      <c r="A783" s="979"/>
      <c r="B783" s="980"/>
      <c r="C783" s="979"/>
      <c r="D783" s="981"/>
      <c r="E783" s="981"/>
      <c r="F783" s="981"/>
      <c r="G783" s="979"/>
      <c r="H783" s="981"/>
      <c r="I783" s="981"/>
      <c r="J783" s="979"/>
      <c r="K783" s="981" t="b">
        <v>0</v>
      </c>
      <c r="L783" s="980"/>
    </row>
    <row r="784">
      <c r="A784" s="974"/>
      <c r="B784" s="975"/>
      <c r="C784" s="974"/>
      <c r="D784" s="982"/>
      <c r="E784" s="982"/>
      <c r="F784" s="982"/>
      <c r="G784" s="974"/>
      <c r="H784" s="982"/>
      <c r="I784" s="982"/>
      <c r="J784" s="974"/>
      <c r="K784" s="982" t="b">
        <v>0</v>
      </c>
      <c r="L784" s="975"/>
    </row>
    <row r="785">
      <c r="A785" s="979"/>
      <c r="B785" s="980"/>
      <c r="C785" s="979"/>
      <c r="D785" s="981"/>
      <c r="E785" s="981"/>
      <c r="F785" s="981"/>
      <c r="G785" s="979"/>
      <c r="H785" s="981"/>
      <c r="I785" s="981"/>
      <c r="J785" s="979"/>
      <c r="K785" s="981" t="b">
        <v>0</v>
      </c>
      <c r="L785" s="980"/>
    </row>
    <row r="786">
      <c r="A786" s="974"/>
      <c r="B786" s="975"/>
      <c r="C786" s="974"/>
      <c r="D786" s="982"/>
      <c r="E786" s="982"/>
      <c r="F786" s="982"/>
      <c r="G786" s="974"/>
      <c r="H786" s="982"/>
      <c r="I786" s="982"/>
      <c r="J786" s="974"/>
      <c r="K786" s="982" t="b">
        <v>0</v>
      </c>
      <c r="L786" s="975"/>
    </row>
    <row r="787">
      <c r="A787" s="979"/>
      <c r="B787" s="980"/>
      <c r="C787" s="979"/>
      <c r="D787" s="981"/>
      <c r="E787" s="981"/>
      <c r="F787" s="981"/>
      <c r="G787" s="979"/>
      <c r="H787" s="981"/>
      <c r="I787" s="981"/>
      <c r="J787" s="979"/>
      <c r="K787" s="981" t="b">
        <v>0</v>
      </c>
      <c r="L787" s="980"/>
    </row>
    <row r="788">
      <c r="A788" s="974"/>
      <c r="B788" s="975"/>
      <c r="C788" s="974"/>
      <c r="D788" s="982"/>
      <c r="E788" s="982"/>
      <c r="F788" s="982"/>
      <c r="G788" s="974"/>
      <c r="H788" s="982"/>
      <c r="I788" s="982"/>
      <c r="J788" s="974"/>
      <c r="K788" s="982" t="b">
        <v>0</v>
      </c>
      <c r="L788" s="975"/>
    </row>
    <row r="789">
      <c r="A789" s="979"/>
      <c r="B789" s="980"/>
      <c r="C789" s="979"/>
      <c r="D789" s="981"/>
      <c r="E789" s="981"/>
      <c r="F789" s="981"/>
      <c r="G789" s="979"/>
      <c r="H789" s="981"/>
      <c r="I789" s="981"/>
      <c r="J789" s="979"/>
      <c r="K789" s="981" t="b">
        <v>0</v>
      </c>
      <c r="L789" s="980"/>
    </row>
    <row r="790">
      <c r="A790" s="974"/>
      <c r="B790" s="975"/>
      <c r="C790" s="974"/>
      <c r="D790" s="982"/>
      <c r="E790" s="982"/>
      <c r="F790" s="982"/>
      <c r="G790" s="974"/>
      <c r="H790" s="982"/>
      <c r="I790" s="982"/>
      <c r="J790" s="974"/>
      <c r="K790" s="982" t="b">
        <v>0</v>
      </c>
      <c r="L790" s="975"/>
    </row>
    <row r="791">
      <c r="A791" s="979"/>
      <c r="B791" s="980"/>
      <c r="C791" s="979"/>
      <c r="D791" s="981"/>
      <c r="E791" s="981"/>
      <c r="F791" s="981"/>
      <c r="G791" s="979"/>
      <c r="H791" s="981"/>
      <c r="I791" s="981"/>
      <c r="J791" s="979"/>
      <c r="K791" s="981" t="b">
        <v>0</v>
      </c>
      <c r="L791" s="980"/>
    </row>
    <row r="792">
      <c r="A792" s="974"/>
      <c r="B792" s="975"/>
      <c r="C792" s="974"/>
      <c r="D792" s="982"/>
      <c r="E792" s="982"/>
      <c r="F792" s="982"/>
      <c r="G792" s="974"/>
      <c r="H792" s="982"/>
      <c r="I792" s="982"/>
      <c r="J792" s="974"/>
      <c r="K792" s="982" t="b">
        <v>0</v>
      </c>
      <c r="L792" s="975"/>
    </row>
    <row r="793">
      <c r="A793" s="979"/>
      <c r="B793" s="980"/>
      <c r="C793" s="979"/>
      <c r="D793" s="981"/>
      <c r="E793" s="981"/>
      <c r="F793" s="981"/>
      <c r="G793" s="979"/>
      <c r="H793" s="981"/>
      <c r="I793" s="981"/>
      <c r="J793" s="979"/>
      <c r="K793" s="981" t="b">
        <v>0</v>
      </c>
      <c r="L793" s="980"/>
    </row>
    <row r="794">
      <c r="A794" s="974"/>
      <c r="B794" s="975"/>
      <c r="C794" s="974"/>
      <c r="D794" s="982"/>
      <c r="E794" s="982"/>
      <c r="F794" s="982"/>
      <c r="G794" s="974"/>
      <c r="H794" s="982"/>
      <c r="I794" s="982"/>
      <c r="J794" s="974"/>
      <c r="K794" s="982" t="b">
        <v>0</v>
      </c>
      <c r="L794" s="975"/>
    </row>
    <row r="795">
      <c r="A795" s="979"/>
      <c r="B795" s="980"/>
      <c r="C795" s="979"/>
      <c r="D795" s="981"/>
      <c r="E795" s="981"/>
      <c r="F795" s="981"/>
      <c r="G795" s="979"/>
      <c r="H795" s="981"/>
      <c r="I795" s="981"/>
      <c r="J795" s="979"/>
      <c r="K795" s="981" t="b">
        <v>0</v>
      </c>
      <c r="L795" s="980"/>
    </row>
    <row r="796">
      <c r="A796" s="974"/>
      <c r="B796" s="975"/>
      <c r="C796" s="974"/>
      <c r="D796" s="982"/>
      <c r="E796" s="982"/>
      <c r="F796" s="982"/>
      <c r="G796" s="974"/>
      <c r="H796" s="982"/>
      <c r="I796" s="982"/>
      <c r="J796" s="974"/>
      <c r="K796" s="982" t="b">
        <v>0</v>
      </c>
      <c r="L796" s="975"/>
    </row>
    <row r="797">
      <c r="A797" s="979"/>
      <c r="B797" s="980"/>
      <c r="C797" s="979"/>
      <c r="D797" s="981"/>
      <c r="E797" s="981"/>
      <c r="F797" s="981"/>
      <c r="G797" s="979"/>
      <c r="H797" s="981"/>
      <c r="I797" s="981"/>
      <c r="J797" s="979"/>
      <c r="K797" s="981" t="b">
        <v>0</v>
      </c>
      <c r="L797" s="980"/>
    </row>
    <row r="798">
      <c r="A798" s="974"/>
      <c r="B798" s="975"/>
      <c r="C798" s="974"/>
      <c r="D798" s="982"/>
      <c r="E798" s="982"/>
      <c r="F798" s="982"/>
      <c r="G798" s="974"/>
      <c r="H798" s="982"/>
      <c r="I798" s="982"/>
      <c r="J798" s="974"/>
      <c r="K798" s="982" t="b">
        <v>0</v>
      </c>
      <c r="L798" s="975"/>
    </row>
    <row r="799">
      <c r="A799" s="979"/>
      <c r="B799" s="980"/>
      <c r="C799" s="979"/>
      <c r="D799" s="981"/>
      <c r="E799" s="981"/>
      <c r="F799" s="981"/>
      <c r="G799" s="979"/>
      <c r="H799" s="981"/>
      <c r="I799" s="981"/>
      <c r="J799" s="979"/>
      <c r="K799" s="981" t="b">
        <v>0</v>
      </c>
      <c r="L799" s="980"/>
    </row>
    <row r="800">
      <c r="A800" s="974"/>
      <c r="B800" s="975"/>
      <c r="C800" s="974"/>
      <c r="D800" s="982"/>
      <c r="E800" s="982"/>
      <c r="F800" s="982"/>
      <c r="G800" s="974"/>
      <c r="H800" s="982"/>
      <c r="I800" s="982"/>
      <c r="J800" s="974"/>
      <c r="K800" s="982" t="b">
        <v>0</v>
      </c>
      <c r="L800" s="975"/>
    </row>
    <row r="801">
      <c r="A801" s="979"/>
      <c r="B801" s="980"/>
      <c r="C801" s="979"/>
      <c r="D801" s="981"/>
      <c r="E801" s="981"/>
      <c r="F801" s="981"/>
      <c r="G801" s="979"/>
      <c r="H801" s="981"/>
      <c r="I801" s="981"/>
      <c r="J801" s="979"/>
      <c r="K801" s="981" t="b">
        <v>0</v>
      </c>
      <c r="L801" s="980"/>
    </row>
    <row r="802">
      <c r="A802" s="974"/>
      <c r="B802" s="975"/>
      <c r="C802" s="974"/>
      <c r="D802" s="982"/>
      <c r="E802" s="982"/>
      <c r="F802" s="982"/>
      <c r="G802" s="974"/>
      <c r="H802" s="982"/>
      <c r="I802" s="982"/>
      <c r="J802" s="974"/>
      <c r="K802" s="982" t="b">
        <v>0</v>
      </c>
      <c r="L802" s="975"/>
    </row>
    <row r="803">
      <c r="A803" s="979"/>
      <c r="B803" s="980"/>
      <c r="C803" s="979"/>
      <c r="D803" s="981"/>
      <c r="E803" s="981"/>
      <c r="F803" s="981"/>
      <c r="G803" s="979"/>
      <c r="H803" s="981"/>
      <c r="I803" s="981"/>
      <c r="J803" s="979"/>
      <c r="K803" s="981" t="b">
        <v>0</v>
      </c>
      <c r="L803" s="980"/>
    </row>
    <row r="804">
      <c r="A804" s="974"/>
      <c r="B804" s="975"/>
      <c r="C804" s="974"/>
      <c r="D804" s="982"/>
      <c r="E804" s="982"/>
      <c r="F804" s="982"/>
      <c r="G804" s="974"/>
      <c r="H804" s="982"/>
      <c r="I804" s="982"/>
      <c r="J804" s="974"/>
      <c r="K804" s="982" t="b">
        <v>0</v>
      </c>
      <c r="L804" s="975"/>
    </row>
    <row r="805">
      <c r="A805" s="979"/>
      <c r="B805" s="980"/>
      <c r="C805" s="979"/>
      <c r="D805" s="981"/>
      <c r="E805" s="981"/>
      <c r="F805" s="981"/>
      <c r="G805" s="979"/>
      <c r="H805" s="981"/>
      <c r="I805" s="981"/>
      <c r="J805" s="979"/>
      <c r="K805" s="981" t="b">
        <v>0</v>
      </c>
      <c r="L805" s="980"/>
    </row>
    <row r="806">
      <c r="A806" s="974"/>
      <c r="B806" s="975"/>
      <c r="C806" s="974"/>
      <c r="D806" s="982"/>
      <c r="E806" s="982"/>
      <c r="F806" s="982"/>
      <c r="G806" s="974"/>
      <c r="H806" s="982"/>
      <c r="I806" s="982"/>
      <c r="J806" s="974"/>
      <c r="K806" s="982" t="b">
        <v>0</v>
      </c>
      <c r="L806" s="975"/>
    </row>
    <row r="807">
      <c r="A807" s="979"/>
      <c r="B807" s="980"/>
      <c r="C807" s="979"/>
      <c r="D807" s="981"/>
      <c r="E807" s="981"/>
      <c r="F807" s="981"/>
      <c r="G807" s="979"/>
      <c r="H807" s="981"/>
      <c r="I807" s="981"/>
      <c r="J807" s="979"/>
      <c r="K807" s="981" t="b">
        <v>0</v>
      </c>
      <c r="L807" s="980"/>
    </row>
    <row r="808">
      <c r="A808" s="974"/>
      <c r="B808" s="975"/>
      <c r="C808" s="974"/>
      <c r="D808" s="982"/>
      <c r="E808" s="982"/>
      <c r="F808" s="982"/>
      <c r="G808" s="974"/>
      <c r="H808" s="982"/>
      <c r="I808" s="982"/>
      <c r="J808" s="974"/>
      <c r="K808" s="982" t="b">
        <v>0</v>
      </c>
      <c r="L808" s="975"/>
    </row>
    <row r="809">
      <c r="A809" s="979"/>
      <c r="B809" s="980"/>
      <c r="C809" s="979"/>
      <c r="D809" s="981"/>
      <c r="E809" s="981"/>
      <c r="F809" s="981"/>
      <c r="G809" s="979"/>
      <c r="H809" s="981"/>
      <c r="I809" s="981"/>
      <c r="J809" s="979"/>
      <c r="K809" s="981" t="b">
        <v>0</v>
      </c>
      <c r="L809" s="980"/>
    </row>
    <row r="810">
      <c r="A810" s="974"/>
      <c r="B810" s="975"/>
      <c r="C810" s="974"/>
      <c r="D810" s="982"/>
      <c r="E810" s="982"/>
      <c r="F810" s="982"/>
      <c r="G810" s="974"/>
      <c r="H810" s="982"/>
      <c r="I810" s="982"/>
      <c r="J810" s="974"/>
      <c r="K810" s="982" t="b">
        <v>0</v>
      </c>
      <c r="L810" s="975"/>
    </row>
    <row r="811">
      <c r="A811" s="979"/>
      <c r="B811" s="980"/>
      <c r="C811" s="979"/>
      <c r="D811" s="981"/>
      <c r="E811" s="981"/>
      <c r="F811" s="981"/>
      <c r="G811" s="979"/>
      <c r="H811" s="981"/>
      <c r="I811" s="981"/>
      <c r="J811" s="979"/>
      <c r="K811" s="981" t="b">
        <v>0</v>
      </c>
      <c r="L811" s="980"/>
    </row>
    <row r="812">
      <c r="A812" s="974"/>
      <c r="B812" s="975"/>
      <c r="C812" s="974"/>
      <c r="D812" s="982"/>
      <c r="E812" s="982"/>
      <c r="F812" s="982"/>
      <c r="G812" s="974"/>
      <c r="H812" s="982"/>
      <c r="I812" s="982"/>
      <c r="J812" s="974"/>
      <c r="K812" s="982" t="b">
        <v>0</v>
      </c>
      <c r="L812" s="975"/>
    </row>
    <row r="813">
      <c r="A813" s="979"/>
      <c r="B813" s="980"/>
      <c r="C813" s="979"/>
      <c r="D813" s="981"/>
      <c r="E813" s="981"/>
      <c r="F813" s="981"/>
      <c r="G813" s="979"/>
      <c r="H813" s="981"/>
      <c r="I813" s="981"/>
      <c r="J813" s="979"/>
      <c r="K813" s="981" t="b">
        <v>0</v>
      </c>
      <c r="L813" s="980"/>
    </row>
    <row r="814">
      <c r="A814" s="974"/>
      <c r="B814" s="975"/>
      <c r="C814" s="974"/>
      <c r="D814" s="982"/>
      <c r="E814" s="982"/>
      <c r="F814" s="982"/>
      <c r="G814" s="974"/>
      <c r="H814" s="982"/>
      <c r="I814" s="982"/>
      <c r="J814" s="974"/>
      <c r="K814" s="982" t="b">
        <v>0</v>
      </c>
      <c r="L814" s="975"/>
    </row>
    <row r="815">
      <c r="A815" s="979"/>
      <c r="B815" s="980"/>
      <c r="C815" s="979"/>
      <c r="D815" s="981"/>
      <c r="E815" s="981"/>
      <c r="F815" s="981"/>
      <c r="G815" s="979"/>
      <c r="H815" s="981"/>
      <c r="I815" s="981"/>
      <c r="J815" s="979"/>
      <c r="K815" s="981" t="b">
        <v>0</v>
      </c>
      <c r="L815" s="980"/>
    </row>
    <row r="816">
      <c r="A816" s="974"/>
      <c r="B816" s="975"/>
      <c r="C816" s="974"/>
      <c r="D816" s="982"/>
      <c r="E816" s="982"/>
      <c r="F816" s="982"/>
      <c r="G816" s="974"/>
      <c r="H816" s="982"/>
      <c r="I816" s="982"/>
      <c r="J816" s="974"/>
      <c r="K816" s="982" t="b">
        <v>0</v>
      </c>
      <c r="L816" s="975"/>
    </row>
    <row r="817">
      <c r="A817" s="979"/>
      <c r="B817" s="980"/>
      <c r="C817" s="979"/>
      <c r="D817" s="981"/>
      <c r="E817" s="981"/>
      <c r="F817" s="981"/>
      <c r="G817" s="979"/>
      <c r="H817" s="981"/>
      <c r="I817" s="981"/>
      <c r="J817" s="979"/>
      <c r="K817" s="981" t="b">
        <v>0</v>
      </c>
      <c r="L817" s="980"/>
    </row>
    <row r="818">
      <c r="A818" s="974"/>
      <c r="B818" s="975"/>
      <c r="C818" s="974"/>
      <c r="D818" s="982"/>
      <c r="E818" s="982"/>
      <c r="F818" s="982"/>
      <c r="G818" s="974"/>
      <c r="H818" s="982"/>
      <c r="I818" s="982"/>
      <c r="J818" s="974"/>
      <c r="K818" s="982" t="b">
        <v>0</v>
      </c>
      <c r="L818" s="975"/>
    </row>
    <row r="819">
      <c r="A819" s="979"/>
      <c r="B819" s="980"/>
      <c r="C819" s="979"/>
      <c r="D819" s="981"/>
      <c r="E819" s="981"/>
      <c r="F819" s="981"/>
      <c r="G819" s="979"/>
      <c r="H819" s="981"/>
      <c r="I819" s="981"/>
      <c r="J819" s="979"/>
      <c r="K819" s="981" t="b">
        <v>0</v>
      </c>
      <c r="L819" s="980"/>
    </row>
    <row r="820">
      <c r="A820" s="974"/>
      <c r="B820" s="975"/>
      <c r="C820" s="974"/>
      <c r="D820" s="982"/>
      <c r="E820" s="982"/>
      <c r="F820" s="982"/>
      <c r="G820" s="974"/>
      <c r="H820" s="982"/>
      <c r="I820" s="982"/>
      <c r="J820" s="974"/>
      <c r="K820" s="982" t="b">
        <v>0</v>
      </c>
      <c r="L820" s="975"/>
    </row>
    <row r="821">
      <c r="A821" s="979"/>
      <c r="B821" s="980"/>
      <c r="C821" s="979"/>
      <c r="D821" s="981"/>
      <c r="E821" s="981"/>
      <c r="F821" s="981"/>
      <c r="G821" s="979"/>
      <c r="H821" s="981"/>
      <c r="I821" s="981"/>
      <c r="J821" s="979"/>
      <c r="K821" s="981" t="b">
        <v>0</v>
      </c>
      <c r="L821" s="980"/>
    </row>
    <row r="822">
      <c r="A822" s="974"/>
      <c r="B822" s="975"/>
      <c r="C822" s="974"/>
      <c r="D822" s="982"/>
      <c r="E822" s="982"/>
      <c r="F822" s="982"/>
      <c r="G822" s="974"/>
      <c r="H822" s="982"/>
      <c r="I822" s="982"/>
      <c r="J822" s="974"/>
      <c r="K822" s="982" t="b">
        <v>0</v>
      </c>
      <c r="L822" s="975"/>
    </row>
    <row r="823">
      <c r="A823" s="979"/>
      <c r="B823" s="980"/>
      <c r="C823" s="979"/>
      <c r="D823" s="981"/>
      <c r="E823" s="981"/>
      <c r="F823" s="981"/>
      <c r="G823" s="979"/>
      <c r="H823" s="981"/>
      <c r="I823" s="981"/>
      <c r="J823" s="979"/>
      <c r="K823" s="981" t="b">
        <v>0</v>
      </c>
      <c r="L823" s="980"/>
    </row>
    <row r="824">
      <c r="A824" s="974"/>
      <c r="B824" s="975"/>
      <c r="C824" s="974"/>
      <c r="D824" s="982"/>
      <c r="E824" s="982"/>
      <c r="F824" s="982"/>
      <c r="G824" s="974"/>
      <c r="H824" s="982"/>
      <c r="I824" s="982"/>
      <c r="J824" s="974"/>
      <c r="K824" s="982" t="b">
        <v>0</v>
      </c>
      <c r="L824" s="975"/>
    </row>
    <row r="825">
      <c r="A825" s="979"/>
      <c r="B825" s="980"/>
      <c r="C825" s="979"/>
      <c r="D825" s="981"/>
      <c r="E825" s="981"/>
      <c r="F825" s="981"/>
      <c r="G825" s="979"/>
      <c r="H825" s="981"/>
      <c r="I825" s="981"/>
      <c r="J825" s="979"/>
      <c r="K825" s="981" t="b">
        <v>0</v>
      </c>
      <c r="L825" s="980"/>
    </row>
    <row r="826">
      <c r="A826" s="974"/>
      <c r="B826" s="975"/>
      <c r="C826" s="974"/>
      <c r="D826" s="982"/>
      <c r="E826" s="982"/>
      <c r="F826" s="982"/>
      <c r="G826" s="974"/>
      <c r="H826" s="982"/>
      <c r="I826" s="982"/>
      <c r="J826" s="974"/>
      <c r="K826" s="982" t="b">
        <v>0</v>
      </c>
      <c r="L826" s="975"/>
    </row>
    <row r="827">
      <c r="A827" s="979"/>
      <c r="B827" s="980"/>
      <c r="C827" s="979"/>
      <c r="D827" s="981"/>
      <c r="E827" s="981"/>
      <c r="F827" s="981"/>
      <c r="G827" s="979"/>
      <c r="H827" s="981"/>
      <c r="I827" s="981"/>
      <c r="J827" s="979"/>
      <c r="K827" s="981" t="b">
        <v>0</v>
      </c>
      <c r="L827" s="980"/>
    </row>
    <row r="828">
      <c r="A828" s="974"/>
      <c r="B828" s="975"/>
      <c r="C828" s="974"/>
      <c r="D828" s="982"/>
      <c r="E828" s="982"/>
      <c r="F828" s="982"/>
      <c r="G828" s="974"/>
      <c r="H828" s="982"/>
      <c r="I828" s="982"/>
      <c r="J828" s="974"/>
      <c r="K828" s="982" t="b">
        <v>0</v>
      </c>
      <c r="L828" s="975"/>
    </row>
    <row r="829">
      <c r="A829" s="979"/>
      <c r="B829" s="980"/>
      <c r="C829" s="979"/>
      <c r="D829" s="981"/>
      <c r="E829" s="981"/>
      <c r="F829" s="981"/>
      <c r="G829" s="979"/>
      <c r="H829" s="981"/>
      <c r="I829" s="981"/>
      <c r="J829" s="979"/>
      <c r="K829" s="981" t="b">
        <v>0</v>
      </c>
      <c r="L829" s="980"/>
    </row>
    <row r="830">
      <c r="A830" s="974"/>
      <c r="B830" s="975"/>
      <c r="C830" s="974"/>
      <c r="D830" s="982"/>
      <c r="E830" s="982"/>
      <c r="F830" s="982"/>
      <c r="G830" s="974"/>
      <c r="H830" s="982"/>
      <c r="I830" s="982"/>
      <c r="J830" s="974"/>
      <c r="K830" s="982" t="b">
        <v>0</v>
      </c>
      <c r="L830" s="975"/>
    </row>
    <row r="831">
      <c r="A831" s="979"/>
      <c r="B831" s="980"/>
      <c r="C831" s="979"/>
      <c r="D831" s="981"/>
      <c r="E831" s="981"/>
      <c r="F831" s="981"/>
      <c r="G831" s="979"/>
      <c r="H831" s="981"/>
      <c r="I831" s="981"/>
      <c r="J831" s="979"/>
      <c r="K831" s="981" t="b">
        <v>0</v>
      </c>
      <c r="L831" s="980"/>
    </row>
    <row r="832">
      <c r="A832" s="974"/>
      <c r="B832" s="975"/>
      <c r="C832" s="974"/>
      <c r="D832" s="982"/>
      <c r="E832" s="982"/>
      <c r="F832" s="982"/>
      <c r="G832" s="974"/>
      <c r="H832" s="982"/>
      <c r="I832" s="982"/>
      <c r="J832" s="974"/>
      <c r="K832" s="982" t="b">
        <v>0</v>
      </c>
      <c r="L832" s="975"/>
    </row>
    <row r="833">
      <c r="A833" s="979"/>
      <c r="B833" s="980"/>
      <c r="C833" s="979"/>
      <c r="D833" s="981"/>
      <c r="E833" s="981"/>
      <c r="F833" s="981"/>
      <c r="G833" s="979"/>
      <c r="H833" s="981"/>
      <c r="I833" s="981"/>
      <c r="J833" s="979"/>
      <c r="K833" s="981" t="b">
        <v>0</v>
      </c>
      <c r="L833" s="980"/>
    </row>
    <row r="834">
      <c r="A834" s="974"/>
      <c r="B834" s="975"/>
      <c r="C834" s="974"/>
      <c r="D834" s="982"/>
      <c r="E834" s="982"/>
      <c r="F834" s="982"/>
      <c r="G834" s="974"/>
      <c r="H834" s="982"/>
      <c r="I834" s="982"/>
      <c r="J834" s="974"/>
      <c r="K834" s="982" t="b">
        <v>0</v>
      </c>
      <c r="L834" s="975"/>
    </row>
    <row r="835">
      <c r="A835" s="979"/>
      <c r="B835" s="980"/>
      <c r="C835" s="979"/>
      <c r="D835" s="981"/>
      <c r="E835" s="981"/>
      <c r="F835" s="981"/>
      <c r="G835" s="979"/>
      <c r="H835" s="981"/>
      <c r="I835" s="981"/>
      <c r="J835" s="979"/>
      <c r="K835" s="981" t="b">
        <v>0</v>
      </c>
      <c r="L835" s="980"/>
    </row>
    <row r="836">
      <c r="A836" s="974"/>
      <c r="B836" s="975"/>
      <c r="C836" s="974"/>
      <c r="D836" s="982"/>
      <c r="E836" s="982"/>
      <c r="F836" s="982"/>
      <c r="G836" s="974"/>
      <c r="H836" s="982"/>
      <c r="I836" s="982"/>
      <c r="J836" s="974"/>
      <c r="K836" s="982" t="b">
        <v>0</v>
      </c>
      <c r="L836" s="975"/>
    </row>
    <row r="837">
      <c r="A837" s="979"/>
      <c r="B837" s="980"/>
      <c r="C837" s="979"/>
      <c r="D837" s="981"/>
      <c r="E837" s="981"/>
      <c r="F837" s="981"/>
      <c r="G837" s="979"/>
      <c r="H837" s="981"/>
      <c r="I837" s="981"/>
      <c r="J837" s="979"/>
      <c r="K837" s="981" t="b">
        <v>0</v>
      </c>
      <c r="L837" s="980"/>
    </row>
    <row r="838">
      <c r="A838" s="974"/>
      <c r="B838" s="975"/>
      <c r="C838" s="974"/>
      <c r="D838" s="982"/>
      <c r="E838" s="982"/>
      <c r="F838" s="982"/>
      <c r="G838" s="974"/>
      <c r="H838" s="982"/>
      <c r="I838" s="982"/>
      <c r="J838" s="974"/>
      <c r="K838" s="982" t="b">
        <v>0</v>
      </c>
      <c r="L838" s="975"/>
    </row>
    <row r="839">
      <c r="A839" s="979"/>
      <c r="B839" s="980"/>
      <c r="C839" s="979"/>
      <c r="D839" s="981"/>
      <c r="E839" s="981"/>
      <c r="F839" s="981"/>
      <c r="G839" s="979"/>
      <c r="H839" s="981"/>
      <c r="I839" s="981"/>
      <c r="J839" s="979"/>
      <c r="K839" s="981" t="b">
        <v>0</v>
      </c>
      <c r="L839" s="980"/>
    </row>
    <row r="840">
      <c r="A840" s="974"/>
      <c r="B840" s="975"/>
      <c r="C840" s="974"/>
      <c r="D840" s="982"/>
      <c r="E840" s="982"/>
      <c r="F840" s="982"/>
      <c r="G840" s="974"/>
      <c r="H840" s="982"/>
      <c r="I840" s="982"/>
      <c r="J840" s="974"/>
      <c r="K840" s="982" t="b">
        <v>0</v>
      </c>
      <c r="L840" s="975"/>
    </row>
    <row r="841">
      <c r="A841" s="979"/>
      <c r="B841" s="980"/>
      <c r="C841" s="979"/>
      <c r="D841" s="981"/>
      <c r="E841" s="981"/>
      <c r="F841" s="981"/>
      <c r="G841" s="979"/>
      <c r="H841" s="981"/>
      <c r="I841" s="981"/>
      <c r="J841" s="979"/>
      <c r="K841" s="981" t="b">
        <v>0</v>
      </c>
      <c r="L841" s="980"/>
    </row>
    <row r="842">
      <c r="A842" s="974"/>
      <c r="B842" s="975"/>
      <c r="C842" s="974"/>
      <c r="D842" s="982"/>
      <c r="E842" s="982"/>
      <c r="F842" s="982"/>
      <c r="G842" s="974"/>
      <c r="H842" s="982"/>
      <c r="I842" s="982"/>
      <c r="J842" s="974"/>
      <c r="K842" s="982" t="b">
        <v>0</v>
      </c>
      <c r="L842" s="975"/>
    </row>
    <row r="843">
      <c r="A843" s="979"/>
      <c r="B843" s="980"/>
      <c r="C843" s="979"/>
      <c r="D843" s="981"/>
      <c r="E843" s="981"/>
      <c r="F843" s="981"/>
      <c r="G843" s="979"/>
      <c r="H843" s="981"/>
      <c r="I843" s="981"/>
      <c r="J843" s="979"/>
      <c r="K843" s="981" t="b">
        <v>0</v>
      </c>
      <c r="L843" s="980"/>
    </row>
    <row r="844">
      <c r="A844" s="974"/>
      <c r="B844" s="975"/>
      <c r="C844" s="974"/>
      <c r="D844" s="982"/>
      <c r="E844" s="982"/>
      <c r="F844" s="982"/>
      <c r="G844" s="974"/>
      <c r="H844" s="982"/>
      <c r="I844" s="982"/>
      <c r="J844" s="974"/>
      <c r="K844" s="982" t="b">
        <v>0</v>
      </c>
      <c r="L844" s="975"/>
    </row>
    <row r="845">
      <c r="A845" s="979"/>
      <c r="B845" s="980"/>
      <c r="C845" s="979"/>
      <c r="D845" s="981"/>
      <c r="E845" s="981"/>
      <c r="F845" s="981"/>
      <c r="G845" s="979"/>
      <c r="H845" s="981"/>
      <c r="I845" s="981"/>
      <c r="J845" s="979"/>
      <c r="K845" s="981" t="b">
        <v>0</v>
      </c>
      <c r="L845" s="980"/>
    </row>
    <row r="846">
      <c r="A846" s="974"/>
      <c r="B846" s="975"/>
      <c r="C846" s="974"/>
      <c r="D846" s="982"/>
      <c r="E846" s="982"/>
      <c r="F846" s="982"/>
      <c r="G846" s="974"/>
      <c r="H846" s="982"/>
      <c r="I846" s="982"/>
      <c r="J846" s="974"/>
      <c r="K846" s="982" t="b">
        <v>0</v>
      </c>
      <c r="L846" s="975"/>
    </row>
    <row r="847">
      <c r="A847" s="979"/>
      <c r="B847" s="980"/>
      <c r="C847" s="979"/>
      <c r="D847" s="981"/>
      <c r="E847" s="981"/>
      <c r="F847" s="981"/>
      <c r="G847" s="979"/>
      <c r="H847" s="981"/>
      <c r="I847" s="981"/>
      <c r="J847" s="979"/>
      <c r="K847" s="981" t="b">
        <v>0</v>
      </c>
      <c r="L847" s="980"/>
    </row>
    <row r="848">
      <c r="A848" s="974"/>
      <c r="B848" s="975"/>
      <c r="C848" s="974"/>
      <c r="D848" s="982"/>
      <c r="E848" s="982"/>
      <c r="F848" s="982"/>
      <c r="G848" s="974"/>
      <c r="H848" s="982"/>
      <c r="I848" s="982"/>
      <c r="J848" s="974"/>
      <c r="K848" s="982" t="b">
        <v>0</v>
      </c>
      <c r="L848" s="975"/>
    </row>
    <row r="849">
      <c r="A849" s="979"/>
      <c r="B849" s="980"/>
      <c r="C849" s="979"/>
      <c r="D849" s="981"/>
      <c r="E849" s="981"/>
      <c r="F849" s="981"/>
      <c r="G849" s="979"/>
      <c r="H849" s="981"/>
      <c r="I849" s="981"/>
      <c r="J849" s="979"/>
      <c r="K849" s="981" t="b">
        <v>0</v>
      </c>
      <c r="L849" s="980"/>
    </row>
    <row r="850">
      <c r="A850" s="974"/>
      <c r="B850" s="975"/>
      <c r="C850" s="974"/>
      <c r="D850" s="982"/>
      <c r="E850" s="982"/>
      <c r="F850" s="982"/>
      <c r="G850" s="974"/>
      <c r="H850" s="982"/>
      <c r="I850" s="982"/>
      <c r="J850" s="974"/>
      <c r="K850" s="982" t="b">
        <v>0</v>
      </c>
      <c r="L850" s="975"/>
    </row>
    <row r="851">
      <c r="A851" s="979"/>
      <c r="B851" s="980"/>
      <c r="C851" s="979"/>
      <c r="D851" s="981"/>
      <c r="E851" s="981"/>
      <c r="F851" s="981"/>
      <c r="G851" s="979"/>
      <c r="H851" s="981"/>
      <c r="I851" s="981"/>
      <c r="J851" s="979"/>
      <c r="K851" s="981" t="b">
        <v>0</v>
      </c>
      <c r="L851" s="980"/>
    </row>
    <row r="852">
      <c r="A852" s="974"/>
      <c r="B852" s="975"/>
      <c r="C852" s="974"/>
      <c r="D852" s="982"/>
      <c r="E852" s="982"/>
      <c r="F852" s="982"/>
      <c r="G852" s="974"/>
      <c r="H852" s="982"/>
      <c r="I852" s="982"/>
      <c r="J852" s="974"/>
      <c r="K852" s="982" t="b">
        <v>0</v>
      </c>
      <c r="L852" s="975"/>
    </row>
    <row r="853">
      <c r="A853" s="979"/>
      <c r="B853" s="980"/>
      <c r="C853" s="979"/>
      <c r="D853" s="981"/>
      <c r="E853" s="981"/>
      <c r="F853" s="981"/>
      <c r="G853" s="979"/>
      <c r="H853" s="981"/>
      <c r="I853" s="981"/>
      <c r="J853" s="979"/>
      <c r="K853" s="981" t="b">
        <v>0</v>
      </c>
      <c r="L853" s="980"/>
    </row>
    <row r="854">
      <c r="A854" s="974"/>
      <c r="B854" s="975"/>
      <c r="C854" s="974"/>
      <c r="D854" s="982"/>
      <c r="E854" s="982"/>
      <c r="F854" s="982"/>
      <c r="G854" s="974"/>
      <c r="H854" s="982"/>
      <c r="I854" s="982"/>
      <c r="J854" s="974"/>
      <c r="K854" s="982" t="b">
        <v>0</v>
      </c>
      <c r="L854" s="975"/>
    </row>
    <row r="855">
      <c r="A855" s="979"/>
      <c r="B855" s="980"/>
      <c r="C855" s="979"/>
      <c r="D855" s="981"/>
      <c r="E855" s="981"/>
      <c r="F855" s="981"/>
      <c r="G855" s="979"/>
      <c r="H855" s="981"/>
      <c r="I855" s="981"/>
      <c r="J855" s="979"/>
      <c r="K855" s="981" t="b">
        <v>0</v>
      </c>
      <c r="L855" s="980"/>
    </row>
    <row r="856">
      <c r="A856" s="974"/>
      <c r="B856" s="975"/>
      <c r="C856" s="974"/>
      <c r="D856" s="982"/>
      <c r="E856" s="982"/>
      <c r="F856" s="982"/>
      <c r="G856" s="974"/>
      <c r="H856" s="982"/>
      <c r="I856" s="982"/>
      <c r="J856" s="974"/>
      <c r="K856" s="982" t="b">
        <v>0</v>
      </c>
      <c r="L856" s="975"/>
    </row>
    <row r="857">
      <c r="A857" s="979"/>
      <c r="B857" s="980"/>
      <c r="C857" s="979"/>
      <c r="D857" s="981"/>
      <c r="E857" s="981"/>
      <c r="F857" s="981"/>
      <c r="G857" s="979"/>
      <c r="H857" s="981"/>
      <c r="I857" s="981"/>
      <c r="J857" s="979"/>
      <c r="K857" s="981" t="b">
        <v>0</v>
      </c>
      <c r="L857" s="980"/>
    </row>
    <row r="858">
      <c r="A858" s="974"/>
      <c r="B858" s="975"/>
      <c r="C858" s="974"/>
      <c r="D858" s="982"/>
      <c r="E858" s="982"/>
      <c r="F858" s="982"/>
      <c r="G858" s="974"/>
      <c r="H858" s="982"/>
      <c r="I858" s="982"/>
      <c r="J858" s="974"/>
      <c r="K858" s="982" t="b">
        <v>0</v>
      </c>
      <c r="L858" s="975"/>
    </row>
    <row r="859">
      <c r="A859" s="979"/>
      <c r="B859" s="980"/>
      <c r="C859" s="979"/>
      <c r="D859" s="981"/>
      <c r="E859" s="981"/>
      <c r="F859" s="981"/>
      <c r="G859" s="979"/>
      <c r="H859" s="981"/>
      <c r="I859" s="981"/>
      <c r="J859" s="979"/>
      <c r="K859" s="981" t="b">
        <v>0</v>
      </c>
      <c r="L859" s="980"/>
    </row>
    <row r="860">
      <c r="A860" s="974"/>
      <c r="B860" s="975"/>
      <c r="C860" s="974"/>
      <c r="D860" s="982"/>
      <c r="E860" s="982"/>
      <c r="F860" s="982"/>
      <c r="G860" s="974"/>
      <c r="H860" s="982"/>
      <c r="I860" s="982"/>
      <c r="J860" s="974"/>
      <c r="K860" s="982" t="b">
        <v>0</v>
      </c>
      <c r="L860" s="975"/>
    </row>
    <row r="861">
      <c r="A861" s="979"/>
      <c r="B861" s="980"/>
      <c r="C861" s="979"/>
      <c r="D861" s="981"/>
      <c r="E861" s="981"/>
      <c r="F861" s="981"/>
      <c r="G861" s="979"/>
      <c r="H861" s="981"/>
      <c r="I861" s="981"/>
      <c r="J861" s="979"/>
      <c r="K861" s="981" t="b">
        <v>0</v>
      </c>
      <c r="L861" s="980"/>
    </row>
    <row r="862">
      <c r="A862" s="974"/>
      <c r="B862" s="975"/>
      <c r="C862" s="974"/>
      <c r="D862" s="982"/>
      <c r="E862" s="982"/>
      <c r="F862" s="982"/>
      <c r="G862" s="974"/>
      <c r="H862" s="982"/>
      <c r="I862" s="982"/>
      <c r="J862" s="974"/>
      <c r="K862" s="982" t="b">
        <v>0</v>
      </c>
      <c r="L862" s="975"/>
    </row>
    <row r="863">
      <c r="A863" s="979"/>
      <c r="B863" s="980"/>
      <c r="C863" s="979"/>
      <c r="D863" s="981"/>
      <c r="E863" s="981"/>
      <c r="F863" s="981"/>
      <c r="G863" s="979"/>
      <c r="H863" s="981"/>
      <c r="I863" s="981"/>
      <c r="J863" s="979"/>
      <c r="K863" s="981" t="b">
        <v>0</v>
      </c>
      <c r="L863" s="980"/>
    </row>
    <row r="864">
      <c r="A864" s="974"/>
      <c r="B864" s="975"/>
      <c r="C864" s="974"/>
      <c r="D864" s="982"/>
      <c r="E864" s="982"/>
      <c r="F864" s="982"/>
      <c r="G864" s="974"/>
      <c r="H864" s="982"/>
      <c r="I864" s="982"/>
      <c r="J864" s="974"/>
      <c r="K864" s="982" t="b">
        <v>0</v>
      </c>
      <c r="L864" s="975"/>
    </row>
    <row r="865">
      <c r="A865" s="979"/>
      <c r="B865" s="980"/>
      <c r="C865" s="979"/>
      <c r="D865" s="981"/>
      <c r="E865" s="981"/>
      <c r="F865" s="981"/>
      <c r="G865" s="979"/>
      <c r="H865" s="981"/>
      <c r="I865" s="981"/>
      <c r="J865" s="979"/>
      <c r="K865" s="981" t="b">
        <v>0</v>
      </c>
      <c r="L865" s="980"/>
    </row>
    <row r="866">
      <c r="A866" s="974"/>
      <c r="B866" s="975"/>
      <c r="C866" s="974"/>
      <c r="D866" s="982"/>
      <c r="E866" s="982"/>
      <c r="F866" s="982"/>
      <c r="G866" s="974"/>
      <c r="H866" s="982"/>
      <c r="I866" s="982"/>
      <c r="J866" s="974"/>
      <c r="K866" s="982" t="b">
        <v>0</v>
      </c>
      <c r="L866" s="975"/>
    </row>
    <row r="867">
      <c r="A867" s="979"/>
      <c r="B867" s="980"/>
      <c r="C867" s="979"/>
      <c r="D867" s="981"/>
      <c r="E867" s="981"/>
      <c r="F867" s="981"/>
      <c r="G867" s="979"/>
      <c r="H867" s="981"/>
      <c r="I867" s="981"/>
      <c r="J867" s="979"/>
      <c r="K867" s="981" t="b">
        <v>0</v>
      </c>
      <c r="L867" s="980"/>
    </row>
    <row r="868">
      <c r="A868" s="974"/>
      <c r="B868" s="975"/>
      <c r="C868" s="974"/>
      <c r="D868" s="982"/>
      <c r="E868" s="982"/>
      <c r="F868" s="982"/>
      <c r="G868" s="974"/>
      <c r="H868" s="982"/>
      <c r="I868" s="982"/>
      <c r="J868" s="974"/>
      <c r="K868" s="982" t="b">
        <v>0</v>
      </c>
      <c r="L868" s="975"/>
    </row>
    <row r="869">
      <c r="A869" s="979"/>
      <c r="B869" s="980"/>
      <c r="C869" s="979"/>
      <c r="D869" s="981"/>
      <c r="E869" s="981"/>
      <c r="F869" s="981"/>
      <c r="G869" s="979"/>
      <c r="H869" s="981"/>
      <c r="I869" s="981"/>
      <c r="J869" s="979"/>
      <c r="K869" s="981" t="b">
        <v>0</v>
      </c>
      <c r="L869" s="980"/>
    </row>
    <row r="870">
      <c r="A870" s="974"/>
      <c r="B870" s="975"/>
      <c r="C870" s="974"/>
      <c r="D870" s="982"/>
      <c r="E870" s="982"/>
      <c r="F870" s="982"/>
      <c r="G870" s="974"/>
      <c r="H870" s="982"/>
      <c r="I870" s="982"/>
      <c r="J870" s="974"/>
      <c r="K870" s="982" t="b">
        <v>0</v>
      </c>
      <c r="L870" s="975"/>
    </row>
    <row r="871">
      <c r="A871" s="979"/>
      <c r="B871" s="980"/>
      <c r="C871" s="979"/>
      <c r="D871" s="981"/>
      <c r="E871" s="981"/>
      <c r="F871" s="981"/>
      <c r="G871" s="979"/>
      <c r="H871" s="981"/>
      <c r="I871" s="981"/>
      <c r="J871" s="979"/>
      <c r="K871" s="981" t="b">
        <v>0</v>
      </c>
      <c r="L871" s="980"/>
    </row>
    <row r="872">
      <c r="A872" s="974"/>
      <c r="B872" s="975"/>
      <c r="C872" s="974"/>
      <c r="D872" s="982"/>
      <c r="E872" s="982"/>
      <c r="F872" s="982"/>
      <c r="G872" s="974"/>
      <c r="H872" s="982"/>
      <c r="I872" s="982"/>
      <c r="J872" s="974"/>
      <c r="K872" s="982" t="b">
        <v>0</v>
      </c>
      <c r="L872" s="975"/>
    </row>
    <row r="873">
      <c r="A873" s="979"/>
      <c r="B873" s="980"/>
      <c r="C873" s="979"/>
      <c r="D873" s="981"/>
      <c r="E873" s="981"/>
      <c r="F873" s="981"/>
      <c r="G873" s="979"/>
      <c r="H873" s="981"/>
      <c r="I873" s="981"/>
      <c r="J873" s="979"/>
      <c r="K873" s="981" t="b">
        <v>0</v>
      </c>
      <c r="L873" s="980"/>
    </row>
    <row r="874">
      <c r="A874" s="974"/>
      <c r="B874" s="975"/>
      <c r="C874" s="974"/>
      <c r="D874" s="982"/>
      <c r="E874" s="982"/>
      <c r="F874" s="982"/>
      <c r="G874" s="974"/>
      <c r="H874" s="982"/>
      <c r="I874" s="982"/>
      <c r="J874" s="974"/>
      <c r="K874" s="982" t="b">
        <v>0</v>
      </c>
      <c r="L874" s="975"/>
    </row>
    <row r="875">
      <c r="A875" s="979"/>
      <c r="B875" s="980"/>
      <c r="C875" s="979"/>
      <c r="D875" s="981"/>
      <c r="E875" s="981"/>
      <c r="F875" s="981"/>
      <c r="G875" s="979"/>
      <c r="H875" s="981"/>
      <c r="I875" s="981"/>
      <c r="J875" s="979"/>
      <c r="K875" s="981" t="b">
        <v>0</v>
      </c>
      <c r="L875" s="980"/>
    </row>
    <row r="876">
      <c r="A876" s="974"/>
      <c r="B876" s="975"/>
      <c r="C876" s="974"/>
      <c r="D876" s="982"/>
      <c r="E876" s="982"/>
      <c r="F876" s="982"/>
      <c r="G876" s="974"/>
      <c r="H876" s="982"/>
      <c r="I876" s="982"/>
      <c r="J876" s="974"/>
      <c r="K876" s="982" t="b">
        <v>0</v>
      </c>
      <c r="L876" s="975"/>
    </row>
    <row r="877">
      <c r="A877" s="979"/>
      <c r="B877" s="980"/>
      <c r="C877" s="979"/>
      <c r="D877" s="981"/>
      <c r="E877" s="981"/>
      <c r="F877" s="981"/>
      <c r="G877" s="979"/>
      <c r="H877" s="981"/>
      <c r="I877" s="981"/>
      <c r="J877" s="979"/>
      <c r="K877" s="981" t="b">
        <v>0</v>
      </c>
      <c r="L877" s="980"/>
    </row>
    <row r="878">
      <c r="A878" s="974"/>
      <c r="B878" s="975"/>
      <c r="C878" s="974"/>
      <c r="D878" s="982"/>
      <c r="E878" s="982"/>
      <c r="F878" s="982"/>
      <c r="G878" s="974"/>
      <c r="H878" s="982"/>
      <c r="I878" s="982"/>
      <c r="J878" s="974"/>
      <c r="K878" s="982" t="b">
        <v>0</v>
      </c>
      <c r="L878" s="975"/>
    </row>
    <row r="879">
      <c r="A879" s="979"/>
      <c r="B879" s="980"/>
      <c r="C879" s="979"/>
      <c r="D879" s="981"/>
      <c r="E879" s="981"/>
      <c r="F879" s="981"/>
      <c r="G879" s="979"/>
      <c r="H879" s="981"/>
      <c r="I879" s="981"/>
      <c r="J879" s="979"/>
      <c r="K879" s="981" t="b">
        <v>0</v>
      </c>
      <c r="L879" s="980"/>
    </row>
    <row r="880">
      <c r="A880" s="974"/>
      <c r="B880" s="975"/>
      <c r="C880" s="974"/>
      <c r="D880" s="982"/>
      <c r="E880" s="982"/>
      <c r="F880" s="982"/>
      <c r="G880" s="974"/>
      <c r="H880" s="982"/>
      <c r="I880" s="982"/>
      <c r="J880" s="974"/>
      <c r="K880" s="982" t="b">
        <v>0</v>
      </c>
      <c r="L880" s="975"/>
    </row>
    <row r="881">
      <c r="A881" s="979"/>
      <c r="B881" s="980"/>
      <c r="C881" s="979"/>
      <c r="D881" s="981"/>
      <c r="E881" s="981"/>
      <c r="F881" s="981"/>
      <c r="G881" s="979"/>
      <c r="H881" s="981"/>
      <c r="I881" s="981"/>
      <c r="J881" s="979"/>
      <c r="K881" s="981" t="b">
        <v>0</v>
      </c>
      <c r="L881" s="980"/>
    </row>
    <row r="882">
      <c r="A882" s="974"/>
      <c r="B882" s="975"/>
      <c r="C882" s="974"/>
      <c r="D882" s="982"/>
      <c r="E882" s="982"/>
      <c r="F882" s="982"/>
      <c r="G882" s="974"/>
      <c r="H882" s="982"/>
      <c r="I882" s="982"/>
      <c r="J882" s="974"/>
      <c r="K882" s="982" t="b">
        <v>0</v>
      </c>
      <c r="L882" s="975"/>
    </row>
    <row r="883">
      <c r="A883" s="979"/>
      <c r="B883" s="980"/>
      <c r="C883" s="979"/>
      <c r="D883" s="981"/>
      <c r="E883" s="981"/>
      <c r="F883" s="981"/>
      <c r="G883" s="979"/>
      <c r="H883" s="981"/>
      <c r="I883" s="981"/>
      <c r="J883" s="979"/>
      <c r="K883" s="981" t="b">
        <v>0</v>
      </c>
      <c r="L883" s="980"/>
    </row>
    <row r="884">
      <c r="A884" s="974"/>
      <c r="B884" s="975"/>
      <c r="C884" s="974"/>
      <c r="D884" s="982"/>
      <c r="E884" s="982"/>
      <c r="F884" s="982"/>
      <c r="G884" s="974"/>
      <c r="H884" s="982"/>
      <c r="I884" s="982"/>
      <c r="J884" s="974"/>
      <c r="K884" s="982" t="b">
        <v>0</v>
      </c>
      <c r="L884" s="975"/>
    </row>
    <row r="885">
      <c r="A885" s="979"/>
      <c r="B885" s="980"/>
      <c r="C885" s="979"/>
      <c r="D885" s="981"/>
      <c r="E885" s="981"/>
      <c r="F885" s="981"/>
      <c r="G885" s="979"/>
      <c r="H885" s="981"/>
      <c r="I885" s="981"/>
      <c r="J885" s="979"/>
      <c r="K885" s="981" t="b">
        <v>0</v>
      </c>
      <c r="L885" s="980"/>
    </row>
    <row r="886">
      <c r="A886" s="974"/>
      <c r="B886" s="975"/>
      <c r="C886" s="974"/>
      <c r="D886" s="982"/>
      <c r="E886" s="982"/>
      <c r="F886" s="982"/>
      <c r="G886" s="974"/>
      <c r="H886" s="982"/>
      <c r="I886" s="982"/>
      <c r="J886" s="974"/>
      <c r="K886" s="982" t="b">
        <v>0</v>
      </c>
      <c r="L886" s="975"/>
    </row>
    <row r="887">
      <c r="A887" s="979"/>
      <c r="B887" s="980"/>
      <c r="C887" s="979"/>
      <c r="D887" s="981"/>
      <c r="E887" s="981"/>
      <c r="F887" s="981"/>
      <c r="G887" s="979"/>
      <c r="H887" s="981"/>
      <c r="I887" s="981"/>
      <c r="J887" s="979"/>
      <c r="K887" s="981" t="b">
        <v>0</v>
      </c>
      <c r="L887" s="980"/>
    </row>
    <row r="888">
      <c r="A888" s="974"/>
      <c r="B888" s="975"/>
      <c r="C888" s="974"/>
      <c r="D888" s="982"/>
      <c r="E888" s="982"/>
      <c r="F888" s="982"/>
      <c r="G888" s="974"/>
      <c r="H888" s="982"/>
      <c r="I888" s="982"/>
      <c r="J888" s="974"/>
      <c r="K888" s="982" t="b">
        <v>0</v>
      </c>
      <c r="L888" s="975"/>
    </row>
    <row r="889">
      <c r="A889" s="979"/>
      <c r="B889" s="980"/>
      <c r="C889" s="979"/>
      <c r="D889" s="981"/>
      <c r="E889" s="981"/>
      <c r="F889" s="981"/>
      <c r="G889" s="979"/>
      <c r="H889" s="981"/>
      <c r="I889" s="981"/>
      <c r="J889" s="979"/>
      <c r="K889" s="981" t="b">
        <v>0</v>
      </c>
      <c r="L889" s="980"/>
    </row>
    <row r="890">
      <c r="A890" s="974"/>
      <c r="B890" s="975"/>
      <c r="C890" s="974"/>
      <c r="D890" s="982"/>
      <c r="E890" s="982"/>
      <c r="F890" s="982"/>
      <c r="G890" s="974"/>
      <c r="H890" s="982"/>
      <c r="I890" s="982"/>
      <c r="J890" s="974"/>
      <c r="K890" s="982" t="b">
        <v>0</v>
      </c>
      <c r="L890" s="975"/>
    </row>
    <row r="891">
      <c r="A891" s="979"/>
      <c r="B891" s="980"/>
      <c r="C891" s="979"/>
      <c r="D891" s="981"/>
      <c r="E891" s="981"/>
      <c r="F891" s="981"/>
      <c r="G891" s="979"/>
      <c r="H891" s="981"/>
      <c r="I891" s="981"/>
      <c r="J891" s="979"/>
      <c r="K891" s="981" t="b">
        <v>0</v>
      </c>
      <c r="L891" s="980"/>
    </row>
    <row r="892">
      <c r="A892" s="974"/>
      <c r="B892" s="975"/>
      <c r="C892" s="974"/>
      <c r="D892" s="982"/>
      <c r="E892" s="982"/>
      <c r="F892" s="982"/>
      <c r="G892" s="974"/>
      <c r="H892" s="982"/>
      <c r="I892" s="982"/>
      <c r="J892" s="974"/>
      <c r="K892" s="982" t="b">
        <v>0</v>
      </c>
      <c r="L892" s="975"/>
    </row>
    <row r="893">
      <c r="A893" s="979"/>
      <c r="B893" s="980"/>
      <c r="C893" s="979"/>
      <c r="D893" s="981"/>
      <c r="E893" s="981"/>
      <c r="F893" s="981"/>
      <c r="G893" s="979"/>
      <c r="H893" s="981"/>
      <c r="I893" s="981"/>
      <c r="J893" s="979"/>
      <c r="K893" s="981" t="b">
        <v>0</v>
      </c>
      <c r="L893" s="980"/>
    </row>
    <row r="894">
      <c r="A894" s="974"/>
      <c r="B894" s="975"/>
      <c r="C894" s="974"/>
      <c r="D894" s="982"/>
      <c r="E894" s="982"/>
      <c r="F894" s="982"/>
      <c r="G894" s="974"/>
      <c r="H894" s="982"/>
      <c r="I894" s="982"/>
      <c r="J894" s="974"/>
      <c r="K894" s="982" t="b">
        <v>0</v>
      </c>
      <c r="L894" s="975"/>
    </row>
    <row r="895">
      <c r="A895" s="979"/>
      <c r="B895" s="980"/>
      <c r="C895" s="979"/>
      <c r="D895" s="981"/>
      <c r="E895" s="981"/>
      <c r="F895" s="981"/>
      <c r="G895" s="979"/>
      <c r="H895" s="981"/>
      <c r="I895" s="981"/>
      <c r="J895" s="979"/>
      <c r="K895" s="981" t="b">
        <v>0</v>
      </c>
      <c r="L895" s="980"/>
    </row>
    <row r="896">
      <c r="A896" s="974"/>
      <c r="B896" s="975"/>
      <c r="C896" s="974"/>
      <c r="D896" s="982"/>
      <c r="E896" s="982"/>
      <c r="F896" s="982"/>
      <c r="G896" s="974"/>
      <c r="H896" s="982"/>
      <c r="I896" s="982"/>
      <c r="J896" s="974"/>
      <c r="K896" s="982" t="b">
        <v>0</v>
      </c>
      <c r="L896" s="975"/>
    </row>
    <row r="897">
      <c r="A897" s="979"/>
      <c r="B897" s="980"/>
      <c r="C897" s="979"/>
      <c r="D897" s="981"/>
      <c r="E897" s="981"/>
      <c r="F897" s="981"/>
      <c r="G897" s="979"/>
      <c r="H897" s="981"/>
      <c r="I897" s="981"/>
      <c r="J897" s="979"/>
      <c r="K897" s="981" t="b">
        <v>0</v>
      </c>
      <c r="L897" s="980"/>
    </row>
    <row r="898">
      <c r="A898" s="974"/>
      <c r="B898" s="975"/>
      <c r="C898" s="974"/>
      <c r="D898" s="982"/>
      <c r="E898" s="982"/>
      <c r="F898" s="982"/>
      <c r="G898" s="974"/>
      <c r="H898" s="982"/>
      <c r="I898" s="982"/>
      <c r="J898" s="974"/>
      <c r="K898" s="982" t="b">
        <v>0</v>
      </c>
      <c r="L898" s="975"/>
    </row>
    <row r="899">
      <c r="A899" s="979"/>
      <c r="B899" s="980"/>
      <c r="C899" s="979"/>
      <c r="D899" s="981"/>
      <c r="E899" s="981"/>
      <c r="F899" s="981"/>
      <c r="G899" s="979"/>
      <c r="H899" s="981"/>
      <c r="I899" s="981"/>
      <c r="J899" s="979"/>
      <c r="K899" s="981" t="b">
        <v>0</v>
      </c>
      <c r="L899" s="980"/>
    </row>
    <row r="900">
      <c r="A900" s="974"/>
      <c r="B900" s="975"/>
      <c r="C900" s="974"/>
      <c r="D900" s="982"/>
      <c r="E900" s="982"/>
      <c r="F900" s="982"/>
      <c r="G900" s="974"/>
      <c r="H900" s="982"/>
      <c r="I900" s="982"/>
      <c r="J900" s="974"/>
      <c r="K900" s="982" t="b">
        <v>0</v>
      </c>
      <c r="L900" s="975"/>
    </row>
    <row r="901">
      <c r="A901" s="979"/>
      <c r="B901" s="980"/>
      <c r="C901" s="979"/>
      <c r="D901" s="981"/>
      <c r="E901" s="981"/>
      <c r="F901" s="981"/>
      <c r="G901" s="979"/>
      <c r="H901" s="981"/>
      <c r="I901" s="981"/>
      <c r="J901" s="979"/>
      <c r="K901" s="981" t="b">
        <v>0</v>
      </c>
      <c r="L901" s="980"/>
    </row>
    <row r="902">
      <c r="A902" s="974"/>
      <c r="B902" s="975"/>
      <c r="C902" s="974"/>
      <c r="D902" s="982"/>
      <c r="E902" s="982"/>
      <c r="F902" s="982"/>
      <c r="G902" s="974"/>
      <c r="H902" s="982"/>
      <c r="I902" s="982"/>
      <c r="J902" s="974"/>
      <c r="K902" s="982" t="b">
        <v>0</v>
      </c>
      <c r="L902" s="975"/>
    </row>
    <row r="903">
      <c r="A903" s="979"/>
      <c r="B903" s="980"/>
      <c r="C903" s="979"/>
      <c r="D903" s="981"/>
      <c r="E903" s="981"/>
      <c r="F903" s="981"/>
      <c r="G903" s="979"/>
      <c r="H903" s="981"/>
      <c r="I903" s="981"/>
      <c r="J903" s="979"/>
      <c r="K903" s="981" t="b">
        <v>0</v>
      </c>
      <c r="L903" s="980"/>
    </row>
    <row r="904">
      <c r="A904" s="974"/>
      <c r="B904" s="975"/>
      <c r="C904" s="974"/>
      <c r="D904" s="982"/>
      <c r="E904" s="982"/>
      <c r="F904" s="982"/>
      <c r="G904" s="974"/>
      <c r="H904" s="982"/>
      <c r="I904" s="982"/>
      <c r="J904" s="974"/>
      <c r="K904" s="982" t="b">
        <v>0</v>
      </c>
      <c r="L904" s="975"/>
    </row>
    <row r="905">
      <c r="A905" s="979"/>
      <c r="B905" s="980"/>
      <c r="C905" s="979"/>
      <c r="D905" s="981"/>
      <c r="E905" s="981"/>
      <c r="F905" s="981"/>
      <c r="G905" s="979"/>
      <c r="H905" s="981"/>
      <c r="I905" s="981"/>
      <c r="J905" s="979"/>
      <c r="K905" s="981" t="b">
        <v>0</v>
      </c>
      <c r="L905" s="980"/>
    </row>
    <row r="906">
      <c r="A906" s="974"/>
      <c r="B906" s="975"/>
      <c r="C906" s="974"/>
      <c r="D906" s="982"/>
      <c r="E906" s="982"/>
      <c r="F906" s="982"/>
      <c r="G906" s="974"/>
      <c r="H906" s="982"/>
      <c r="I906" s="982"/>
      <c r="J906" s="974"/>
      <c r="K906" s="982" t="b">
        <v>0</v>
      </c>
      <c r="L906" s="975"/>
    </row>
    <row r="907">
      <c r="A907" s="979"/>
      <c r="B907" s="980"/>
      <c r="C907" s="979"/>
      <c r="D907" s="981"/>
      <c r="E907" s="981"/>
      <c r="F907" s="981"/>
      <c r="G907" s="979"/>
      <c r="H907" s="981"/>
      <c r="I907" s="981"/>
      <c r="J907" s="979"/>
      <c r="K907" s="981" t="b">
        <v>0</v>
      </c>
      <c r="L907" s="980"/>
    </row>
    <row r="908">
      <c r="A908" s="974"/>
      <c r="B908" s="975"/>
      <c r="C908" s="974"/>
      <c r="D908" s="982"/>
      <c r="E908" s="982"/>
      <c r="F908" s="982"/>
      <c r="G908" s="974"/>
      <c r="H908" s="982"/>
      <c r="I908" s="982"/>
      <c r="J908" s="974"/>
      <c r="K908" s="982" t="b">
        <v>0</v>
      </c>
      <c r="L908" s="975"/>
    </row>
    <row r="909">
      <c r="A909" s="979"/>
      <c r="B909" s="980"/>
      <c r="C909" s="979"/>
      <c r="D909" s="981"/>
      <c r="E909" s="981"/>
      <c r="F909" s="981"/>
      <c r="G909" s="979"/>
      <c r="H909" s="981"/>
      <c r="I909" s="981"/>
      <c r="J909" s="979"/>
      <c r="K909" s="981" t="b">
        <v>0</v>
      </c>
      <c r="L909" s="980"/>
    </row>
    <row r="910">
      <c r="A910" s="974"/>
      <c r="B910" s="975"/>
      <c r="C910" s="974"/>
      <c r="D910" s="982"/>
      <c r="E910" s="982"/>
      <c r="F910" s="982"/>
      <c r="G910" s="974"/>
      <c r="H910" s="982"/>
      <c r="I910" s="982"/>
      <c r="J910" s="974"/>
      <c r="K910" s="982" t="b">
        <v>0</v>
      </c>
      <c r="L910" s="975"/>
    </row>
    <row r="911">
      <c r="A911" s="979"/>
      <c r="B911" s="980"/>
      <c r="C911" s="979"/>
      <c r="D911" s="981"/>
      <c r="E911" s="981"/>
      <c r="F911" s="981"/>
      <c r="G911" s="979"/>
      <c r="H911" s="981"/>
      <c r="I911" s="981"/>
      <c r="J911" s="979"/>
      <c r="K911" s="981" t="b">
        <v>0</v>
      </c>
      <c r="L911" s="980"/>
    </row>
    <row r="912">
      <c r="A912" s="974"/>
      <c r="B912" s="975"/>
      <c r="C912" s="974"/>
      <c r="D912" s="982"/>
      <c r="E912" s="982"/>
      <c r="F912" s="982"/>
      <c r="G912" s="974"/>
      <c r="H912" s="982"/>
      <c r="I912" s="982"/>
      <c r="J912" s="974"/>
      <c r="K912" s="982" t="b">
        <v>0</v>
      </c>
      <c r="L912" s="975"/>
    </row>
    <row r="913">
      <c r="A913" s="979"/>
      <c r="B913" s="980"/>
      <c r="C913" s="979"/>
      <c r="D913" s="981"/>
      <c r="E913" s="981"/>
      <c r="F913" s="981"/>
      <c r="G913" s="979"/>
      <c r="H913" s="981"/>
      <c r="I913" s="981"/>
      <c r="J913" s="979"/>
      <c r="K913" s="981" t="b">
        <v>0</v>
      </c>
      <c r="L913" s="980"/>
    </row>
    <row r="914">
      <c r="A914" s="974"/>
      <c r="B914" s="975"/>
      <c r="C914" s="974"/>
      <c r="D914" s="982"/>
      <c r="E914" s="982"/>
      <c r="F914" s="982"/>
      <c r="G914" s="974"/>
      <c r="H914" s="982"/>
      <c r="I914" s="982"/>
      <c r="J914" s="974"/>
      <c r="K914" s="982" t="b">
        <v>0</v>
      </c>
      <c r="L914" s="975"/>
    </row>
    <row r="915">
      <c r="A915" s="979"/>
      <c r="B915" s="980"/>
      <c r="C915" s="979"/>
      <c r="D915" s="981"/>
      <c r="E915" s="981"/>
      <c r="F915" s="981"/>
      <c r="G915" s="979"/>
      <c r="H915" s="981"/>
      <c r="I915" s="981"/>
      <c r="J915" s="979"/>
      <c r="K915" s="981" t="b">
        <v>0</v>
      </c>
      <c r="L915" s="980"/>
    </row>
    <row r="916">
      <c r="A916" s="974"/>
      <c r="B916" s="975"/>
      <c r="C916" s="974"/>
      <c r="D916" s="982"/>
      <c r="E916" s="982"/>
      <c r="F916" s="982"/>
      <c r="G916" s="974"/>
      <c r="H916" s="982"/>
      <c r="I916" s="982"/>
      <c r="J916" s="974"/>
      <c r="K916" s="982" t="b">
        <v>0</v>
      </c>
      <c r="L916" s="975"/>
    </row>
    <row r="917">
      <c r="A917" s="979"/>
      <c r="B917" s="980"/>
      <c r="C917" s="979"/>
      <c r="D917" s="981"/>
      <c r="E917" s="981"/>
      <c r="F917" s="981"/>
      <c r="G917" s="979"/>
      <c r="H917" s="981"/>
      <c r="I917" s="981"/>
      <c r="J917" s="979"/>
      <c r="K917" s="981" t="b">
        <v>0</v>
      </c>
      <c r="L917" s="980"/>
    </row>
    <row r="918">
      <c r="A918" s="974"/>
      <c r="B918" s="975"/>
      <c r="C918" s="974"/>
      <c r="D918" s="982"/>
      <c r="E918" s="982"/>
      <c r="F918" s="982"/>
      <c r="G918" s="974"/>
      <c r="H918" s="982"/>
      <c r="I918" s="982"/>
      <c r="J918" s="974"/>
      <c r="K918" s="982" t="b">
        <v>0</v>
      </c>
      <c r="L918" s="975"/>
    </row>
    <row r="919">
      <c r="A919" s="979"/>
      <c r="B919" s="980"/>
      <c r="C919" s="979"/>
      <c r="D919" s="981"/>
      <c r="E919" s="981"/>
      <c r="F919" s="981"/>
      <c r="G919" s="979"/>
      <c r="H919" s="981"/>
      <c r="I919" s="981"/>
      <c r="J919" s="979"/>
      <c r="K919" s="981" t="b">
        <v>0</v>
      </c>
      <c r="L919" s="980"/>
    </row>
    <row r="920">
      <c r="A920" s="974"/>
      <c r="B920" s="975"/>
      <c r="C920" s="974"/>
      <c r="D920" s="982"/>
      <c r="E920" s="982"/>
      <c r="F920" s="982"/>
      <c r="G920" s="974"/>
      <c r="H920" s="982"/>
      <c r="I920" s="982"/>
      <c r="J920" s="974"/>
      <c r="K920" s="982" t="b">
        <v>0</v>
      </c>
      <c r="L920" s="975"/>
    </row>
    <row r="921">
      <c r="A921" s="979"/>
      <c r="B921" s="980"/>
      <c r="C921" s="979"/>
      <c r="D921" s="981"/>
      <c r="E921" s="981"/>
      <c r="F921" s="981"/>
      <c r="G921" s="979"/>
      <c r="H921" s="981"/>
      <c r="I921" s="981"/>
      <c r="J921" s="979"/>
      <c r="K921" s="981" t="b">
        <v>0</v>
      </c>
      <c r="L921" s="980"/>
    </row>
    <row r="922">
      <c r="A922" s="974"/>
      <c r="B922" s="975"/>
      <c r="C922" s="974"/>
      <c r="D922" s="982"/>
      <c r="E922" s="982"/>
      <c r="F922" s="982"/>
      <c r="G922" s="974"/>
      <c r="H922" s="982"/>
      <c r="I922" s="982"/>
      <c r="J922" s="974"/>
      <c r="K922" s="982" t="b">
        <v>0</v>
      </c>
      <c r="L922" s="975"/>
    </row>
    <row r="923">
      <c r="A923" s="979"/>
      <c r="B923" s="980"/>
      <c r="C923" s="979"/>
      <c r="D923" s="981"/>
      <c r="E923" s="981"/>
      <c r="F923" s="981"/>
      <c r="G923" s="979"/>
      <c r="H923" s="981"/>
      <c r="I923" s="981"/>
      <c r="J923" s="979"/>
      <c r="K923" s="981" t="b">
        <v>0</v>
      </c>
      <c r="L923" s="980"/>
    </row>
    <row r="924">
      <c r="A924" s="974"/>
      <c r="B924" s="975"/>
      <c r="C924" s="974"/>
      <c r="D924" s="982"/>
      <c r="E924" s="982"/>
      <c r="F924" s="982"/>
      <c r="G924" s="974"/>
      <c r="H924" s="982"/>
      <c r="I924" s="982"/>
      <c r="J924" s="974"/>
      <c r="K924" s="982" t="b">
        <v>0</v>
      </c>
      <c r="L924" s="975"/>
    </row>
    <row r="925">
      <c r="A925" s="979"/>
      <c r="B925" s="980"/>
      <c r="C925" s="979"/>
      <c r="D925" s="981"/>
      <c r="E925" s="981"/>
      <c r="F925" s="981"/>
      <c r="G925" s="979"/>
      <c r="H925" s="981"/>
      <c r="I925" s="981"/>
      <c r="J925" s="979"/>
      <c r="K925" s="981" t="b">
        <v>0</v>
      </c>
      <c r="L925" s="980"/>
    </row>
    <row r="926">
      <c r="A926" s="974"/>
      <c r="B926" s="975"/>
      <c r="C926" s="974"/>
      <c r="D926" s="982"/>
      <c r="E926" s="982"/>
      <c r="F926" s="982"/>
      <c r="G926" s="974"/>
      <c r="H926" s="982"/>
      <c r="I926" s="982"/>
      <c r="J926" s="974"/>
      <c r="K926" s="982" t="b">
        <v>0</v>
      </c>
      <c r="L926" s="975"/>
    </row>
    <row r="927">
      <c r="A927" s="979"/>
      <c r="B927" s="980"/>
      <c r="C927" s="979"/>
      <c r="D927" s="981"/>
      <c r="E927" s="981"/>
      <c r="F927" s="981"/>
      <c r="G927" s="979"/>
      <c r="H927" s="981"/>
      <c r="I927" s="981"/>
      <c r="J927" s="979"/>
      <c r="K927" s="981" t="b">
        <v>0</v>
      </c>
      <c r="L927" s="980"/>
    </row>
    <row r="928">
      <c r="A928" s="974"/>
      <c r="B928" s="975"/>
      <c r="C928" s="974"/>
      <c r="D928" s="982"/>
      <c r="E928" s="982"/>
      <c r="F928" s="982"/>
      <c r="G928" s="974"/>
      <c r="H928" s="982"/>
      <c r="I928" s="982"/>
      <c r="J928" s="974"/>
      <c r="K928" s="982" t="b">
        <v>0</v>
      </c>
      <c r="L928" s="975"/>
    </row>
    <row r="929">
      <c r="A929" s="979"/>
      <c r="B929" s="980"/>
      <c r="C929" s="979"/>
      <c r="D929" s="981"/>
      <c r="E929" s="981"/>
      <c r="F929" s="981"/>
      <c r="G929" s="979"/>
      <c r="H929" s="981"/>
      <c r="I929" s="981"/>
      <c r="J929" s="979"/>
      <c r="K929" s="981" t="b">
        <v>0</v>
      </c>
      <c r="L929" s="980"/>
    </row>
    <row r="930">
      <c r="A930" s="974"/>
      <c r="B930" s="975"/>
      <c r="C930" s="974"/>
      <c r="D930" s="982"/>
      <c r="E930" s="982"/>
      <c r="F930" s="982"/>
      <c r="G930" s="974"/>
      <c r="H930" s="982"/>
      <c r="I930" s="982"/>
      <c r="J930" s="974"/>
      <c r="K930" s="982" t="b">
        <v>0</v>
      </c>
      <c r="L930" s="975"/>
    </row>
    <row r="931">
      <c r="A931" s="979"/>
      <c r="B931" s="980"/>
      <c r="C931" s="979"/>
      <c r="D931" s="981"/>
      <c r="E931" s="981"/>
      <c r="F931" s="981"/>
      <c r="G931" s="979"/>
      <c r="H931" s="981"/>
      <c r="I931" s="981"/>
      <c r="J931" s="979"/>
      <c r="K931" s="981" t="b">
        <v>0</v>
      </c>
      <c r="L931" s="980"/>
    </row>
    <row r="932">
      <c r="A932" s="974"/>
      <c r="B932" s="975"/>
      <c r="C932" s="974"/>
      <c r="D932" s="982"/>
      <c r="E932" s="982"/>
      <c r="F932" s="982"/>
      <c r="G932" s="974"/>
      <c r="H932" s="982"/>
      <c r="I932" s="982"/>
      <c r="J932" s="974"/>
      <c r="K932" s="982" t="b">
        <v>0</v>
      </c>
      <c r="L932" s="975"/>
    </row>
    <row r="933">
      <c r="A933" s="979"/>
      <c r="B933" s="980"/>
      <c r="C933" s="979"/>
      <c r="D933" s="981"/>
      <c r="E933" s="981"/>
      <c r="F933" s="981"/>
      <c r="G933" s="979"/>
      <c r="H933" s="981"/>
      <c r="I933" s="981"/>
      <c r="J933" s="979"/>
      <c r="K933" s="981" t="b">
        <v>0</v>
      </c>
      <c r="L933" s="980"/>
    </row>
    <row r="934">
      <c r="A934" s="974"/>
      <c r="B934" s="975"/>
      <c r="C934" s="974"/>
      <c r="D934" s="982"/>
      <c r="E934" s="982"/>
      <c r="F934" s="982"/>
      <c r="G934" s="974"/>
      <c r="H934" s="982"/>
      <c r="I934" s="982"/>
      <c r="J934" s="974"/>
      <c r="K934" s="982" t="b">
        <v>0</v>
      </c>
      <c r="L934" s="975"/>
    </row>
    <row r="935">
      <c r="A935" s="979"/>
      <c r="B935" s="980"/>
      <c r="C935" s="979"/>
      <c r="D935" s="981"/>
      <c r="E935" s="981"/>
      <c r="F935" s="981"/>
      <c r="G935" s="979"/>
      <c r="H935" s="981"/>
      <c r="I935" s="981"/>
      <c r="J935" s="979"/>
      <c r="K935" s="981" t="b">
        <v>0</v>
      </c>
      <c r="L935" s="980"/>
    </row>
    <row r="936">
      <c r="A936" s="974"/>
      <c r="B936" s="975"/>
      <c r="C936" s="974"/>
      <c r="D936" s="982"/>
      <c r="E936" s="982"/>
      <c r="F936" s="982"/>
      <c r="G936" s="974"/>
      <c r="H936" s="982"/>
      <c r="I936" s="982"/>
      <c r="J936" s="974"/>
      <c r="K936" s="982" t="b">
        <v>0</v>
      </c>
      <c r="L936" s="975"/>
    </row>
    <row r="937">
      <c r="A937" s="979"/>
      <c r="B937" s="980"/>
      <c r="C937" s="979"/>
      <c r="D937" s="981"/>
      <c r="E937" s="981"/>
      <c r="F937" s="981"/>
      <c r="G937" s="979"/>
      <c r="H937" s="981"/>
      <c r="I937" s="981"/>
      <c r="J937" s="979"/>
      <c r="K937" s="981" t="b">
        <v>0</v>
      </c>
      <c r="L937" s="980"/>
    </row>
    <row r="938">
      <c r="A938" s="974"/>
      <c r="B938" s="975"/>
      <c r="C938" s="974"/>
      <c r="D938" s="982"/>
      <c r="E938" s="982"/>
      <c r="F938" s="982"/>
      <c r="G938" s="974"/>
      <c r="H938" s="982"/>
      <c r="I938" s="982"/>
      <c r="J938" s="974"/>
      <c r="K938" s="982" t="b">
        <v>0</v>
      </c>
      <c r="L938" s="975"/>
    </row>
    <row r="939">
      <c r="A939" s="979"/>
      <c r="B939" s="980"/>
      <c r="C939" s="979"/>
      <c r="D939" s="981"/>
      <c r="E939" s="981"/>
      <c r="F939" s="981"/>
      <c r="G939" s="979"/>
      <c r="H939" s="981"/>
      <c r="I939" s="981"/>
      <c r="J939" s="979"/>
      <c r="K939" s="981" t="b">
        <v>0</v>
      </c>
      <c r="L939" s="980"/>
    </row>
    <row r="940">
      <c r="A940" s="974"/>
      <c r="B940" s="975"/>
      <c r="C940" s="974"/>
      <c r="D940" s="982"/>
      <c r="E940" s="982"/>
      <c r="F940" s="982"/>
      <c r="G940" s="974"/>
      <c r="H940" s="982"/>
      <c r="I940" s="982"/>
      <c r="J940" s="974"/>
      <c r="K940" s="982" t="b">
        <v>0</v>
      </c>
      <c r="L940" s="975"/>
    </row>
    <row r="941">
      <c r="A941" s="979"/>
      <c r="B941" s="980"/>
      <c r="C941" s="979"/>
      <c r="D941" s="981"/>
      <c r="E941" s="981"/>
      <c r="F941" s="981"/>
      <c r="G941" s="979"/>
      <c r="H941" s="981"/>
      <c r="I941" s="981"/>
      <c r="J941" s="979"/>
      <c r="K941" s="981" t="b">
        <v>0</v>
      </c>
      <c r="L941" s="980"/>
    </row>
    <row r="942">
      <c r="A942" s="974"/>
      <c r="B942" s="975"/>
      <c r="C942" s="974"/>
      <c r="D942" s="982"/>
      <c r="E942" s="982"/>
      <c r="F942" s="982"/>
      <c r="G942" s="974"/>
      <c r="H942" s="982"/>
      <c r="I942" s="982"/>
      <c r="J942" s="974"/>
      <c r="K942" s="982" t="b">
        <v>0</v>
      </c>
      <c r="L942" s="975"/>
    </row>
    <row r="943">
      <c r="A943" s="979"/>
      <c r="B943" s="980"/>
      <c r="C943" s="979"/>
      <c r="D943" s="981"/>
      <c r="E943" s="981"/>
      <c r="F943" s="981"/>
      <c r="G943" s="979"/>
      <c r="H943" s="981"/>
      <c r="I943" s="981"/>
      <c r="J943" s="979"/>
      <c r="K943" s="981" t="b">
        <v>0</v>
      </c>
      <c r="L943" s="980"/>
    </row>
    <row r="944">
      <c r="A944" s="974"/>
      <c r="B944" s="975"/>
      <c r="C944" s="974"/>
      <c r="D944" s="982"/>
      <c r="E944" s="982"/>
      <c r="F944" s="982"/>
      <c r="G944" s="974"/>
      <c r="H944" s="982"/>
      <c r="I944" s="982"/>
      <c r="J944" s="974"/>
      <c r="K944" s="982" t="b">
        <v>0</v>
      </c>
      <c r="L944" s="975"/>
    </row>
    <row r="945">
      <c r="A945" s="979"/>
      <c r="B945" s="980"/>
      <c r="C945" s="979"/>
      <c r="D945" s="981"/>
      <c r="E945" s="981"/>
      <c r="F945" s="981"/>
      <c r="G945" s="979"/>
      <c r="H945" s="981"/>
      <c r="I945" s="981"/>
      <c r="J945" s="979"/>
      <c r="K945" s="981" t="b">
        <v>0</v>
      </c>
      <c r="L945" s="980"/>
    </row>
    <row r="946">
      <c r="A946" s="974"/>
      <c r="B946" s="975"/>
      <c r="C946" s="974"/>
      <c r="D946" s="982"/>
      <c r="E946" s="982"/>
      <c r="F946" s="982"/>
      <c r="G946" s="974"/>
      <c r="H946" s="982"/>
      <c r="I946" s="982"/>
      <c r="J946" s="974"/>
      <c r="K946" s="982" t="b">
        <v>0</v>
      </c>
      <c r="L946" s="975"/>
    </row>
    <row r="947">
      <c r="A947" s="979"/>
      <c r="B947" s="980"/>
      <c r="C947" s="979"/>
      <c r="D947" s="981"/>
      <c r="E947" s="981"/>
      <c r="F947" s="981"/>
      <c r="G947" s="979"/>
      <c r="H947" s="981"/>
      <c r="I947" s="981"/>
      <c r="J947" s="979"/>
      <c r="K947" s="981" t="b">
        <v>0</v>
      </c>
      <c r="L947" s="980"/>
    </row>
    <row r="948">
      <c r="A948" s="974"/>
      <c r="B948" s="975"/>
      <c r="C948" s="974"/>
      <c r="D948" s="982"/>
      <c r="E948" s="982"/>
      <c r="F948" s="982"/>
      <c r="G948" s="974"/>
      <c r="H948" s="982"/>
      <c r="I948" s="982"/>
      <c r="J948" s="974"/>
      <c r="K948" s="982" t="b">
        <v>0</v>
      </c>
      <c r="L948" s="975"/>
    </row>
    <row r="949">
      <c r="A949" s="979"/>
      <c r="B949" s="980"/>
      <c r="C949" s="979"/>
      <c r="D949" s="981"/>
      <c r="E949" s="981"/>
      <c r="F949" s="981"/>
      <c r="G949" s="979"/>
      <c r="H949" s="981"/>
      <c r="I949" s="981"/>
      <c r="J949" s="979"/>
      <c r="K949" s="981" t="b">
        <v>0</v>
      </c>
      <c r="L949" s="980"/>
    </row>
    <row r="950">
      <c r="A950" s="974"/>
      <c r="B950" s="975"/>
      <c r="C950" s="974"/>
      <c r="D950" s="982"/>
      <c r="E950" s="982"/>
      <c r="F950" s="982"/>
      <c r="G950" s="974"/>
      <c r="H950" s="982"/>
      <c r="I950" s="982"/>
      <c r="J950" s="974"/>
      <c r="K950" s="982" t="b">
        <v>0</v>
      </c>
      <c r="L950" s="975"/>
    </row>
    <row r="951">
      <c r="A951" s="979"/>
      <c r="B951" s="980"/>
      <c r="C951" s="979"/>
      <c r="D951" s="981"/>
      <c r="E951" s="981"/>
      <c r="F951" s="981"/>
      <c r="G951" s="979"/>
      <c r="H951" s="981"/>
      <c r="I951" s="981"/>
      <c r="J951" s="979"/>
      <c r="K951" s="981" t="b">
        <v>0</v>
      </c>
      <c r="L951" s="980"/>
    </row>
    <row r="952">
      <c r="A952" s="974"/>
      <c r="B952" s="975"/>
      <c r="C952" s="974"/>
      <c r="D952" s="982"/>
      <c r="E952" s="982"/>
      <c r="F952" s="982"/>
      <c r="G952" s="974"/>
      <c r="H952" s="982"/>
      <c r="I952" s="982"/>
      <c r="J952" s="974"/>
      <c r="K952" s="982" t="b">
        <v>0</v>
      </c>
      <c r="L952" s="975"/>
    </row>
    <row r="953">
      <c r="A953" s="979"/>
      <c r="B953" s="980"/>
      <c r="C953" s="979"/>
      <c r="D953" s="981"/>
      <c r="E953" s="981"/>
      <c r="F953" s="981"/>
      <c r="G953" s="979"/>
      <c r="H953" s="981"/>
      <c r="I953" s="981"/>
      <c r="J953" s="979"/>
      <c r="K953" s="981" t="b">
        <v>0</v>
      </c>
      <c r="L953" s="980"/>
    </row>
    <row r="954">
      <c r="A954" s="974"/>
      <c r="B954" s="975"/>
      <c r="C954" s="974"/>
      <c r="D954" s="982"/>
      <c r="E954" s="982"/>
      <c r="F954" s="982"/>
      <c r="G954" s="974"/>
      <c r="H954" s="982"/>
      <c r="I954" s="982"/>
      <c r="J954" s="974"/>
      <c r="K954" s="982" t="b">
        <v>0</v>
      </c>
      <c r="L954" s="975"/>
    </row>
    <row r="955">
      <c r="A955" s="979"/>
      <c r="B955" s="980"/>
      <c r="C955" s="979"/>
      <c r="D955" s="981"/>
      <c r="E955" s="981"/>
      <c r="F955" s="981"/>
      <c r="G955" s="979"/>
      <c r="H955" s="981"/>
      <c r="I955" s="981"/>
      <c r="J955" s="979"/>
      <c r="K955" s="981" t="b">
        <v>0</v>
      </c>
      <c r="L955" s="980"/>
    </row>
    <row r="956">
      <c r="A956" s="974"/>
      <c r="B956" s="975"/>
      <c r="C956" s="974"/>
      <c r="D956" s="982"/>
      <c r="E956" s="982"/>
      <c r="F956" s="982"/>
      <c r="G956" s="974"/>
      <c r="H956" s="982"/>
      <c r="I956" s="982"/>
      <c r="J956" s="974"/>
      <c r="K956" s="982" t="b">
        <v>0</v>
      </c>
      <c r="L956" s="975"/>
    </row>
    <row r="957">
      <c r="A957" s="979"/>
      <c r="B957" s="980"/>
      <c r="C957" s="979"/>
      <c r="D957" s="981"/>
      <c r="E957" s="981"/>
      <c r="F957" s="981"/>
      <c r="G957" s="979"/>
      <c r="H957" s="981"/>
      <c r="I957" s="981"/>
      <c r="J957" s="979"/>
      <c r="K957" s="981" t="b">
        <v>0</v>
      </c>
      <c r="L957" s="980"/>
    </row>
    <row r="958">
      <c r="A958" s="974"/>
      <c r="B958" s="975"/>
      <c r="C958" s="974"/>
      <c r="D958" s="982"/>
      <c r="E958" s="982"/>
      <c r="F958" s="982"/>
      <c r="G958" s="974"/>
      <c r="H958" s="982"/>
      <c r="I958" s="982"/>
      <c r="J958" s="974"/>
      <c r="K958" s="982" t="b">
        <v>0</v>
      </c>
      <c r="L958" s="975"/>
    </row>
    <row r="959">
      <c r="A959" s="979"/>
      <c r="B959" s="980"/>
      <c r="C959" s="979"/>
      <c r="D959" s="981"/>
      <c r="E959" s="981"/>
      <c r="F959" s="981"/>
      <c r="G959" s="979"/>
      <c r="H959" s="981"/>
      <c r="I959" s="981"/>
      <c r="J959" s="979"/>
      <c r="K959" s="981" t="b">
        <v>0</v>
      </c>
      <c r="L959" s="980"/>
    </row>
    <row r="960">
      <c r="A960" s="974"/>
      <c r="B960" s="975"/>
      <c r="C960" s="974"/>
      <c r="D960" s="982"/>
      <c r="E960" s="982"/>
      <c r="F960" s="982"/>
      <c r="G960" s="974"/>
      <c r="H960" s="982"/>
      <c r="I960" s="982"/>
      <c r="J960" s="974"/>
      <c r="K960" s="982" t="b">
        <v>0</v>
      </c>
      <c r="L960" s="975"/>
    </row>
    <row r="961">
      <c r="A961" s="979"/>
      <c r="B961" s="980"/>
      <c r="C961" s="979"/>
      <c r="D961" s="981"/>
      <c r="E961" s="981"/>
      <c r="F961" s="981"/>
      <c r="G961" s="979"/>
      <c r="H961" s="981"/>
      <c r="I961" s="981"/>
      <c r="J961" s="979"/>
      <c r="K961" s="981" t="b">
        <v>0</v>
      </c>
      <c r="L961" s="980"/>
    </row>
    <row r="962">
      <c r="A962" s="974"/>
      <c r="B962" s="975"/>
      <c r="C962" s="974"/>
      <c r="D962" s="982"/>
      <c r="E962" s="982"/>
      <c r="F962" s="982"/>
      <c r="G962" s="974"/>
      <c r="H962" s="982"/>
      <c r="I962" s="982"/>
      <c r="J962" s="974"/>
      <c r="K962" s="982" t="b">
        <v>0</v>
      </c>
      <c r="L962" s="975"/>
    </row>
    <row r="963">
      <c r="A963" s="979"/>
      <c r="B963" s="980"/>
      <c r="C963" s="979"/>
      <c r="D963" s="981"/>
      <c r="E963" s="981"/>
      <c r="F963" s="981"/>
      <c r="G963" s="979"/>
      <c r="H963" s="981"/>
      <c r="I963" s="981"/>
      <c r="J963" s="979"/>
      <c r="K963" s="981" t="b">
        <v>0</v>
      </c>
      <c r="L963" s="980"/>
    </row>
    <row r="964">
      <c r="A964" s="974"/>
      <c r="B964" s="975"/>
      <c r="C964" s="974"/>
      <c r="D964" s="982"/>
      <c r="E964" s="982"/>
      <c r="F964" s="982"/>
      <c r="G964" s="974"/>
      <c r="H964" s="982"/>
      <c r="I964" s="982"/>
      <c r="J964" s="974"/>
      <c r="K964" s="982" t="b">
        <v>0</v>
      </c>
      <c r="L964" s="975"/>
    </row>
    <row r="965">
      <c r="A965" s="979"/>
      <c r="B965" s="980"/>
      <c r="C965" s="979"/>
      <c r="D965" s="981"/>
      <c r="E965" s="981"/>
      <c r="F965" s="981"/>
      <c r="G965" s="979"/>
      <c r="H965" s="981"/>
      <c r="I965" s="981"/>
      <c r="J965" s="979"/>
      <c r="K965" s="981" t="b">
        <v>0</v>
      </c>
      <c r="L965" s="980"/>
    </row>
    <row r="966">
      <c r="A966" s="974"/>
      <c r="B966" s="975"/>
      <c r="C966" s="974"/>
      <c r="D966" s="982"/>
      <c r="E966" s="982"/>
      <c r="F966" s="982"/>
      <c r="G966" s="974"/>
      <c r="H966" s="982"/>
      <c r="I966" s="982"/>
      <c r="J966" s="974"/>
      <c r="K966" s="982" t="b">
        <v>0</v>
      </c>
      <c r="L966" s="975"/>
    </row>
    <row r="967">
      <c r="A967" s="979"/>
      <c r="B967" s="980"/>
      <c r="C967" s="979"/>
      <c r="D967" s="981"/>
      <c r="E967" s="981"/>
      <c r="F967" s="981"/>
      <c r="G967" s="979"/>
      <c r="H967" s="981"/>
      <c r="I967" s="981"/>
      <c r="J967" s="979"/>
      <c r="K967" s="981" t="b">
        <v>0</v>
      </c>
      <c r="L967" s="980"/>
    </row>
    <row r="968">
      <c r="A968" s="974"/>
      <c r="B968" s="975"/>
      <c r="C968" s="974"/>
      <c r="D968" s="982"/>
      <c r="E968" s="982"/>
      <c r="F968" s="982"/>
      <c r="G968" s="974"/>
      <c r="H968" s="982"/>
      <c r="I968" s="982"/>
      <c r="J968" s="974"/>
      <c r="K968" s="982" t="b">
        <v>0</v>
      </c>
      <c r="L968" s="975"/>
    </row>
    <row r="969">
      <c r="A969" s="979"/>
      <c r="B969" s="980"/>
      <c r="C969" s="979"/>
      <c r="D969" s="981"/>
      <c r="E969" s="981"/>
      <c r="F969" s="981"/>
      <c r="G969" s="979"/>
      <c r="H969" s="981"/>
      <c r="I969" s="981"/>
      <c r="J969" s="979"/>
      <c r="K969" s="981" t="b">
        <v>0</v>
      </c>
      <c r="L969" s="980"/>
    </row>
    <row r="970">
      <c r="A970" s="974"/>
      <c r="B970" s="975"/>
      <c r="C970" s="974"/>
      <c r="D970" s="982"/>
      <c r="E970" s="982"/>
      <c r="F970" s="982"/>
      <c r="G970" s="974"/>
      <c r="H970" s="982"/>
      <c r="I970" s="982"/>
      <c r="J970" s="974"/>
      <c r="K970" s="982" t="b">
        <v>0</v>
      </c>
      <c r="L970" s="975"/>
    </row>
    <row r="971">
      <c r="A971" s="979"/>
      <c r="B971" s="980"/>
      <c r="C971" s="979"/>
      <c r="D971" s="981"/>
      <c r="E971" s="981"/>
      <c r="F971" s="981"/>
      <c r="G971" s="979"/>
      <c r="H971" s="981"/>
      <c r="I971" s="981"/>
      <c r="J971" s="979"/>
      <c r="K971" s="981" t="b">
        <v>0</v>
      </c>
      <c r="L971" s="980"/>
    </row>
    <row r="972">
      <c r="A972" s="974"/>
      <c r="B972" s="975"/>
      <c r="C972" s="974"/>
      <c r="D972" s="982"/>
      <c r="E972" s="982"/>
      <c r="F972" s="982"/>
      <c r="G972" s="974"/>
      <c r="H972" s="982"/>
      <c r="I972" s="982"/>
      <c r="J972" s="974"/>
      <c r="K972" s="982" t="b">
        <v>0</v>
      </c>
      <c r="L972" s="975"/>
    </row>
    <row r="973">
      <c r="A973" s="979"/>
      <c r="B973" s="980"/>
      <c r="C973" s="979"/>
      <c r="D973" s="981"/>
      <c r="E973" s="981"/>
      <c r="F973" s="981"/>
      <c r="G973" s="979"/>
      <c r="H973" s="981"/>
      <c r="I973" s="981"/>
      <c r="J973" s="979"/>
      <c r="K973" s="981" t="b">
        <v>0</v>
      </c>
      <c r="L973" s="980"/>
    </row>
    <row r="974">
      <c r="A974" s="974"/>
      <c r="B974" s="975"/>
      <c r="C974" s="974"/>
      <c r="D974" s="982"/>
      <c r="E974" s="982"/>
      <c r="F974" s="982"/>
      <c r="G974" s="974"/>
      <c r="H974" s="982"/>
      <c r="I974" s="982"/>
      <c r="J974" s="974"/>
      <c r="K974" s="982" t="b">
        <v>0</v>
      </c>
      <c r="L974" s="975"/>
    </row>
    <row r="975">
      <c r="A975" s="979"/>
      <c r="B975" s="980"/>
      <c r="C975" s="979"/>
      <c r="D975" s="981"/>
      <c r="E975" s="981"/>
      <c r="F975" s="981"/>
      <c r="G975" s="979"/>
      <c r="H975" s="981"/>
      <c r="I975" s="981"/>
      <c r="J975" s="979"/>
      <c r="K975" s="981" t="b">
        <v>0</v>
      </c>
      <c r="L975" s="980"/>
    </row>
    <row r="976">
      <c r="A976" s="974"/>
      <c r="B976" s="975"/>
      <c r="C976" s="974"/>
      <c r="D976" s="982"/>
      <c r="E976" s="982"/>
      <c r="F976" s="982"/>
      <c r="G976" s="974"/>
      <c r="H976" s="982"/>
      <c r="I976" s="982"/>
      <c r="J976" s="974"/>
      <c r="K976" s="982" t="b">
        <v>0</v>
      </c>
      <c r="L976" s="975"/>
    </row>
    <row r="977">
      <c r="A977" s="979"/>
      <c r="B977" s="980"/>
      <c r="C977" s="979"/>
      <c r="D977" s="981"/>
      <c r="E977" s="981"/>
      <c r="F977" s="981"/>
      <c r="G977" s="979"/>
      <c r="H977" s="981"/>
      <c r="I977" s="981"/>
      <c r="J977" s="979"/>
      <c r="K977" s="981" t="b">
        <v>0</v>
      </c>
      <c r="L977" s="980"/>
    </row>
    <row r="978">
      <c r="A978" s="974"/>
      <c r="B978" s="975"/>
      <c r="C978" s="974"/>
      <c r="D978" s="982"/>
      <c r="E978" s="982"/>
      <c r="F978" s="982"/>
      <c r="G978" s="974"/>
      <c r="H978" s="982"/>
      <c r="I978" s="982"/>
      <c r="J978" s="974"/>
      <c r="K978" s="982" t="b">
        <v>0</v>
      </c>
      <c r="L978" s="975"/>
    </row>
    <row r="979">
      <c r="A979" s="979"/>
      <c r="B979" s="980"/>
      <c r="C979" s="979"/>
      <c r="D979" s="981"/>
      <c r="E979" s="981"/>
      <c r="F979" s="981"/>
      <c r="G979" s="979"/>
      <c r="H979" s="981"/>
      <c r="I979" s="981"/>
      <c r="J979" s="979"/>
      <c r="K979" s="981" t="b">
        <v>0</v>
      </c>
      <c r="L979" s="980"/>
    </row>
    <row r="980">
      <c r="A980" s="974"/>
      <c r="B980" s="975"/>
      <c r="C980" s="974"/>
      <c r="D980" s="982"/>
      <c r="E980" s="982"/>
      <c r="F980" s="982"/>
      <c r="G980" s="974"/>
      <c r="H980" s="982"/>
      <c r="I980" s="982"/>
      <c r="J980" s="974"/>
      <c r="K980" s="982" t="b">
        <v>0</v>
      </c>
      <c r="L980" s="975"/>
    </row>
    <row r="981">
      <c r="A981" s="979"/>
      <c r="B981" s="980"/>
      <c r="C981" s="979"/>
      <c r="D981" s="981"/>
      <c r="E981" s="981"/>
      <c r="F981" s="981"/>
      <c r="G981" s="979"/>
      <c r="H981" s="981"/>
      <c r="I981" s="981"/>
      <c r="J981" s="979"/>
      <c r="K981" s="981" t="b">
        <v>0</v>
      </c>
      <c r="L981" s="980"/>
    </row>
    <row r="982">
      <c r="A982" s="974"/>
      <c r="B982" s="975"/>
      <c r="C982" s="974"/>
      <c r="D982" s="982"/>
      <c r="E982" s="982"/>
      <c r="F982" s="982"/>
      <c r="G982" s="974"/>
      <c r="H982" s="982"/>
      <c r="I982" s="982"/>
      <c r="J982" s="974"/>
      <c r="K982" s="982" t="b">
        <v>0</v>
      </c>
      <c r="L982" s="975"/>
    </row>
    <row r="983">
      <c r="A983" s="979"/>
      <c r="B983" s="980"/>
      <c r="C983" s="979"/>
      <c r="D983" s="981"/>
      <c r="E983" s="981"/>
      <c r="F983" s="981"/>
      <c r="G983" s="979"/>
      <c r="H983" s="981"/>
      <c r="I983" s="981"/>
      <c r="J983" s="979"/>
      <c r="K983" s="981" t="b">
        <v>0</v>
      </c>
      <c r="L983" s="980"/>
    </row>
    <row r="984">
      <c r="A984" s="974"/>
      <c r="B984" s="975"/>
      <c r="C984" s="974"/>
      <c r="D984" s="982"/>
      <c r="E984" s="982"/>
      <c r="F984" s="982"/>
      <c r="G984" s="974"/>
      <c r="H984" s="982"/>
      <c r="I984" s="982"/>
      <c r="J984" s="974"/>
      <c r="K984" s="982" t="b">
        <v>0</v>
      </c>
      <c r="L984" s="975"/>
    </row>
    <row r="985">
      <c r="A985" s="979"/>
      <c r="B985" s="980"/>
      <c r="C985" s="979"/>
      <c r="D985" s="981"/>
      <c r="E985" s="981"/>
      <c r="F985" s="981"/>
      <c r="G985" s="979"/>
      <c r="H985" s="981"/>
      <c r="I985" s="981"/>
      <c r="J985" s="979"/>
      <c r="K985" s="981" t="b">
        <v>0</v>
      </c>
      <c r="L985" s="980"/>
    </row>
    <row r="986">
      <c r="A986" s="974"/>
      <c r="B986" s="975"/>
      <c r="C986" s="974"/>
      <c r="D986" s="982"/>
      <c r="E986" s="982"/>
      <c r="F986" s="982"/>
      <c r="G986" s="974"/>
      <c r="H986" s="982"/>
      <c r="I986" s="982"/>
      <c r="J986" s="974"/>
      <c r="K986" s="982" t="b">
        <v>0</v>
      </c>
      <c r="L986" s="975"/>
    </row>
    <row r="987">
      <c r="A987" s="979"/>
      <c r="B987" s="980"/>
      <c r="C987" s="979"/>
      <c r="D987" s="981"/>
      <c r="E987" s="981"/>
      <c r="F987" s="981"/>
      <c r="G987" s="979"/>
      <c r="H987" s="981"/>
      <c r="I987" s="981"/>
      <c r="J987" s="979"/>
      <c r="K987" s="981" t="b">
        <v>0</v>
      </c>
      <c r="L987" s="980"/>
    </row>
    <row r="988">
      <c r="A988" s="974"/>
      <c r="B988" s="975"/>
      <c r="C988" s="974"/>
      <c r="D988" s="982"/>
      <c r="E988" s="982"/>
      <c r="F988" s="982"/>
      <c r="G988" s="974"/>
      <c r="H988" s="982"/>
      <c r="I988" s="982"/>
      <c r="J988" s="974"/>
      <c r="K988" s="982" t="b">
        <v>0</v>
      </c>
      <c r="L988" s="975"/>
    </row>
    <row r="989">
      <c r="A989" s="979"/>
      <c r="B989" s="980"/>
      <c r="C989" s="979"/>
      <c r="D989" s="981"/>
      <c r="E989" s="981"/>
      <c r="F989" s="981"/>
      <c r="G989" s="979"/>
      <c r="H989" s="981"/>
      <c r="I989" s="981"/>
      <c r="J989" s="979"/>
      <c r="K989" s="981" t="b">
        <v>0</v>
      </c>
      <c r="L989" s="980"/>
    </row>
    <row r="990">
      <c r="A990" s="974"/>
      <c r="B990" s="975"/>
      <c r="C990" s="974"/>
      <c r="D990" s="982"/>
      <c r="E990" s="982"/>
      <c r="F990" s="982"/>
      <c r="G990" s="974"/>
      <c r="H990" s="982"/>
      <c r="I990" s="982"/>
      <c r="J990" s="974"/>
      <c r="K990" s="982" t="b">
        <v>0</v>
      </c>
      <c r="L990" s="975"/>
    </row>
    <row r="991">
      <c r="A991" s="979"/>
      <c r="B991" s="980"/>
      <c r="C991" s="979"/>
      <c r="D991" s="981"/>
      <c r="E991" s="981"/>
      <c r="F991" s="981"/>
      <c r="G991" s="979"/>
      <c r="H991" s="981"/>
      <c r="I991" s="981"/>
      <c r="J991" s="979"/>
      <c r="K991" s="981" t="b">
        <v>0</v>
      </c>
      <c r="L991" s="980"/>
    </row>
    <row r="992">
      <c r="A992" s="974"/>
      <c r="B992" s="975"/>
      <c r="C992" s="974"/>
      <c r="D992" s="982"/>
      <c r="E992" s="982"/>
      <c r="F992" s="982"/>
      <c r="G992" s="974"/>
      <c r="H992" s="982"/>
      <c r="I992" s="982"/>
      <c r="J992" s="974"/>
      <c r="K992" s="982" t="b">
        <v>0</v>
      </c>
      <c r="L992" s="975"/>
    </row>
    <row r="993">
      <c r="A993" s="979"/>
      <c r="B993" s="980"/>
      <c r="C993" s="979"/>
      <c r="D993" s="981"/>
      <c r="E993" s="981"/>
      <c r="F993" s="981"/>
      <c r="G993" s="979"/>
      <c r="H993" s="981"/>
      <c r="I993" s="981"/>
      <c r="J993" s="979"/>
      <c r="K993" s="981" t="b">
        <v>0</v>
      </c>
      <c r="L993" s="980"/>
    </row>
    <row r="994">
      <c r="A994" s="974"/>
      <c r="B994" s="975"/>
      <c r="C994" s="974"/>
      <c r="D994" s="982"/>
      <c r="E994" s="982"/>
      <c r="F994" s="982"/>
      <c r="G994" s="974"/>
      <c r="H994" s="982"/>
      <c r="I994" s="982"/>
      <c r="J994" s="974"/>
      <c r="K994" s="982" t="b">
        <v>0</v>
      </c>
      <c r="L994" s="975"/>
    </row>
    <row r="995">
      <c r="A995" s="979"/>
      <c r="B995" s="980"/>
      <c r="C995" s="979"/>
      <c r="D995" s="981"/>
      <c r="E995" s="981"/>
      <c r="F995" s="981"/>
      <c r="G995" s="979"/>
      <c r="H995" s="981"/>
      <c r="I995" s="981"/>
      <c r="J995" s="979"/>
      <c r="K995" s="981" t="b">
        <v>0</v>
      </c>
      <c r="L995" s="980"/>
    </row>
    <row r="996">
      <c r="A996" s="974"/>
      <c r="B996" s="975"/>
      <c r="C996" s="974"/>
      <c r="D996" s="982"/>
      <c r="E996" s="982"/>
      <c r="F996" s="982"/>
      <c r="G996" s="974"/>
      <c r="H996" s="982"/>
      <c r="I996" s="982"/>
      <c r="J996" s="974"/>
      <c r="K996" s="982" t="b">
        <v>0</v>
      </c>
      <c r="L996" s="975"/>
    </row>
    <row r="997">
      <c r="A997" s="979"/>
      <c r="B997" s="980"/>
      <c r="C997" s="979"/>
      <c r="D997" s="981"/>
      <c r="E997" s="981"/>
      <c r="F997" s="981"/>
      <c r="G997" s="979"/>
      <c r="H997" s="981"/>
      <c r="I997" s="981"/>
      <c r="J997" s="979"/>
      <c r="K997" s="981" t="b">
        <v>0</v>
      </c>
      <c r="L997" s="980"/>
    </row>
    <row r="998">
      <c r="A998" s="974"/>
      <c r="B998" s="975"/>
      <c r="C998" s="974"/>
      <c r="D998" s="982"/>
      <c r="E998" s="982"/>
      <c r="F998" s="982"/>
      <c r="G998" s="974"/>
      <c r="H998" s="982"/>
      <c r="I998" s="982"/>
      <c r="J998" s="974"/>
      <c r="K998" s="982" t="b">
        <v>0</v>
      </c>
      <c r="L998" s="975"/>
    </row>
    <row r="999">
      <c r="A999" s="979"/>
      <c r="B999" s="980"/>
      <c r="C999" s="979"/>
      <c r="D999" s="981"/>
      <c r="E999" s="981"/>
      <c r="F999" s="981"/>
      <c r="G999" s="979"/>
      <c r="H999" s="981"/>
      <c r="I999" s="981"/>
      <c r="J999" s="979"/>
      <c r="K999" s="981" t="b">
        <v>0</v>
      </c>
      <c r="L999" s="980"/>
    </row>
    <row r="1000">
      <c r="A1000" s="974"/>
      <c r="B1000" s="975"/>
      <c r="C1000" s="974"/>
      <c r="D1000" s="982"/>
      <c r="E1000" s="982"/>
      <c r="F1000" s="982"/>
      <c r="G1000" s="974"/>
      <c r="H1000" s="982"/>
      <c r="I1000" s="982"/>
      <c r="J1000" s="974"/>
      <c r="K1000" s="982" t="b">
        <v>0</v>
      </c>
      <c r="L1000" s="975"/>
    </row>
  </sheetData>
  <autoFilter ref="$A$1:$L$1000"/>
  <dataValidations>
    <dataValidation type="list" allowBlank="1" sqref="I2:I1000">
      <formula1>"再制作予定,再製作中,再制作済み,廃棄予定,廃棄済み"</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5"/>
    <col customWidth="1" min="4" max="4" width="21.25"/>
    <col customWidth="1" min="5" max="5" width="16.88"/>
    <col customWidth="1" min="6" max="6" width="15.88"/>
    <col customWidth="1" min="8" max="8" width="40.13"/>
    <col customWidth="1" min="9" max="9" width="65.0"/>
  </cols>
  <sheetData>
    <row r="1">
      <c r="A1" s="436" t="s">
        <v>0</v>
      </c>
      <c r="B1" s="436" t="s">
        <v>1</v>
      </c>
      <c r="C1" s="436" t="s">
        <v>2</v>
      </c>
      <c r="D1" s="436" t="s">
        <v>4</v>
      </c>
      <c r="E1" s="436" t="s">
        <v>5</v>
      </c>
      <c r="F1" s="436" t="s">
        <v>6</v>
      </c>
      <c r="G1" s="436" t="s">
        <v>7</v>
      </c>
      <c r="H1" s="436" t="s">
        <v>8</v>
      </c>
      <c r="I1" s="436" t="s">
        <v>9</v>
      </c>
      <c r="J1" s="436" t="s">
        <v>3789</v>
      </c>
      <c r="K1" s="436" t="s">
        <v>5</v>
      </c>
      <c r="L1" s="984" t="s">
        <v>11</v>
      </c>
      <c r="M1" s="436" t="s">
        <v>12</v>
      </c>
      <c r="N1" s="436" t="s">
        <v>13</v>
      </c>
      <c r="O1" s="985" t="s">
        <v>14</v>
      </c>
      <c r="P1" s="436" t="s">
        <v>17</v>
      </c>
      <c r="Q1" s="985" t="s">
        <v>16</v>
      </c>
      <c r="R1" s="436" t="s">
        <v>17</v>
      </c>
      <c r="S1" s="985" t="s">
        <v>18</v>
      </c>
      <c r="T1" s="436" t="s">
        <v>17</v>
      </c>
      <c r="U1" s="985" t="s">
        <v>20</v>
      </c>
      <c r="V1" s="436" t="s">
        <v>17</v>
      </c>
      <c r="W1" s="985" t="s">
        <v>3790</v>
      </c>
      <c r="X1" s="436" t="s">
        <v>17</v>
      </c>
      <c r="Y1" s="984" t="s">
        <v>24</v>
      </c>
      <c r="Z1" s="436" t="s">
        <v>25</v>
      </c>
      <c r="AA1" s="986"/>
    </row>
    <row r="2" hidden="1">
      <c r="A2" s="987"/>
      <c r="B2" s="988">
        <v>42943.0</v>
      </c>
      <c r="C2" s="989" t="s">
        <v>3791</v>
      </c>
      <c r="D2" s="434" t="s">
        <v>3792</v>
      </c>
      <c r="E2" s="434" t="s">
        <v>559</v>
      </c>
      <c r="F2" s="434" t="s">
        <v>50</v>
      </c>
      <c r="G2" s="434" t="s">
        <v>103</v>
      </c>
      <c r="H2" s="989" t="s">
        <v>3793</v>
      </c>
      <c r="I2" s="989" t="s">
        <v>3794</v>
      </c>
      <c r="J2" s="987"/>
      <c r="K2" s="987"/>
      <c r="L2" s="987"/>
      <c r="M2" s="987"/>
      <c r="N2" s="987"/>
      <c r="O2" s="987"/>
      <c r="P2" s="987"/>
      <c r="Q2" s="987"/>
      <c r="R2" s="987"/>
      <c r="S2" s="987"/>
      <c r="T2" s="987"/>
      <c r="U2" s="987"/>
      <c r="V2" s="987"/>
      <c r="W2" s="987"/>
      <c r="X2" s="987"/>
      <c r="Y2" s="987"/>
      <c r="Z2" s="987"/>
      <c r="AA2" s="986"/>
    </row>
    <row r="3" hidden="1">
      <c r="A3" s="436" t="s">
        <v>50</v>
      </c>
      <c r="B3" s="988">
        <v>42957.0</v>
      </c>
      <c r="C3" s="989" t="s">
        <v>3795</v>
      </c>
      <c r="D3" s="434" t="s">
        <v>1515</v>
      </c>
      <c r="E3" s="434" t="s">
        <v>3796</v>
      </c>
      <c r="F3" s="990">
        <v>1.533031E7</v>
      </c>
      <c r="G3" s="434" t="s">
        <v>200</v>
      </c>
      <c r="H3" s="989" t="s">
        <v>3797</v>
      </c>
      <c r="I3" s="989" t="s">
        <v>3798</v>
      </c>
      <c r="J3" s="987"/>
      <c r="K3" s="987"/>
      <c r="L3" s="987"/>
      <c r="M3" s="987"/>
      <c r="N3" s="987"/>
      <c r="O3" s="987"/>
      <c r="P3" s="987"/>
      <c r="Q3" s="987"/>
      <c r="R3" s="987"/>
      <c r="S3" s="987"/>
      <c r="T3" s="987"/>
      <c r="U3" s="987"/>
      <c r="V3" s="987"/>
      <c r="W3" s="987"/>
      <c r="X3" s="987"/>
      <c r="Y3" s="987"/>
      <c r="Z3" s="987"/>
      <c r="AA3" s="986"/>
    </row>
    <row r="4" hidden="1">
      <c r="A4" s="436" t="s">
        <v>50</v>
      </c>
      <c r="B4" s="991">
        <v>43080.0</v>
      </c>
      <c r="C4" s="989" t="s">
        <v>3799</v>
      </c>
      <c r="D4" s="434" t="s">
        <v>1634</v>
      </c>
      <c r="E4" s="434" t="s">
        <v>559</v>
      </c>
      <c r="F4" s="434" t="s">
        <v>50</v>
      </c>
      <c r="G4" s="434" t="s">
        <v>103</v>
      </c>
      <c r="H4" s="989" t="s">
        <v>3800</v>
      </c>
      <c r="I4" s="989" t="s">
        <v>3801</v>
      </c>
      <c r="J4" s="987"/>
      <c r="K4" s="987"/>
      <c r="L4" s="987"/>
      <c r="M4" s="987"/>
      <c r="N4" s="987"/>
      <c r="O4" s="987"/>
      <c r="P4" s="987"/>
      <c r="Q4" s="987"/>
      <c r="R4" s="987"/>
      <c r="S4" s="987"/>
      <c r="T4" s="987"/>
      <c r="U4" s="987"/>
      <c r="V4" s="987"/>
      <c r="W4" s="987"/>
      <c r="X4" s="987"/>
      <c r="Y4" s="987"/>
      <c r="Z4" s="987"/>
      <c r="AA4" s="986"/>
    </row>
    <row r="5" hidden="1">
      <c r="A5" s="436" t="s">
        <v>50</v>
      </c>
      <c r="B5" s="988">
        <v>43112.0</v>
      </c>
      <c r="C5" s="989" t="s">
        <v>3799</v>
      </c>
      <c r="D5" s="434" t="s">
        <v>1634</v>
      </c>
      <c r="E5" s="434" t="s">
        <v>3802</v>
      </c>
      <c r="F5" s="434" t="s">
        <v>50</v>
      </c>
      <c r="G5" s="992"/>
      <c r="H5" s="989" t="s">
        <v>3803</v>
      </c>
      <c r="I5" s="989" t="s">
        <v>3804</v>
      </c>
      <c r="J5" s="987"/>
      <c r="K5" s="987"/>
      <c r="L5" s="987"/>
      <c r="M5" s="987"/>
      <c r="N5" s="987"/>
      <c r="O5" s="987"/>
      <c r="P5" s="987"/>
      <c r="Q5" s="987"/>
      <c r="R5" s="987"/>
      <c r="S5" s="987"/>
      <c r="T5" s="987"/>
      <c r="U5" s="987"/>
      <c r="V5" s="987"/>
      <c r="W5" s="987"/>
      <c r="X5" s="987"/>
      <c r="Y5" s="987"/>
      <c r="Z5" s="987"/>
      <c r="AA5" s="986"/>
    </row>
    <row r="6" hidden="1">
      <c r="A6" s="436" t="s">
        <v>50</v>
      </c>
      <c r="B6" s="988">
        <v>43179.0</v>
      </c>
      <c r="C6" s="989" t="s">
        <v>3805</v>
      </c>
      <c r="D6" s="434" t="s">
        <v>3792</v>
      </c>
      <c r="E6" s="434" t="s">
        <v>559</v>
      </c>
      <c r="F6" s="990">
        <v>1.7190033E7</v>
      </c>
      <c r="G6" s="992"/>
      <c r="H6" s="989" t="s">
        <v>3806</v>
      </c>
      <c r="I6" s="989" t="s">
        <v>3807</v>
      </c>
      <c r="J6" s="987"/>
      <c r="K6" s="987"/>
      <c r="L6" s="987"/>
      <c r="M6" s="987"/>
      <c r="N6" s="987"/>
      <c r="O6" s="987"/>
      <c r="P6" s="987"/>
      <c r="Q6" s="987"/>
      <c r="R6" s="987"/>
      <c r="S6" s="987"/>
      <c r="T6" s="987"/>
      <c r="U6" s="987"/>
      <c r="V6" s="987"/>
      <c r="W6" s="987"/>
      <c r="X6" s="987"/>
      <c r="Y6" s="987"/>
      <c r="Z6" s="987"/>
      <c r="AA6" s="986"/>
    </row>
    <row r="7" hidden="1">
      <c r="A7" s="436" t="s">
        <v>50</v>
      </c>
      <c r="B7" s="988">
        <v>43208.0</v>
      </c>
      <c r="C7" s="989" t="s">
        <v>3808</v>
      </c>
      <c r="D7" s="434" t="s">
        <v>3809</v>
      </c>
      <c r="E7" s="434" t="s">
        <v>3810</v>
      </c>
      <c r="F7" s="990">
        <v>1.3581354E7</v>
      </c>
      <c r="G7" s="434" t="s">
        <v>200</v>
      </c>
      <c r="H7" s="989" t="s">
        <v>3811</v>
      </c>
      <c r="I7" s="989" t="s">
        <v>3812</v>
      </c>
      <c r="J7" s="987"/>
      <c r="K7" s="987"/>
      <c r="L7" s="987"/>
      <c r="M7" s="987"/>
      <c r="N7" s="987"/>
      <c r="O7" s="987"/>
      <c r="P7" s="987"/>
      <c r="Q7" s="987"/>
      <c r="R7" s="987"/>
      <c r="S7" s="987"/>
      <c r="T7" s="987"/>
      <c r="U7" s="987"/>
      <c r="V7" s="987"/>
      <c r="W7" s="987"/>
      <c r="X7" s="987"/>
      <c r="Y7" s="987"/>
      <c r="Z7" s="987"/>
      <c r="AA7" s="986"/>
    </row>
    <row r="8" hidden="1">
      <c r="A8" s="436" t="s">
        <v>50</v>
      </c>
      <c r="B8" s="988">
        <v>43265.0</v>
      </c>
      <c r="C8" s="989" t="s">
        <v>3813</v>
      </c>
      <c r="D8" s="434" t="s">
        <v>3809</v>
      </c>
      <c r="E8" s="434" t="s">
        <v>3810</v>
      </c>
      <c r="F8" s="990">
        <v>1.3581421E7</v>
      </c>
      <c r="G8" s="434" t="s">
        <v>200</v>
      </c>
      <c r="H8" s="989" t="s">
        <v>3814</v>
      </c>
      <c r="I8" s="989" t="s">
        <v>3815</v>
      </c>
      <c r="J8" s="987"/>
      <c r="K8" s="987"/>
      <c r="L8" s="987"/>
      <c r="M8" s="987"/>
      <c r="N8" s="987"/>
      <c r="O8" s="987"/>
      <c r="P8" s="987"/>
      <c r="Q8" s="987"/>
      <c r="R8" s="987"/>
      <c r="S8" s="987"/>
      <c r="T8" s="987"/>
      <c r="U8" s="987"/>
      <c r="V8" s="987"/>
      <c r="W8" s="987"/>
      <c r="X8" s="987"/>
      <c r="Y8" s="987"/>
      <c r="Z8" s="987"/>
      <c r="AA8" s="986"/>
    </row>
    <row r="9" hidden="1">
      <c r="A9" s="436" t="s">
        <v>50</v>
      </c>
      <c r="B9" s="988">
        <v>43287.0</v>
      </c>
      <c r="C9" s="989" t="s">
        <v>3816</v>
      </c>
      <c r="D9" s="434" t="s">
        <v>2522</v>
      </c>
      <c r="E9" s="434" t="s">
        <v>3817</v>
      </c>
      <c r="F9" s="990">
        <v>1.5952861E7</v>
      </c>
      <c r="G9" s="992"/>
      <c r="H9" s="989" t="s">
        <v>3818</v>
      </c>
      <c r="I9" s="989" t="s">
        <v>3819</v>
      </c>
      <c r="J9" s="987"/>
      <c r="K9" s="987"/>
      <c r="L9" s="987"/>
      <c r="M9" s="987"/>
      <c r="N9" s="987"/>
      <c r="O9" s="987"/>
      <c r="P9" s="987"/>
      <c r="Q9" s="987"/>
      <c r="R9" s="987"/>
      <c r="S9" s="987"/>
      <c r="T9" s="987"/>
      <c r="U9" s="987"/>
      <c r="V9" s="987"/>
      <c r="W9" s="987"/>
      <c r="X9" s="987"/>
      <c r="Y9" s="987"/>
      <c r="Z9" s="987"/>
      <c r="AA9" s="986"/>
    </row>
    <row r="10" hidden="1">
      <c r="A10" s="436" t="s">
        <v>50</v>
      </c>
      <c r="B10" s="988">
        <v>43305.0</v>
      </c>
      <c r="C10" s="989" t="s">
        <v>3820</v>
      </c>
      <c r="D10" s="434" t="s">
        <v>465</v>
      </c>
      <c r="E10" s="434" t="s">
        <v>3821</v>
      </c>
      <c r="F10" s="990">
        <v>1.5840174E7</v>
      </c>
      <c r="G10" s="434" t="s">
        <v>51</v>
      </c>
      <c r="H10" s="989" t="s">
        <v>3822</v>
      </c>
      <c r="I10" s="989" t="s">
        <v>3823</v>
      </c>
      <c r="J10" s="987"/>
      <c r="K10" s="987"/>
      <c r="L10" s="987"/>
      <c r="M10" s="987"/>
      <c r="N10" s="987"/>
      <c r="O10" s="987"/>
      <c r="P10" s="987"/>
      <c r="Q10" s="987"/>
      <c r="R10" s="987"/>
      <c r="S10" s="987"/>
      <c r="T10" s="987"/>
      <c r="U10" s="987"/>
      <c r="V10" s="987"/>
      <c r="W10" s="987"/>
      <c r="X10" s="987"/>
      <c r="Y10" s="987"/>
      <c r="Z10" s="987"/>
      <c r="AA10" s="986"/>
    </row>
    <row r="11" hidden="1">
      <c r="A11" s="436" t="s">
        <v>50</v>
      </c>
      <c r="B11" s="988">
        <v>43353.0</v>
      </c>
      <c r="C11" s="989" t="s">
        <v>3824</v>
      </c>
      <c r="D11" s="434" t="s">
        <v>3825</v>
      </c>
      <c r="E11" s="434" t="s">
        <v>3826</v>
      </c>
      <c r="F11" s="990">
        <v>1.4630678E7</v>
      </c>
      <c r="G11" s="434" t="s">
        <v>103</v>
      </c>
      <c r="H11" s="989" t="s">
        <v>3827</v>
      </c>
      <c r="I11" s="989" t="s">
        <v>3828</v>
      </c>
      <c r="J11" s="987"/>
      <c r="K11" s="987"/>
      <c r="L11" s="987"/>
      <c r="M11" s="987"/>
      <c r="N11" s="987"/>
      <c r="O11" s="987"/>
      <c r="P11" s="987"/>
      <c r="Q11" s="987"/>
      <c r="R11" s="987"/>
      <c r="S11" s="987"/>
      <c r="T11" s="987"/>
      <c r="U11" s="987"/>
      <c r="V11" s="987"/>
      <c r="W11" s="987"/>
      <c r="X11" s="987"/>
      <c r="Y11" s="987"/>
      <c r="Z11" s="987"/>
      <c r="AA11" s="986"/>
    </row>
    <row r="12" hidden="1">
      <c r="A12" s="436" t="s">
        <v>50</v>
      </c>
      <c r="B12" s="991">
        <v>43390.0</v>
      </c>
      <c r="C12" s="989" t="s">
        <v>3829</v>
      </c>
      <c r="D12" s="434" t="s">
        <v>1699</v>
      </c>
      <c r="E12" s="434" t="s">
        <v>3830</v>
      </c>
      <c r="F12" s="990">
        <v>1.5720035E7</v>
      </c>
      <c r="G12" s="989" t="s">
        <v>3831</v>
      </c>
      <c r="H12" s="989" t="s">
        <v>3832</v>
      </c>
      <c r="I12" s="989" t="s">
        <v>3833</v>
      </c>
      <c r="J12" s="987"/>
      <c r="K12" s="987"/>
      <c r="L12" s="987"/>
      <c r="M12" s="987"/>
      <c r="N12" s="987"/>
      <c r="O12" s="987"/>
      <c r="P12" s="987"/>
      <c r="Q12" s="987"/>
      <c r="R12" s="987"/>
      <c r="S12" s="987"/>
      <c r="T12" s="987"/>
      <c r="U12" s="987"/>
      <c r="V12" s="987"/>
      <c r="W12" s="987"/>
      <c r="X12" s="987"/>
      <c r="Y12" s="987"/>
      <c r="Z12" s="987"/>
      <c r="AA12" s="986"/>
    </row>
    <row r="13" hidden="1">
      <c r="A13" s="436" t="s">
        <v>50</v>
      </c>
      <c r="B13" s="991">
        <v>43423.0</v>
      </c>
      <c r="C13" s="989" t="s">
        <v>3834</v>
      </c>
      <c r="D13" s="434" t="s">
        <v>3809</v>
      </c>
      <c r="E13" s="434" t="s">
        <v>3810</v>
      </c>
      <c r="F13" s="990">
        <v>1.3581564E7</v>
      </c>
      <c r="G13" s="434" t="s">
        <v>200</v>
      </c>
      <c r="H13" s="989" t="s">
        <v>3835</v>
      </c>
      <c r="I13" s="989" t="s">
        <v>3836</v>
      </c>
      <c r="J13" s="987"/>
      <c r="K13" s="987"/>
      <c r="L13" s="987"/>
      <c r="M13" s="987"/>
      <c r="N13" s="987"/>
      <c r="O13" s="987"/>
      <c r="P13" s="987"/>
      <c r="Q13" s="987"/>
      <c r="R13" s="987"/>
      <c r="S13" s="987"/>
      <c r="T13" s="987"/>
      <c r="U13" s="987"/>
      <c r="V13" s="987"/>
      <c r="W13" s="987"/>
      <c r="X13" s="987"/>
      <c r="Y13" s="987"/>
      <c r="Z13" s="987"/>
      <c r="AA13" s="986"/>
    </row>
    <row r="14" hidden="1">
      <c r="A14" s="436" t="s">
        <v>50</v>
      </c>
      <c r="B14" s="991">
        <v>43432.0</v>
      </c>
      <c r="C14" s="989" t="s">
        <v>3837</v>
      </c>
      <c r="D14" s="434" t="s">
        <v>3809</v>
      </c>
      <c r="E14" s="434" t="s">
        <v>3810</v>
      </c>
      <c r="F14" s="990">
        <v>1.35816E7</v>
      </c>
      <c r="G14" s="434" t="s">
        <v>200</v>
      </c>
      <c r="H14" s="989" t="s">
        <v>3838</v>
      </c>
      <c r="I14" s="989" t="s">
        <v>3812</v>
      </c>
      <c r="J14" s="987"/>
      <c r="K14" s="987"/>
      <c r="L14" s="987"/>
      <c r="M14" s="987"/>
      <c r="N14" s="987"/>
      <c r="O14" s="987"/>
      <c r="P14" s="987"/>
      <c r="Q14" s="987"/>
      <c r="R14" s="987"/>
      <c r="S14" s="987"/>
      <c r="T14" s="987"/>
      <c r="U14" s="987"/>
      <c r="V14" s="987"/>
      <c r="W14" s="987"/>
      <c r="X14" s="987"/>
      <c r="Y14" s="987"/>
      <c r="Z14" s="987"/>
      <c r="AA14" s="986"/>
    </row>
    <row r="15" hidden="1">
      <c r="A15" s="436" t="s">
        <v>50</v>
      </c>
      <c r="B15" s="991">
        <v>43432.0</v>
      </c>
      <c r="C15" s="989" t="s">
        <v>3837</v>
      </c>
      <c r="D15" s="434" t="s">
        <v>3809</v>
      </c>
      <c r="E15" s="434" t="s">
        <v>3810</v>
      </c>
      <c r="F15" s="990">
        <v>1.3581601E7</v>
      </c>
      <c r="G15" s="434" t="s">
        <v>200</v>
      </c>
      <c r="H15" s="989" t="s">
        <v>3839</v>
      </c>
      <c r="I15" s="989" t="s">
        <v>3840</v>
      </c>
      <c r="J15" s="987"/>
      <c r="K15" s="987"/>
      <c r="L15" s="987"/>
      <c r="M15" s="987"/>
      <c r="N15" s="987"/>
      <c r="O15" s="987"/>
      <c r="P15" s="987"/>
      <c r="Q15" s="987"/>
      <c r="R15" s="987"/>
      <c r="S15" s="987"/>
      <c r="T15" s="987"/>
      <c r="U15" s="987"/>
      <c r="V15" s="987"/>
      <c r="W15" s="987"/>
      <c r="X15" s="987"/>
      <c r="Y15" s="987"/>
      <c r="Z15" s="987"/>
      <c r="AA15" s="986"/>
    </row>
    <row r="16" hidden="1">
      <c r="A16" s="436" t="s">
        <v>50</v>
      </c>
      <c r="B16" s="991">
        <v>43432.0</v>
      </c>
      <c r="C16" s="989" t="s">
        <v>3837</v>
      </c>
      <c r="D16" s="434" t="s">
        <v>3809</v>
      </c>
      <c r="E16" s="434" t="s">
        <v>3810</v>
      </c>
      <c r="F16" s="990">
        <v>1.3581602E7</v>
      </c>
      <c r="G16" s="434" t="s">
        <v>200</v>
      </c>
      <c r="H16" s="989" t="s">
        <v>3841</v>
      </c>
      <c r="I16" s="989" t="s">
        <v>3842</v>
      </c>
      <c r="J16" s="987"/>
      <c r="K16" s="987"/>
      <c r="L16" s="987"/>
      <c r="M16" s="987"/>
      <c r="N16" s="987"/>
      <c r="O16" s="987"/>
      <c r="P16" s="987"/>
      <c r="Q16" s="987"/>
      <c r="R16" s="987"/>
      <c r="S16" s="987"/>
      <c r="T16" s="987"/>
      <c r="U16" s="987"/>
      <c r="V16" s="987"/>
      <c r="W16" s="987"/>
      <c r="X16" s="987"/>
      <c r="Y16" s="987"/>
      <c r="Z16" s="987"/>
      <c r="AA16" s="986"/>
    </row>
    <row r="17" hidden="1">
      <c r="A17" s="436" t="s">
        <v>50</v>
      </c>
      <c r="B17" s="991">
        <v>43445.0</v>
      </c>
      <c r="C17" s="989" t="s">
        <v>3837</v>
      </c>
      <c r="D17" s="434" t="s">
        <v>3809</v>
      </c>
      <c r="E17" s="434" t="s">
        <v>3810</v>
      </c>
      <c r="F17" s="990">
        <v>1.3581621E7</v>
      </c>
      <c r="G17" s="434" t="s">
        <v>200</v>
      </c>
      <c r="H17" s="989" t="s">
        <v>3843</v>
      </c>
      <c r="I17" s="989" t="s">
        <v>3815</v>
      </c>
      <c r="J17" s="987"/>
      <c r="K17" s="987"/>
      <c r="L17" s="987"/>
      <c r="M17" s="987"/>
      <c r="N17" s="987"/>
      <c r="O17" s="987"/>
      <c r="P17" s="987"/>
      <c r="Q17" s="987"/>
      <c r="R17" s="987"/>
      <c r="S17" s="987"/>
      <c r="T17" s="987"/>
      <c r="U17" s="987"/>
      <c r="V17" s="987"/>
      <c r="W17" s="987"/>
      <c r="X17" s="987"/>
      <c r="Y17" s="987"/>
      <c r="Z17" s="987"/>
      <c r="AA17" s="986"/>
    </row>
    <row r="18" hidden="1">
      <c r="A18" s="436" t="s">
        <v>50</v>
      </c>
      <c r="B18" s="991">
        <v>43445.0</v>
      </c>
      <c r="C18" s="989" t="s">
        <v>3837</v>
      </c>
      <c r="D18" s="434" t="s">
        <v>3809</v>
      </c>
      <c r="E18" s="434" t="s">
        <v>3810</v>
      </c>
      <c r="F18" s="990">
        <v>1.3581619E7</v>
      </c>
      <c r="G18" s="434" t="s">
        <v>200</v>
      </c>
      <c r="H18" s="989" t="s">
        <v>3844</v>
      </c>
      <c r="I18" s="989" t="s">
        <v>3845</v>
      </c>
      <c r="J18" s="987"/>
      <c r="K18" s="987"/>
      <c r="L18" s="987"/>
      <c r="M18" s="987"/>
      <c r="N18" s="987"/>
      <c r="O18" s="987"/>
      <c r="P18" s="987"/>
      <c r="Q18" s="987"/>
      <c r="R18" s="987"/>
      <c r="S18" s="987"/>
      <c r="T18" s="987"/>
      <c r="U18" s="987"/>
      <c r="V18" s="987"/>
      <c r="W18" s="987"/>
      <c r="X18" s="987"/>
      <c r="Y18" s="987"/>
      <c r="Z18" s="987"/>
      <c r="AA18" s="986"/>
    </row>
    <row r="19" hidden="1">
      <c r="A19" s="436" t="s">
        <v>50</v>
      </c>
      <c r="B19" s="991">
        <v>43451.0</v>
      </c>
      <c r="C19" s="989" t="s">
        <v>3837</v>
      </c>
      <c r="D19" s="434" t="s">
        <v>3809</v>
      </c>
      <c r="E19" s="434" t="s">
        <v>3810</v>
      </c>
      <c r="F19" s="990">
        <v>1.3581667E7</v>
      </c>
      <c r="G19" s="434" t="s">
        <v>200</v>
      </c>
      <c r="H19" s="989" t="s">
        <v>3846</v>
      </c>
      <c r="I19" s="989" t="s">
        <v>3815</v>
      </c>
      <c r="J19" s="987"/>
      <c r="K19" s="987"/>
      <c r="L19" s="987"/>
      <c r="M19" s="987"/>
      <c r="N19" s="987"/>
      <c r="O19" s="987"/>
      <c r="P19" s="987"/>
      <c r="Q19" s="987"/>
      <c r="R19" s="987"/>
      <c r="S19" s="987"/>
      <c r="T19" s="987"/>
      <c r="U19" s="987"/>
      <c r="V19" s="987"/>
      <c r="W19" s="987"/>
      <c r="X19" s="987"/>
      <c r="Y19" s="987"/>
      <c r="Z19" s="987"/>
      <c r="AA19" s="986"/>
    </row>
    <row r="20" hidden="1">
      <c r="A20" s="436" t="s">
        <v>50</v>
      </c>
      <c r="B20" s="991">
        <v>43451.0</v>
      </c>
      <c r="C20" s="989" t="s">
        <v>3837</v>
      </c>
      <c r="D20" s="434" t="s">
        <v>3809</v>
      </c>
      <c r="E20" s="434" t="s">
        <v>3810</v>
      </c>
      <c r="F20" s="990">
        <v>1.3581664E7</v>
      </c>
      <c r="G20" s="434" t="s">
        <v>200</v>
      </c>
      <c r="H20" s="989" t="s">
        <v>3847</v>
      </c>
      <c r="I20" s="989" t="s">
        <v>3845</v>
      </c>
      <c r="J20" s="987"/>
      <c r="K20" s="987"/>
      <c r="L20" s="987"/>
      <c r="M20" s="987"/>
      <c r="N20" s="987"/>
      <c r="O20" s="987"/>
      <c r="P20" s="987"/>
      <c r="Q20" s="987"/>
      <c r="R20" s="987"/>
      <c r="S20" s="987"/>
      <c r="T20" s="987"/>
      <c r="U20" s="987"/>
      <c r="V20" s="987"/>
      <c r="W20" s="987"/>
      <c r="X20" s="987"/>
      <c r="Y20" s="987"/>
      <c r="Z20" s="987"/>
      <c r="AA20" s="986"/>
    </row>
    <row r="21" hidden="1">
      <c r="A21" s="436" t="s">
        <v>50</v>
      </c>
      <c r="B21" s="991">
        <v>43451.0</v>
      </c>
      <c r="C21" s="989" t="s">
        <v>3837</v>
      </c>
      <c r="D21" s="434" t="s">
        <v>3809</v>
      </c>
      <c r="E21" s="434" t="s">
        <v>3810</v>
      </c>
      <c r="F21" s="990">
        <v>1.3581666E7</v>
      </c>
      <c r="G21" s="434" t="s">
        <v>200</v>
      </c>
      <c r="H21" s="989" t="s">
        <v>3848</v>
      </c>
      <c r="I21" s="989" t="s">
        <v>3845</v>
      </c>
      <c r="J21" s="987"/>
      <c r="K21" s="987"/>
      <c r="L21" s="987"/>
      <c r="M21" s="987"/>
      <c r="N21" s="987"/>
      <c r="O21" s="987"/>
      <c r="P21" s="987"/>
      <c r="Q21" s="987"/>
      <c r="R21" s="987"/>
      <c r="S21" s="987"/>
      <c r="T21" s="987"/>
      <c r="U21" s="987"/>
      <c r="V21" s="987"/>
      <c r="W21" s="987"/>
      <c r="X21" s="987"/>
      <c r="Y21" s="987"/>
      <c r="Z21" s="987"/>
      <c r="AA21" s="986"/>
    </row>
    <row r="22" hidden="1">
      <c r="A22" s="436" t="s">
        <v>50</v>
      </c>
      <c r="B22" s="991">
        <v>43459.0</v>
      </c>
      <c r="C22" s="989" t="s">
        <v>3849</v>
      </c>
      <c r="D22" s="434" t="s">
        <v>3809</v>
      </c>
      <c r="E22" s="434" t="s">
        <v>3810</v>
      </c>
      <c r="F22" s="990">
        <v>1.3581704E7</v>
      </c>
      <c r="G22" s="434" t="s">
        <v>200</v>
      </c>
      <c r="H22" s="989" t="s">
        <v>3850</v>
      </c>
      <c r="I22" s="989" t="s">
        <v>3851</v>
      </c>
      <c r="J22" s="987"/>
      <c r="K22" s="987"/>
      <c r="L22" s="987"/>
      <c r="M22" s="987"/>
      <c r="N22" s="987"/>
      <c r="O22" s="987"/>
      <c r="P22" s="987"/>
      <c r="Q22" s="987"/>
      <c r="R22" s="987"/>
      <c r="S22" s="987"/>
      <c r="T22" s="987"/>
      <c r="U22" s="987"/>
      <c r="V22" s="987"/>
      <c r="W22" s="987"/>
      <c r="X22" s="987"/>
      <c r="Y22" s="987"/>
      <c r="Z22" s="987"/>
      <c r="AA22" s="986"/>
    </row>
    <row r="23" hidden="1">
      <c r="A23" s="436" t="s">
        <v>50</v>
      </c>
      <c r="B23" s="988">
        <v>43473.0</v>
      </c>
      <c r="C23" s="989" t="s">
        <v>3849</v>
      </c>
      <c r="D23" s="434" t="s">
        <v>3809</v>
      </c>
      <c r="E23" s="434" t="s">
        <v>3810</v>
      </c>
      <c r="F23" s="990">
        <v>1.3581726E7</v>
      </c>
      <c r="G23" s="434" t="s">
        <v>200</v>
      </c>
      <c r="H23" s="989" t="s">
        <v>3852</v>
      </c>
      <c r="I23" s="989" t="s">
        <v>3853</v>
      </c>
      <c r="J23" s="987"/>
      <c r="K23" s="987"/>
      <c r="L23" s="987"/>
      <c r="M23" s="987"/>
      <c r="N23" s="987"/>
      <c r="O23" s="987"/>
      <c r="P23" s="987"/>
      <c r="Q23" s="987"/>
      <c r="R23" s="987"/>
      <c r="S23" s="987"/>
      <c r="T23" s="987"/>
      <c r="U23" s="987"/>
      <c r="V23" s="987"/>
      <c r="W23" s="987"/>
      <c r="X23" s="987"/>
      <c r="Y23" s="987"/>
      <c r="Z23" s="987"/>
      <c r="AA23" s="986"/>
    </row>
    <row r="24" hidden="1">
      <c r="A24" s="436" t="s">
        <v>50</v>
      </c>
      <c r="B24" s="988">
        <v>43473.0</v>
      </c>
      <c r="C24" s="989" t="s">
        <v>3849</v>
      </c>
      <c r="D24" s="434" t="s">
        <v>3809</v>
      </c>
      <c r="E24" s="434" t="s">
        <v>3810</v>
      </c>
      <c r="F24" s="990">
        <v>1.3581738E7</v>
      </c>
      <c r="G24" s="434" t="s">
        <v>200</v>
      </c>
      <c r="H24" s="989" t="s">
        <v>3854</v>
      </c>
      <c r="I24" s="989" t="s">
        <v>3855</v>
      </c>
      <c r="J24" s="987"/>
      <c r="K24" s="987"/>
      <c r="L24" s="987"/>
      <c r="M24" s="987"/>
      <c r="N24" s="987"/>
      <c r="O24" s="987"/>
      <c r="P24" s="987"/>
      <c r="Q24" s="987"/>
      <c r="R24" s="987"/>
      <c r="S24" s="987"/>
      <c r="T24" s="987"/>
      <c r="U24" s="987"/>
      <c r="V24" s="987"/>
      <c r="W24" s="987"/>
      <c r="X24" s="987"/>
      <c r="Y24" s="987"/>
      <c r="Z24" s="987"/>
      <c r="AA24" s="986"/>
    </row>
    <row r="25" hidden="1">
      <c r="A25" s="436" t="s">
        <v>50</v>
      </c>
      <c r="B25" s="988">
        <v>43480.0</v>
      </c>
      <c r="C25" s="989" t="s">
        <v>3856</v>
      </c>
      <c r="D25" s="434" t="s">
        <v>89</v>
      </c>
      <c r="E25" s="434" t="s">
        <v>269</v>
      </c>
      <c r="F25" s="990">
        <v>1.5830547E7</v>
      </c>
      <c r="G25" s="434" t="s">
        <v>3857</v>
      </c>
      <c r="H25" s="989" t="s">
        <v>3858</v>
      </c>
      <c r="I25" s="989" t="s">
        <v>3859</v>
      </c>
      <c r="J25" s="987"/>
      <c r="K25" s="987"/>
      <c r="L25" s="987"/>
      <c r="M25" s="987"/>
      <c r="N25" s="987"/>
      <c r="O25" s="987"/>
      <c r="P25" s="987"/>
      <c r="Q25" s="987"/>
      <c r="R25" s="987"/>
      <c r="S25" s="987"/>
      <c r="T25" s="987"/>
      <c r="U25" s="987"/>
      <c r="V25" s="987"/>
      <c r="W25" s="987"/>
      <c r="X25" s="987"/>
      <c r="Y25" s="987"/>
      <c r="Z25" s="987"/>
      <c r="AA25" s="986"/>
    </row>
    <row r="26" hidden="1">
      <c r="A26" s="436" t="s">
        <v>50</v>
      </c>
      <c r="B26" s="988">
        <v>43502.0</v>
      </c>
      <c r="C26" s="989" t="s">
        <v>3849</v>
      </c>
      <c r="D26" s="434" t="s">
        <v>3809</v>
      </c>
      <c r="E26" s="434" t="s">
        <v>3810</v>
      </c>
      <c r="F26" s="990">
        <v>1.3581765E7</v>
      </c>
      <c r="G26" s="434" t="s">
        <v>200</v>
      </c>
      <c r="H26" s="989" t="s">
        <v>3860</v>
      </c>
      <c r="I26" s="989" t="s">
        <v>3861</v>
      </c>
      <c r="J26" s="987"/>
      <c r="K26" s="987"/>
      <c r="L26" s="987"/>
      <c r="M26" s="987"/>
      <c r="N26" s="987"/>
      <c r="O26" s="987"/>
      <c r="P26" s="987"/>
      <c r="Q26" s="987"/>
      <c r="R26" s="987"/>
      <c r="S26" s="987"/>
      <c r="T26" s="987"/>
      <c r="U26" s="987"/>
      <c r="V26" s="987"/>
      <c r="W26" s="987"/>
      <c r="X26" s="987"/>
      <c r="Y26" s="987"/>
      <c r="Z26" s="987"/>
      <c r="AA26" s="986"/>
    </row>
    <row r="27" hidden="1">
      <c r="A27" s="436" t="s">
        <v>50</v>
      </c>
      <c r="B27" s="988">
        <v>43509.0</v>
      </c>
      <c r="C27" s="989" t="s">
        <v>3849</v>
      </c>
      <c r="D27" s="434" t="s">
        <v>3809</v>
      </c>
      <c r="E27" s="434" t="s">
        <v>3810</v>
      </c>
      <c r="F27" s="990">
        <v>1.3581779E7</v>
      </c>
      <c r="G27" s="434" t="s">
        <v>200</v>
      </c>
      <c r="H27" s="989" t="s">
        <v>3862</v>
      </c>
      <c r="I27" s="989" t="s">
        <v>3863</v>
      </c>
      <c r="J27" s="987"/>
      <c r="K27" s="987"/>
      <c r="L27" s="987"/>
      <c r="M27" s="987"/>
      <c r="N27" s="987"/>
      <c r="O27" s="987"/>
      <c r="P27" s="987"/>
      <c r="Q27" s="987"/>
      <c r="R27" s="987"/>
      <c r="S27" s="987"/>
      <c r="T27" s="987"/>
      <c r="U27" s="987"/>
      <c r="V27" s="987"/>
      <c r="W27" s="987"/>
      <c r="X27" s="987"/>
      <c r="Y27" s="987"/>
      <c r="Z27" s="987"/>
      <c r="AA27" s="986"/>
    </row>
    <row r="28" hidden="1">
      <c r="A28" s="436" t="s">
        <v>50</v>
      </c>
      <c r="B28" s="988">
        <v>43516.0</v>
      </c>
      <c r="C28" s="989" t="s">
        <v>3849</v>
      </c>
      <c r="D28" s="434" t="s">
        <v>3809</v>
      </c>
      <c r="E28" s="434" t="s">
        <v>3810</v>
      </c>
      <c r="F28" s="990">
        <v>1.3581789E7</v>
      </c>
      <c r="G28" s="434" t="s">
        <v>200</v>
      </c>
      <c r="H28" s="989" t="s">
        <v>3864</v>
      </c>
      <c r="I28" s="989" t="s">
        <v>3865</v>
      </c>
      <c r="J28" s="987"/>
      <c r="K28" s="987"/>
      <c r="L28" s="987"/>
      <c r="M28" s="987"/>
      <c r="N28" s="987"/>
      <c r="O28" s="987"/>
      <c r="P28" s="987"/>
      <c r="Q28" s="987"/>
      <c r="R28" s="987"/>
      <c r="S28" s="987"/>
      <c r="T28" s="987"/>
      <c r="U28" s="987"/>
      <c r="V28" s="987"/>
      <c r="W28" s="987"/>
      <c r="X28" s="987"/>
      <c r="Y28" s="987"/>
      <c r="Z28" s="987"/>
      <c r="AA28" s="986"/>
    </row>
    <row r="29" hidden="1">
      <c r="A29" s="436" t="s">
        <v>50</v>
      </c>
      <c r="B29" s="988">
        <v>43517.0</v>
      </c>
      <c r="C29" s="989" t="s">
        <v>3849</v>
      </c>
      <c r="D29" s="434" t="s">
        <v>3809</v>
      </c>
      <c r="E29" s="434" t="s">
        <v>3810</v>
      </c>
      <c r="F29" s="990">
        <v>1.3581788E7</v>
      </c>
      <c r="G29" s="434" t="s">
        <v>200</v>
      </c>
      <c r="H29" s="989" t="s">
        <v>3846</v>
      </c>
      <c r="I29" s="989" t="s">
        <v>3866</v>
      </c>
      <c r="J29" s="987"/>
      <c r="K29" s="987"/>
      <c r="L29" s="987"/>
      <c r="M29" s="987"/>
      <c r="N29" s="987"/>
      <c r="O29" s="987"/>
      <c r="P29" s="987"/>
      <c r="Q29" s="987"/>
      <c r="R29" s="987"/>
      <c r="S29" s="987"/>
      <c r="T29" s="987"/>
      <c r="U29" s="987"/>
      <c r="V29" s="987"/>
      <c r="W29" s="987"/>
      <c r="X29" s="987"/>
      <c r="Y29" s="987"/>
      <c r="Z29" s="987"/>
      <c r="AA29" s="986"/>
    </row>
    <row r="30" hidden="1">
      <c r="A30" s="436" t="s">
        <v>50</v>
      </c>
      <c r="B30" s="988">
        <v>43517.0</v>
      </c>
      <c r="C30" s="989" t="s">
        <v>3849</v>
      </c>
      <c r="D30" s="434" t="s">
        <v>3809</v>
      </c>
      <c r="E30" s="434" t="s">
        <v>3810</v>
      </c>
      <c r="F30" s="990">
        <v>1.358179E7</v>
      </c>
      <c r="G30" s="434" t="s">
        <v>200</v>
      </c>
      <c r="H30" s="989" t="s">
        <v>3867</v>
      </c>
      <c r="I30" s="989" t="s">
        <v>3868</v>
      </c>
      <c r="J30" s="987"/>
      <c r="K30" s="987"/>
      <c r="L30" s="987"/>
      <c r="M30" s="987"/>
      <c r="N30" s="987"/>
      <c r="O30" s="987"/>
      <c r="P30" s="987"/>
      <c r="Q30" s="987"/>
      <c r="R30" s="987"/>
      <c r="S30" s="987"/>
      <c r="T30" s="987"/>
      <c r="U30" s="987"/>
      <c r="V30" s="987"/>
      <c r="W30" s="987"/>
      <c r="X30" s="987"/>
      <c r="Y30" s="987"/>
      <c r="Z30" s="987"/>
      <c r="AA30" s="986"/>
    </row>
    <row r="31" hidden="1">
      <c r="A31" s="436" t="s">
        <v>50</v>
      </c>
      <c r="B31" s="988">
        <v>43545.0</v>
      </c>
      <c r="C31" s="989" t="s">
        <v>3869</v>
      </c>
      <c r="D31" s="434" t="s">
        <v>48</v>
      </c>
      <c r="E31" s="434" t="s">
        <v>305</v>
      </c>
      <c r="F31" s="434" t="s">
        <v>50</v>
      </c>
      <c r="G31" s="434" t="s">
        <v>51</v>
      </c>
      <c r="H31" s="989" t="s">
        <v>3870</v>
      </c>
      <c r="I31" s="989" t="s">
        <v>3871</v>
      </c>
      <c r="J31" s="987"/>
      <c r="K31" s="987"/>
      <c r="L31" s="987"/>
      <c r="M31" s="987"/>
      <c r="N31" s="987"/>
      <c r="O31" s="987"/>
      <c r="P31" s="987"/>
      <c r="Q31" s="987"/>
      <c r="R31" s="987"/>
      <c r="S31" s="987"/>
      <c r="T31" s="987"/>
      <c r="U31" s="987"/>
      <c r="V31" s="987"/>
      <c r="W31" s="987"/>
      <c r="X31" s="987"/>
      <c r="Y31" s="987"/>
      <c r="Z31" s="987"/>
      <c r="AA31" s="986"/>
    </row>
    <row r="32" hidden="1">
      <c r="A32" s="436" t="s">
        <v>50</v>
      </c>
      <c r="B32" s="988">
        <v>43570.0</v>
      </c>
      <c r="C32" s="989" t="s">
        <v>3872</v>
      </c>
      <c r="D32" s="434" t="s">
        <v>3809</v>
      </c>
      <c r="E32" s="434" t="s">
        <v>3810</v>
      </c>
      <c r="F32" s="990">
        <v>1.3581849E7</v>
      </c>
      <c r="G32" s="434" t="s">
        <v>200</v>
      </c>
      <c r="H32" s="989" t="s">
        <v>3873</v>
      </c>
      <c r="I32" s="989" t="s">
        <v>3845</v>
      </c>
      <c r="J32" s="987"/>
      <c r="K32" s="987"/>
      <c r="L32" s="987"/>
      <c r="M32" s="987"/>
      <c r="N32" s="987"/>
      <c r="O32" s="987"/>
      <c r="P32" s="987"/>
      <c r="Q32" s="987"/>
      <c r="R32" s="987"/>
      <c r="S32" s="987"/>
      <c r="T32" s="987"/>
      <c r="U32" s="987"/>
      <c r="V32" s="987"/>
      <c r="W32" s="987"/>
      <c r="X32" s="987"/>
      <c r="Y32" s="987"/>
      <c r="Z32" s="987"/>
      <c r="AA32" s="986"/>
    </row>
    <row r="33" hidden="1">
      <c r="A33" s="436" t="s">
        <v>50</v>
      </c>
      <c r="B33" s="988">
        <v>43593.0</v>
      </c>
      <c r="C33" s="989" t="s">
        <v>3874</v>
      </c>
      <c r="D33" s="434" t="s">
        <v>3875</v>
      </c>
      <c r="E33" s="434" t="s">
        <v>3876</v>
      </c>
      <c r="F33" s="990">
        <v>1.493088E7</v>
      </c>
      <c r="G33" s="434" t="s">
        <v>51</v>
      </c>
      <c r="H33" s="989" t="s">
        <v>3877</v>
      </c>
      <c r="I33" s="989" t="s">
        <v>3878</v>
      </c>
      <c r="J33" s="987"/>
      <c r="K33" s="987"/>
      <c r="L33" s="987"/>
      <c r="M33" s="987"/>
      <c r="N33" s="987"/>
      <c r="O33" s="987"/>
      <c r="P33" s="987"/>
      <c r="Q33" s="987"/>
      <c r="R33" s="987"/>
      <c r="S33" s="987"/>
      <c r="T33" s="987"/>
      <c r="U33" s="987"/>
      <c r="V33" s="987"/>
      <c r="W33" s="987"/>
      <c r="X33" s="987"/>
      <c r="Y33" s="987"/>
      <c r="Z33" s="987"/>
      <c r="AA33" s="986"/>
    </row>
    <row r="34" hidden="1">
      <c r="A34" s="436" t="s">
        <v>50</v>
      </c>
      <c r="B34" s="988">
        <v>43594.0</v>
      </c>
      <c r="C34" s="989" t="s">
        <v>3879</v>
      </c>
      <c r="D34" s="434" t="s">
        <v>3825</v>
      </c>
      <c r="E34" s="434" t="s">
        <v>3826</v>
      </c>
      <c r="F34" s="990">
        <v>1.4630702E7</v>
      </c>
      <c r="G34" s="434" t="s">
        <v>103</v>
      </c>
      <c r="H34" s="989" t="s">
        <v>3880</v>
      </c>
      <c r="I34" s="989" t="s">
        <v>3881</v>
      </c>
      <c r="J34" s="987"/>
      <c r="K34" s="987"/>
      <c r="L34" s="987"/>
      <c r="M34" s="987"/>
      <c r="N34" s="987"/>
      <c r="O34" s="987"/>
      <c r="P34" s="987"/>
      <c r="Q34" s="987"/>
      <c r="R34" s="987"/>
      <c r="S34" s="987"/>
      <c r="T34" s="987"/>
      <c r="U34" s="987"/>
      <c r="V34" s="987"/>
      <c r="W34" s="987"/>
      <c r="X34" s="987"/>
      <c r="Y34" s="987"/>
      <c r="Z34" s="987"/>
      <c r="AA34" s="986"/>
    </row>
    <row r="35" hidden="1">
      <c r="A35" s="436" t="s">
        <v>50</v>
      </c>
      <c r="B35" s="988">
        <v>43629.0</v>
      </c>
      <c r="C35" s="989" t="s">
        <v>3882</v>
      </c>
      <c r="D35" s="434" t="s">
        <v>3825</v>
      </c>
      <c r="E35" s="434" t="s">
        <v>3826</v>
      </c>
      <c r="F35" s="990">
        <v>1.4630722E7</v>
      </c>
      <c r="G35" s="992"/>
      <c r="H35" s="989" t="s">
        <v>3883</v>
      </c>
      <c r="I35" s="989" t="s">
        <v>3881</v>
      </c>
      <c r="J35" s="987"/>
      <c r="K35" s="987"/>
      <c r="L35" s="987"/>
      <c r="M35" s="987"/>
      <c r="N35" s="987"/>
      <c r="O35" s="987"/>
      <c r="P35" s="987"/>
      <c r="Q35" s="987"/>
      <c r="R35" s="987"/>
      <c r="S35" s="987"/>
      <c r="T35" s="987"/>
      <c r="U35" s="987"/>
      <c r="V35" s="987"/>
      <c r="W35" s="987"/>
      <c r="X35" s="987"/>
      <c r="Y35" s="987"/>
      <c r="Z35" s="987"/>
      <c r="AA35" s="986"/>
    </row>
    <row r="36" hidden="1">
      <c r="A36" s="436" t="s">
        <v>50</v>
      </c>
      <c r="B36" s="988">
        <v>43648.0</v>
      </c>
      <c r="C36" s="989" t="s">
        <v>3884</v>
      </c>
      <c r="D36" s="434" t="s">
        <v>3885</v>
      </c>
      <c r="E36" s="434" t="s">
        <v>269</v>
      </c>
      <c r="F36" s="990">
        <v>1.6880153E7</v>
      </c>
      <c r="G36" s="992"/>
      <c r="H36" s="989" t="s">
        <v>3886</v>
      </c>
      <c r="I36" s="989" t="s">
        <v>3887</v>
      </c>
      <c r="J36" s="987"/>
      <c r="K36" s="987"/>
      <c r="L36" s="987"/>
      <c r="M36" s="987"/>
      <c r="N36" s="987"/>
      <c r="O36" s="987"/>
      <c r="P36" s="987"/>
      <c r="Q36" s="987"/>
      <c r="R36" s="987"/>
      <c r="S36" s="987"/>
      <c r="T36" s="987"/>
      <c r="U36" s="987"/>
      <c r="V36" s="987"/>
      <c r="W36" s="987"/>
      <c r="X36" s="987"/>
      <c r="Y36" s="987"/>
      <c r="Z36" s="987"/>
      <c r="AA36" s="986"/>
    </row>
    <row r="37" hidden="1">
      <c r="A37" s="436" t="s">
        <v>50</v>
      </c>
      <c r="B37" s="988">
        <v>43671.0</v>
      </c>
      <c r="C37" s="989" t="s">
        <v>3888</v>
      </c>
      <c r="D37" s="434" t="s">
        <v>239</v>
      </c>
      <c r="E37" s="434" t="s">
        <v>559</v>
      </c>
      <c r="F37" s="434" t="s">
        <v>50</v>
      </c>
      <c r="G37" s="434" t="s">
        <v>112</v>
      </c>
      <c r="H37" s="989" t="s">
        <v>3889</v>
      </c>
      <c r="I37" s="989" t="s">
        <v>3890</v>
      </c>
      <c r="J37" s="987"/>
      <c r="K37" s="987"/>
      <c r="L37" s="987"/>
      <c r="M37" s="987"/>
      <c r="N37" s="987"/>
      <c r="O37" s="987"/>
      <c r="P37" s="987"/>
      <c r="Q37" s="987"/>
      <c r="R37" s="987"/>
      <c r="S37" s="987"/>
      <c r="T37" s="987"/>
      <c r="U37" s="987"/>
      <c r="V37" s="987"/>
      <c r="W37" s="987"/>
      <c r="X37" s="987"/>
      <c r="Y37" s="987"/>
      <c r="Z37" s="987"/>
      <c r="AA37" s="986"/>
    </row>
    <row r="38" hidden="1">
      <c r="A38" s="436" t="s">
        <v>50</v>
      </c>
      <c r="B38" s="988">
        <v>43675.0</v>
      </c>
      <c r="C38" s="989" t="s">
        <v>3891</v>
      </c>
      <c r="D38" s="434" t="s">
        <v>3809</v>
      </c>
      <c r="E38" s="434" t="s">
        <v>3810</v>
      </c>
      <c r="F38" s="990">
        <v>1.3581919E7</v>
      </c>
      <c r="G38" s="434" t="s">
        <v>200</v>
      </c>
      <c r="H38" s="989" t="s">
        <v>3846</v>
      </c>
      <c r="I38" s="989" t="s">
        <v>3892</v>
      </c>
      <c r="J38" s="987"/>
      <c r="K38" s="987"/>
      <c r="L38" s="987"/>
      <c r="M38" s="987"/>
      <c r="N38" s="987"/>
      <c r="O38" s="987"/>
      <c r="P38" s="987"/>
      <c r="Q38" s="987"/>
      <c r="R38" s="987"/>
      <c r="S38" s="987"/>
      <c r="T38" s="987"/>
      <c r="U38" s="987"/>
      <c r="V38" s="987"/>
      <c r="W38" s="987"/>
      <c r="X38" s="987"/>
      <c r="Y38" s="987"/>
      <c r="Z38" s="987"/>
      <c r="AA38" s="986"/>
    </row>
    <row r="39" hidden="1">
      <c r="A39" s="436" t="s">
        <v>50</v>
      </c>
      <c r="B39" s="988">
        <v>43691.0</v>
      </c>
      <c r="C39" s="989" t="s">
        <v>3891</v>
      </c>
      <c r="D39" s="434" t="s">
        <v>3809</v>
      </c>
      <c r="E39" s="434" t="s">
        <v>3810</v>
      </c>
      <c r="F39" s="990">
        <v>1.3581928E7</v>
      </c>
      <c r="G39" s="434" t="s">
        <v>200</v>
      </c>
      <c r="H39" s="989" t="s">
        <v>3893</v>
      </c>
      <c r="I39" s="989" t="s">
        <v>3894</v>
      </c>
      <c r="J39" s="987"/>
      <c r="K39" s="987"/>
      <c r="L39" s="987"/>
      <c r="M39" s="987"/>
      <c r="N39" s="987"/>
      <c r="O39" s="987"/>
      <c r="P39" s="987"/>
      <c r="Q39" s="987"/>
      <c r="R39" s="987"/>
      <c r="S39" s="987"/>
      <c r="T39" s="987"/>
      <c r="U39" s="987"/>
      <c r="V39" s="987"/>
      <c r="W39" s="987"/>
      <c r="X39" s="987"/>
      <c r="Y39" s="987"/>
      <c r="Z39" s="987"/>
      <c r="AA39" s="986"/>
    </row>
    <row r="40" hidden="1">
      <c r="A40" s="436" t="s">
        <v>50</v>
      </c>
      <c r="B40" s="988">
        <v>43693.0</v>
      </c>
      <c r="C40" s="989" t="s">
        <v>3884</v>
      </c>
      <c r="D40" s="434" t="s">
        <v>3885</v>
      </c>
      <c r="E40" s="434" t="s">
        <v>269</v>
      </c>
      <c r="F40" s="990">
        <v>1.688016E7</v>
      </c>
      <c r="G40" s="434" t="s">
        <v>51</v>
      </c>
      <c r="H40" s="989" t="s">
        <v>3895</v>
      </c>
      <c r="I40" s="989" t="s">
        <v>3896</v>
      </c>
      <c r="J40" s="987"/>
      <c r="K40" s="987"/>
      <c r="L40" s="987"/>
      <c r="M40" s="987"/>
      <c r="N40" s="987"/>
      <c r="O40" s="987"/>
      <c r="P40" s="987"/>
      <c r="Q40" s="987"/>
      <c r="R40" s="987"/>
      <c r="S40" s="987"/>
      <c r="T40" s="987"/>
      <c r="U40" s="987"/>
      <c r="V40" s="987"/>
      <c r="W40" s="987"/>
      <c r="X40" s="987"/>
      <c r="Y40" s="987"/>
      <c r="Z40" s="987"/>
      <c r="AA40" s="986"/>
    </row>
    <row r="41" hidden="1">
      <c r="A41" s="436" t="s">
        <v>50</v>
      </c>
      <c r="B41" s="988">
        <v>43700.0</v>
      </c>
      <c r="C41" s="989" t="s">
        <v>3897</v>
      </c>
      <c r="D41" s="434" t="s">
        <v>2804</v>
      </c>
      <c r="E41" s="434" t="s">
        <v>305</v>
      </c>
      <c r="F41" s="990">
        <v>1.5111186E7</v>
      </c>
      <c r="G41" s="434" t="s">
        <v>348</v>
      </c>
      <c r="H41" s="989" t="s">
        <v>3898</v>
      </c>
      <c r="I41" s="989" t="s">
        <v>3899</v>
      </c>
      <c r="J41" s="987"/>
      <c r="K41" s="987"/>
      <c r="L41" s="987"/>
      <c r="M41" s="987"/>
      <c r="N41" s="987"/>
      <c r="O41" s="987"/>
      <c r="P41" s="987"/>
      <c r="Q41" s="987"/>
      <c r="R41" s="987"/>
      <c r="S41" s="987"/>
      <c r="T41" s="987"/>
      <c r="U41" s="987"/>
      <c r="V41" s="987"/>
      <c r="W41" s="987"/>
      <c r="X41" s="987"/>
      <c r="Y41" s="987"/>
      <c r="Z41" s="987"/>
      <c r="AA41" s="986"/>
    </row>
    <row r="42" hidden="1">
      <c r="A42" s="436" t="s">
        <v>50</v>
      </c>
      <c r="B42" s="988">
        <v>43719.0</v>
      </c>
      <c r="C42" s="989" t="s">
        <v>3900</v>
      </c>
      <c r="D42" s="434" t="s">
        <v>2639</v>
      </c>
      <c r="E42" s="434" t="s">
        <v>3802</v>
      </c>
      <c r="F42" s="434" t="s">
        <v>50</v>
      </c>
      <c r="G42" s="992"/>
      <c r="H42" s="989" t="s">
        <v>3901</v>
      </c>
      <c r="I42" s="989" t="s">
        <v>3902</v>
      </c>
      <c r="J42" s="987"/>
      <c r="K42" s="987"/>
      <c r="L42" s="987"/>
      <c r="M42" s="987"/>
      <c r="N42" s="987"/>
      <c r="O42" s="987"/>
      <c r="P42" s="987"/>
      <c r="Q42" s="987"/>
      <c r="R42" s="987"/>
      <c r="S42" s="987"/>
      <c r="T42" s="987"/>
      <c r="U42" s="987"/>
      <c r="V42" s="987"/>
      <c r="W42" s="987"/>
      <c r="X42" s="987"/>
      <c r="Y42" s="987"/>
      <c r="Z42" s="987"/>
      <c r="AA42" s="986"/>
    </row>
    <row r="43" hidden="1">
      <c r="A43" s="436" t="s">
        <v>50</v>
      </c>
      <c r="B43" s="988">
        <v>43728.0</v>
      </c>
      <c r="C43" s="989" t="s">
        <v>3903</v>
      </c>
      <c r="D43" s="434" t="s">
        <v>3809</v>
      </c>
      <c r="E43" s="434" t="s">
        <v>3810</v>
      </c>
      <c r="F43" s="990">
        <v>1.3581993E7</v>
      </c>
      <c r="G43" s="434" t="s">
        <v>200</v>
      </c>
      <c r="H43" s="989" t="s">
        <v>3904</v>
      </c>
      <c r="I43" s="989" t="s">
        <v>3815</v>
      </c>
      <c r="J43" s="987"/>
      <c r="K43" s="987"/>
      <c r="L43" s="987"/>
      <c r="M43" s="987"/>
      <c r="N43" s="987"/>
      <c r="O43" s="987"/>
      <c r="P43" s="987"/>
      <c r="Q43" s="987"/>
      <c r="R43" s="987"/>
      <c r="S43" s="987"/>
      <c r="T43" s="987"/>
      <c r="U43" s="987"/>
      <c r="V43" s="987"/>
      <c r="W43" s="987"/>
      <c r="X43" s="987"/>
      <c r="Y43" s="987"/>
      <c r="Z43" s="987"/>
      <c r="AA43" s="986"/>
    </row>
    <row r="44" hidden="1">
      <c r="A44" s="436" t="s">
        <v>50</v>
      </c>
      <c r="B44" s="988">
        <v>43739.0</v>
      </c>
      <c r="C44" s="989" t="s">
        <v>3903</v>
      </c>
      <c r="D44" s="434" t="s">
        <v>3809</v>
      </c>
      <c r="E44" s="434" t="s">
        <v>3810</v>
      </c>
      <c r="F44" s="990">
        <v>1.3582002E7</v>
      </c>
      <c r="G44" s="434" t="s">
        <v>200</v>
      </c>
      <c r="H44" s="989" t="s">
        <v>3905</v>
      </c>
      <c r="I44" s="989" t="s">
        <v>3906</v>
      </c>
      <c r="J44" s="987"/>
      <c r="K44" s="987"/>
      <c r="L44" s="987"/>
      <c r="M44" s="987"/>
      <c r="N44" s="987"/>
      <c r="O44" s="987"/>
      <c r="P44" s="987"/>
      <c r="Q44" s="987"/>
      <c r="R44" s="987"/>
      <c r="S44" s="987"/>
      <c r="T44" s="987"/>
      <c r="U44" s="987"/>
      <c r="V44" s="987"/>
      <c r="W44" s="987"/>
      <c r="X44" s="987"/>
      <c r="Y44" s="987"/>
      <c r="Z44" s="987"/>
      <c r="AA44" s="986"/>
    </row>
    <row r="45" hidden="1">
      <c r="A45" s="436" t="s">
        <v>50</v>
      </c>
      <c r="B45" s="988">
        <v>43739.0</v>
      </c>
      <c r="C45" s="989" t="s">
        <v>3903</v>
      </c>
      <c r="D45" s="434" t="s">
        <v>3809</v>
      </c>
      <c r="E45" s="434" t="s">
        <v>3810</v>
      </c>
      <c r="F45" s="990">
        <v>1.3582003E7</v>
      </c>
      <c r="G45" s="434" t="s">
        <v>200</v>
      </c>
      <c r="H45" s="989" t="s">
        <v>3907</v>
      </c>
      <c r="I45" s="989" t="s">
        <v>3906</v>
      </c>
      <c r="J45" s="987"/>
      <c r="K45" s="987"/>
      <c r="L45" s="987"/>
      <c r="M45" s="987"/>
      <c r="N45" s="987"/>
      <c r="O45" s="987"/>
      <c r="P45" s="987"/>
      <c r="Q45" s="987"/>
      <c r="R45" s="987"/>
      <c r="S45" s="987"/>
      <c r="T45" s="987"/>
      <c r="U45" s="987"/>
      <c r="V45" s="987"/>
      <c r="W45" s="987"/>
      <c r="X45" s="987"/>
      <c r="Y45" s="987"/>
      <c r="Z45" s="987"/>
      <c r="AA45" s="986"/>
    </row>
    <row r="46" hidden="1">
      <c r="A46" s="436" t="s">
        <v>50</v>
      </c>
      <c r="B46" s="988">
        <v>43746.0</v>
      </c>
      <c r="C46" s="989" t="s">
        <v>3908</v>
      </c>
      <c r="D46" s="434" t="s">
        <v>506</v>
      </c>
      <c r="E46" s="434" t="s">
        <v>305</v>
      </c>
      <c r="F46" s="434" t="s">
        <v>50</v>
      </c>
      <c r="G46" s="434" t="s">
        <v>3909</v>
      </c>
      <c r="H46" s="989" t="s">
        <v>3910</v>
      </c>
      <c r="I46" s="989" t="s">
        <v>3911</v>
      </c>
      <c r="J46" s="987"/>
      <c r="K46" s="987"/>
      <c r="L46" s="987"/>
      <c r="M46" s="987"/>
      <c r="N46" s="987"/>
      <c r="O46" s="987"/>
      <c r="P46" s="987"/>
      <c r="Q46" s="987"/>
      <c r="R46" s="987"/>
      <c r="S46" s="987"/>
      <c r="T46" s="987"/>
      <c r="U46" s="987"/>
      <c r="V46" s="987"/>
      <c r="W46" s="987"/>
      <c r="X46" s="987"/>
      <c r="Y46" s="987"/>
      <c r="Z46" s="987"/>
      <c r="AA46" s="986"/>
    </row>
    <row r="47" hidden="1">
      <c r="A47" s="436" t="s">
        <v>50</v>
      </c>
      <c r="B47" s="991">
        <v>43754.0</v>
      </c>
      <c r="C47" s="989" t="s">
        <v>3888</v>
      </c>
      <c r="D47" s="434" t="s">
        <v>2804</v>
      </c>
      <c r="E47" s="434" t="s">
        <v>2218</v>
      </c>
      <c r="F47" s="434" t="s">
        <v>50</v>
      </c>
      <c r="G47" s="434" t="s">
        <v>348</v>
      </c>
      <c r="H47" s="989" t="s">
        <v>3912</v>
      </c>
      <c r="I47" s="989" t="s">
        <v>3913</v>
      </c>
      <c r="J47" s="987"/>
      <c r="K47" s="987"/>
      <c r="L47" s="987"/>
      <c r="M47" s="987"/>
      <c r="N47" s="987"/>
      <c r="O47" s="987"/>
      <c r="P47" s="987"/>
      <c r="Q47" s="987"/>
      <c r="R47" s="987"/>
      <c r="S47" s="987"/>
      <c r="T47" s="987"/>
      <c r="U47" s="987"/>
      <c r="V47" s="987"/>
      <c r="W47" s="987"/>
      <c r="X47" s="987"/>
      <c r="Y47" s="987"/>
      <c r="Z47" s="987"/>
      <c r="AA47" s="986"/>
    </row>
    <row r="48" hidden="1">
      <c r="A48" s="436" t="s">
        <v>50</v>
      </c>
      <c r="B48" s="991">
        <v>43756.0</v>
      </c>
      <c r="C48" s="989" t="s">
        <v>3897</v>
      </c>
      <c r="D48" s="434" t="s">
        <v>2804</v>
      </c>
      <c r="E48" s="434" t="s">
        <v>305</v>
      </c>
      <c r="F48" s="434" t="s">
        <v>50</v>
      </c>
      <c r="G48" s="992"/>
      <c r="H48" s="989" t="s">
        <v>3914</v>
      </c>
      <c r="I48" s="989" t="s">
        <v>3915</v>
      </c>
      <c r="J48" s="987"/>
      <c r="K48" s="987"/>
      <c r="L48" s="987"/>
      <c r="M48" s="987"/>
      <c r="N48" s="987"/>
      <c r="O48" s="987"/>
      <c r="P48" s="987"/>
      <c r="Q48" s="987"/>
      <c r="R48" s="987"/>
      <c r="S48" s="987"/>
      <c r="T48" s="987"/>
      <c r="U48" s="987"/>
      <c r="V48" s="987"/>
      <c r="W48" s="987"/>
      <c r="X48" s="987"/>
      <c r="Y48" s="987"/>
      <c r="Z48" s="987"/>
      <c r="AA48" s="986"/>
    </row>
    <row r="49" hidden="1">
      <c r="A49" s="436" t="s">
        <v>50</v>
      </c>
      <c r="B49" s="991">
        <v>43759.0</v>
      </c>
      <c r="C49" s="989" t="s">
        <v>3916</v>
      </c>
      <c r="D49" s="434" t="s">
        <v>205</v>
      </c>
      <c r="E49" s="434" t="s">
        <v>305</v>
      </c>
      <c r="F49" s="434" t="s">
        <v>50</v>
      </c>
      <c r="G49" s="434" t="s">
        <v>51</v>
      </c>
      <c r="H49" s="989" t="s">
        <v>3917</v>
      </c>
      <c r="I49" s="993" t="s">
        <v>3918</v>
      </c>
      <c r="J49" s="987"/>
      <c r="K49" s="987"/>
      <c r="L49" s="987"/>
      <c r="M49" s="987"/>
      <c r="N49" s="987"/>
      <c r="O49" s="987"/>
      <c r="P49" s="987"/>
      <c r="Q49" s="987"/>
      <c r="R49" s="987"/>
      <c r="S49" s="987"/>
      <c r="T49" s="987"/>
      <c r="U49" s="987"/>
      <c r="V49" s="987"/>
      <c r="W49" s="987"/>
      <c r="X49" s="987"/>
      <c r="Y49" s="987"/>
      <c r="Z49" s="987"/>
      <c r="AA49" s="986"/>
    </row>
    <row r="50" hidden="1">
      <c r="A50" s="436" t="s">
        <v>50</v>
      </c>
      <c r="B50" s="991">
        <v>43761.0</v>
      </c>
      <c r="C50" s="989" t="s">
        <v>3903</v>
      </c>
      <c r="D50" s="434" t="s">
        <v>3809</v>
      </c>
      <c r="E50" s="434" t="s">
        <v>3810</v>
      </c>
      <c r="F50" s="990">
        <v>1.3582019E7</v>
      </c>
      <c r="G50" s="434" t="s">
        <v>200</v>
      </c>
      <c r="H50" s="989" t="s">
        <v>3919</v>
      </c>
      <c r="I50" s="989" t="s">
        <v>3892</v>
      </c>
      <c r="J50" s="987"/>
      <c r="K50" s="987"/>
      <c r="L50" s="987"/>
      <c r="M50" s="987"/>
      <c r="N50" s="987"/>
      <c r="O50" s="987"/>
      <c r="P50" s="987"/>
      <c r="Q50" s="987"/>
      <c r="R50" s="987"/>
      <c r="S50" s="987"/>
      <c r="T50" s="987"/>
      <c r="U50" s="987"/>
      <c r="V50" s="987"/>
      <c r="W50" s="987"/>
      <c r="X50" s="987"/>
      <c r="Y50" s="987"/>
      <c r="Z50" s="987"/>
      <c r="AA50" s="986"/>
    </row>
    <row r="51" hidden="1">
      <c r="A51" s="436" t="s">
        <v>50</v>
      </c>
      <c r="B51" s="991">
        <v>43762.0</v>
      </c>
      <c r="C51" s="989" t="s">
        <v>3884</v>
      </c>
      <c r="D51" s="434" t="s">
        <v>3885</v>
      </c>
      <c r="E51" s="434" t="s">
        <v>269</v>
      </c>
      <c r="F51" s="990">
        <v>1.6880175E7</v>
      </c>
      <c r="G51" s="434" t="s">
        <v>51</v>
      </c>
      <c r="H51" s="989" t="s">
        <v>3920</v>
      </c>
      <c r="I51" s="989" t="s">
        <v>3921</v>
      </c>
      <c r="J51" s="987"/>
      <c r="K51" s="987"/>
      <c r="L51" s="987"/>
      <c r="M51" s="987"/>
      <c r="N51" s="987"/>
      <c r="O51" s="987"/>
      <c r="P51" s="987"/>
      <c r="Q51" s="987"/>
      <c r="R51" s="987"/>
      <c r="S51" s="987"/>
      <c r="T51" s="987"/>
      <c r="U51" s="987"/>
      <c r="V51" s="987"/>
      <c r="W51" s="987"/>
      <c r="X51" s="987"/>
      <c r="Y51" s="987"/>
      <c r="Z51" s="987"/>
      <c r="AA51" s="986"/>
    </row>
    <row r="52" hidden="1">
      <c r="A52" s="436" t="s">
        <v>50</v>
      </c>
      <c r="B52" s="991">
        <v>43766.0</v>
      </c>
      <c r="C52" s="989" t="s">
        <v>3922</v>
      </c>
      <c r="D52" s="434" t="s">
        <v>3923</v>
      </c>
      <c r="E52" s="434" t="s">
        <v>305</v>
      </c>
      <c r="F52" s="990">
        <v>1.4230582E7</v>
      </c>
      <c r="G52" s="989" t="s">
        <v>3924</v>
      </c>
      <c r="H52" s="989" t="s">
        <v>3925</v>
      </c>
      <c r="I52" s="989" t="s">
        <v>3926</v>
      </c>
      <c r="J52" s="987"/>
      <c r="K52" s="987"/>
      <c r="L52" s="987"/>
      <c r="M52" s="987"/>
      <c r="N52" s="987"/>
      <c r="O52" s="987"/>
      <c r="P52" s="987"/>
      <c r="Q52" s="987"/>
      <c r="R52" s="987"/>
      <c r="S52" s="987"/>
      <c r="T52" s="987"/>
      <c r="U52" s="987"/>
      <c r="V52" s="987"/>
      <c r="W52" s="987"/>
      <c r="X52" s="987"/>
      <c r="Y52" s="987"/>
      <c r="Z52" s="987"/>
      <c r="AA52" s="986"/>
    </row>
    <row r="53" hidden="1">
      <c r="A53" s="436" t="s">
        <v>50</v>
      </c>
      <c r="B53" s="991">
        <v>43781.0</v>
      </c>
      <c r="C53" s="989" t="s">
        <v>3927</v>
      </c>
      <c r="D53" s="434" t="s">
        <v>48</v>
      </c>
      <c r="E53" s="434" t="s">
        <v>305</v>
      </c>
      <c r="F53" s="990">
        <v>1.4691738E7</v>
      </c>
      <c r="G53" s="434" t="s">
        <v>51</v>
      </c>
      <c r="H53" s="989" t="s">
        <v>3928</v>
      </c>
      <c r="I53" s="989" t="s">
        <v>3929</v>
      </c>
      <c r="J53" s="987"/>
      <c r="K53" s="987"/>
      <c r="L53" s="987"/>
      <c r="M53" s="987"/>
      <c r="N53" s="987"/>
      <c r="O53" s="987"/>
      <c r="P53" s="987"/>
      <c r="Q53" s="987"/>
      <c r="R53" s="987"/>
      <c r="S53" s="987"/>
      <c r="T53" s="987"/>
      <c r="U53" s="987"/>
      <c r="V53" s="987"/>
      <c r="W53" s="987"/>
      <c r="X53" s="987"/>
      <c r="Y53" s="987"/>
      <c r="Z53" s="987"/>
      <c r="AA53" s="986"/>
    </row>
    <row r="54" hidden="1">
      <c r="A54" s="436" t="s">
        <v>50</v>
      </c>
      <c r="B54" s="991">
        <v>43796.0</v>
      </c>
      <c r="C54" s="989" t="s">
        <v>3930</v>
      </c>
      <c r="D54" s="434" t="s">
        <v>506</v>
      </c>
      <c r="E54" s="434" t="s">
        <v>305</v>
      </c>
      <c r="F54" s="990">
        <v>1.724101E7</v>
      </c>
      <c r="G54" s="992"/>
      <c r="H54" s="989" t="s">
        <v>2321</v>
      </c>
      <c r="I54" s="989" t="s">
        <v>3931</v>
      </c>
      <c r="J54" s="987"/>
      <c r="K54" s="987"/>
      <c r="L54" s="987"/>
      <c r="M54" s="987"/>
      <c r="N54" s="987"/>
      <c r="O54" s="987"/>
      <c r="P54" s="987"/>
      <c r="Q54" s="987"/>
      <c r="R54" s="987"/>
      <c r="S54" s="987"/>
      <c r="T54" s="987"/>
      <c r="U54" s="987"/>
      <c r="V54" s="987"/>
      <c r="W54" s="987"/>
      <c r="X54" s="987"/>
      <c r="Y54" s="987"/>
      <c r="Z54" s="987"/>
      <c r="AA54" s="986"/>
    </row>
    <row r="55" hidden="1">
      <c r="A55" s="436" t="s">
        <v>50</v>
      </c>
      <c r="B55" s="988">
        <v>43845.0</v>
      </c>
      <c r="C55" s="989" t="s">
        <v>3900</v>
      </c>
      <c r="D55" s="434" t="s">
        <v>2639</v>
      </c>
      <c r="E55" s="434" t="s">
        <v>3802</v>
      </c>
      <c r="F55" s="434" t="s">
        <v>3932</v>
      </c>
      <c r="G55" s="992"/>
      <c r="H55" s="989" t="s">
        <v>3933</v>
      </c>
      <c r="I55" s="989" t="s">
        <v>3934</v>
      </c>
      <c r="J55" s="987"/>
      <c r="K55" s="987"/>
      <c r="L55" s="987"/>
      <c r="M55" s="987"/>
      <c r="N55" s="987"/>
      <c r="O55" s="987"/>
      <c r="P55" s="987"/>
      <c r="Q55" s="987"/>
      <c r="R55" s="987"/>
      <c r="S55" s="987"/>
      <c r="T55" s="987"/>
      <c r="U55" s="987"/>
      <c r="V55" s="987"/>
      <c r="W55" s="987"/>
      <c r="X55" s="987"/>
      <c r="Y55" s="987"/>
      <c r="Z55" s="987"/>
      <c r="AA55" s="986"/>
    </row>
    <row r="56" hidden="1">
      <c r="A56" s="436" t="s">
        <v>50</v>
      </c>
      <c r="B56" s="988">
        <v>43847.0</v>
      </c>
      <c r="C56" s="989" t="s">
        <v>3930</v>
      </c>
      <c r="D56" s="434" t="s">
        <v>506</v>
      </c>
      <c r="E56" s="434" t="s">
        <v>305</v>
      </c>
      <c r="F56" s="990">
        <v>1.7241052E7</v>
      </c>
      <c r="G56" s="434" t="s">
        <v>3935</v>
      </c>
      <c r="H56" s="989" t="s">
        <v>3936</v>
      </c>
      <c r="I56" s="989" t="s">
        <v>3937</v>
      </c>
      <c r="J56" s="987"/>
      <c r="K56" s="987"/>
      <c r="L56" s="987"/>
      <c r="M56" s="987"/>
      <c r="N56" s="987"/>
      <c r="O56" s="987"/>
      <c r="P56" s="987"/>
      <c r="Q56" s="987"/>
      <c r="R56" s="987"/>
      <c r="S56" s="987"/>
      <c r="T56" s="987"/>
      <c r="U56" s="987"/>
      <c r="V56" s="987"/>
      <c r="W56" s="987"/>
      <c r="X56" s="987"/>
      <c r="Y56" s="987"/>
      <c r="Z56" s="987"/>
      <c r="AA56" s="986"/>
    </row>
    <row r="57" hidden="1">
      <c r="A57" s="436" t="s">
        <v>50</v>
      </c>
      <c r="B57" s="988">
        <v>43850.0</v>
      </c>
      <c r="C57" s="989" t="s">
        <v>3938</v>
      </c>
      <c r="D57" s="434" t="s">
        <v>2975</v>
      </c>
      <c r="E57" s="434" t="s">
        <v>305</v>
      </c>
      <c r="F57" s="990">
        <v>1.4432009E7</v>
      </c>
      <c r="G57" s="434" t="s">
        <v>51</v>
      </c>
      <c r="H57" s="989" t="s">
        <v>3939</v>
      </c>
      <c r="I57" s="989" t="s">
        <v>3940</v>
      </c>
      <c r="J57" s="987"/>
      <c r="K57" s="987"/>
      <c r="L57" s="987"/>
      <c r="M57" s="987"/>
      <c r="N57" s="987"/>
      <c r="O57" s="987"/>
      <c r="P57" s="987"/>
      <c r="Q57" s="987"/>
      <c r="R57" s="987"/>
      <c r="S57" s="987"/>
      <c r="T57" s="987"/>
      <c r="U57" s="987"/>
      <c r="V57" s="987"/>
      <c r="W57" s="987"/>
      <c r="X57" s="987"/>
      <c r="Y57" s="987"/>
      <c r="Z57" s="987"/>
      <c r="AA57" s="986"/>
    </row>
    <row r="58" hidden="1">
      <c r="A58" s="436" t="s">
        <v>50</v>
      </c>
      <c r="B58" s="988">
        <v>43861.0</v>
      </c>
      <c r="C58" s="989" t="s">
        <v>3941</v>
      </c>
      <c r="D58" s="434" t="s">
        <v>3942</v>
      </c>
      <c r="E58" s="434" t="s">
        <v>305</v>
      </c>
      <c r="F58" s="434" t="s">
        <v>50</v>
      </c>
      <c r="G58" s="434" t="s">
        <v>200</v>
      </c>
      <c r="H58" s="989" t="s">
        <v>3943</v>
      </c>
      <c r="I58" s="989" t="s">
        <v>3944</v>
      </c>
      <c r="J58" s="987"/>
      <c r="K58" s="987"/>
      <c r="L58" s="987"/>
      <c r="M58" s="987"/>
      <c r="N58" s="987"/>
      <c r="O58" s="987"/>
      <c r="P58" s="987"/>
      <c r="Q58" s="987"/>
      <c r="R58" s="987"/>
      <c r="S58" s="987"/>
      <c r="T58" s="987"/>
      <c r="U58" s="987"/>
      <c r="V58" s="987"/>
      <c r="W58" s="987"/>
      <c r="X58" s="987"/>
      <c r="Y58" s="987"/>
      <c r="Z58" s="987"/>
      <c r="AA58" s="986"/>
    </row>
    <row r="59" hidden="1">
      <c r="A59" s="436" t="s">
        <v>50</v>
      </c>
      <c r="B59" s="988">
        <v>43868.0</v>
      </c>
      <c r="C59" s="989" t="s">
        <v>3945</v>
      </c>
      <c r="D59" s="434" t="s">
        <v>239</v>
      </c>
      <c r="E59" s="434" t="s">
        <v>559</v>
      </c>
      <c r="F59" s="990">
        <v>1.7190219E7</v>
      </c>
      <c r="G59" s="434" t="s">
        <v>103</v>
      </c>
      <c r="H59" s="989" t="s">
        <v>3946</v>
      </c>
      <c r="I59" s="989" t="s">
        <v>3947</v>
      </c>
      <c r="J59" s="987"/>
      <c r="K59" s="987"/>
      <c r="L59" s="987"/>
      <c r="M59" s="987"/>
      <c r="N59" s="987"/>
      <c r="O59" s="987"/>
      <c r="P59" s="987"/>
      <c r="Q59" s="987"/>
      <c r="R59" s="987"/>
      <c r="S59" s="987"/>
      <c r="T59" s="987"/>
      <c r="U59" s="987"/>
      <c r="V59" s="987"/>
      <c r="W59" s="987"/>
      <c r="X59" s="987"/>
      <c r="Y59" s="987"/>
      <c r="Z59" s="987"/>
      <c r="AA59" s="986"/>
    </row>
    <row r="60" hidden="1">
      <c r="A60" s="436" t="s">
        <v>50</v>
      </c>
      <c r="B60" s="988">
        <v>43879.0</v>
      </c>
      <c r="C60" s="989" t="s">
        <v>3948</v>
      </c>
      <c r="D60" s="434" t="s">
        <v>3942</v>
      </c>
      <c r="E60" s="434" t="s">
        <v>305</v>
      </c>
      <c r="F60" s="434" t="s">
        <v>50</v>
      </c>
      <c r="G60" s="434" t="s">
        <v>200</v>
      </c>
      <c r="H60" s="989" t="s">
        <v>3949</v>
      </c>
      <c r="I60" s="989" t="s">
        <v>3950</v>
      </c>
      <c r="J60" s="987"/>
      <c r="K60" s="987"/>
      <c r="L60" s="987"/>
      <c r="M60" s="987"/>
      <c r="N60" s="987"/>
      <c r="O60" s="987"/>
      <c r="P60" s="987"/>
      <c r="Q60" s="987"/>
      <c r="R60" s="987"/>
      <c r="S60" s="987"/>
      <c r="T60" s="987"/>
      <c r="U60" s="987"/>
      <c r="V60" s="987"/>
      <c r="W60" s="987"/>
      <c r="X60" s="987"/>
      <c r="Y60" s="987"/>
      <c r="Z60" s="987"/>
      <c r="AA60" s="986"/>
    </row>
    <row r="61" hidden="1">
      <c r="A61" s="436" t="s">
        <v>50</v>
      </c>
      <c r="B61" s="988">
        <v>43899.0</v>
      </c>
      <c r="C61" s="989" t="s">
        <v>3951</v>
      </c>
      <c r="D61" s="434" t="s">
        <v>119</v>
      </c>
      <c r="E61" s="434" t="s">
        <v>305</v>
      </c>
      <c r="F61" s="990">
        <v>1.3714998E7</v>
      </c>
      <c r="G61" s="434" t="s">
        <v>120</v>
      </c>
      <c r="H61" s="989" t="s">
        <v>3952</v>
      </c>
      <c r="I61" s="989" t="s">
        <v>3953</v>
      </c>
      <c r="J61" s="987"/>
      <c r="K61" s="987"/>
      <c r="L61" s="987"/>
      <c r="M61" s="987"/>
      <c r="N61" s="987"/>
      <c r="O61" s="987"/>
      <c r="P61" s="987"/>
      <c r="Q61" s="987"/>
      <c r="R61" s="987"/>
      <c r="S61" s="987"/>
      <c r="T61" s="987"/>
      <c r="U61" s="987"/>
      <c r="V61" s="987"/>
      <c r="W61" s="987"/>
      <c r="X61" s="987"/>
      <c r="Y61" s="987"/>
      <c r="Z61" s="987"/>
      <c r="AA61" s="986"/>
    </row>
    <row r="62" hidden="1">
      <c r="A62" s="436" t="s">
        <v>50</v>
      </c>
      <c r="B62" s="988">
        <v>43901.0</v>
      </c>
      <c r="C62" s="989" t="s">
        <v>3954</v>
      </c>
      <c r="D62" s="434" t="s">
        <v>3809</v>
      </c>
      <c r="E62" s="434" t="s">
        <v>3810</v>
      </c>
      <c r="F62" s="990">
        <v>1.3582128E7</v>
      </c>
      <c r="G62" s="434" t="s">
        <v>200</v>
      </c>
      <c r="H62" s="989" t="s">
        <v>3955</v>
      </c>
      <c r="I62" s="989" t="s">
        <v>3868</v>
      </c>
      <c r="J62" s="987"/>
      <c r="K62" s="987"/>
      <c r="L62" s="987"/>
      <c r="M62" s="987"/>
      <c r="N62" s="987"/>
      <c r="O62" s="987"/>
      <c r="P62" s="987"/>
      <c r="Q62" s="987"/>
      <c r="R62" s="987"/>
      <c r="S62" s="987"/>
      <c r="T62" s="987"/>
      <c r="U62" s="987"/>
      <c r="V62" s="987"/>
      <c r="W62" s="987"/>
      <c r="X62" s="987"/>
      <c r="Y62" s="987"/>
      <c r="Z62" s="987"/>
      <c r="AA62" s="986"/>
    </row>
    <row r="63" hidden="1">
      <c r="A63" s="436" t="s">
        <v>50</v>
      </c>
      <c r="B63" s="988">
        <v>43901.0</v>
      </c>
      <c r="C63" s="989" t="s">
        <v>3956</v>
      </c>
      <c r="D63" s="434" t="s">
        <v>514</v>
      </c>
      <c r="E63" s="434" t="s">
        <v>3957</v>
      </c>
      <c r="F63" s="990">
        <v>1.4800125E7</v>
      </c>
      <c r="G63" s="434" t="s">
        <v>200</v>
      </c>
      <c r="H63" s="989" t="s">
        <v>3958</v>
      </c>
      <c r="I63" s="989" t="s">
        <v>3959</v>
      </c>
      <c r="J63" s="987"/>
      <c r="K63" s="987"/>
      <c r="L63" s="987"/>
      <c r="M63" s="987"/>
      <c r="N63" s="987"/>
      <c r="O63" s="987"/>
      <c r="P63" s="987"/>
      <c r="Q63" s="987"/>
      <c r="R63" s="987"/>
      <c r="S63" s="987"/>
      <c r="T63" s="987"/>
      <c r="U63" s="987"/>
      <c r="V63" s="987"/>
      <c r="W63" s="987"/>
      <c r="X63" s="987"/>
      <c r="Y63" s="987"/>
      <c r="Z63" s="987"/>
      <c r="AA63" s="986"/>
    </row>
    <row r="64" hidden="1">
      <c r="A64" s="436" t="s">
        <v>50</v>
      </c>
      <c r="B64" s="988">
        <v>43908.0</v>
      </c>
      <c r="C64" s="989" t="s">
        <v>3960</v>
      </c>
      <c r="D64" s="434" t="s">
        <v>367</v>
      </c>
      <c r="E64" s="434" t="s">
        <v>305</v>
      </c>
      <c r="F64" s="990">
        <v>1.4881985E7</v>
      </c>
      <c r="G64" s="434" t="s">
        <v>3961</v>
      </c>
      <c r="H64" s="989" t="s">
        <v>3962</v>
      </c>
      <c r="I64" s="989" t="s">
        <v>3963</v>
      </c>
      <c r="J64" s="987"/>
      <c r="K64" s="987"/>
      <c r="L64" s="987"/>
      <c r="M64" s="987"/>
      <c r="N64" s="987"/>
      <c r="O64" s="987"/>
      <c r="P64" s="987"/>
      <c r="Q64" s="987"/>
      <c r="R64" s="987"/>
      <c r="S64" s="987"/>
      <c r="T64" s="987"/>
      <c r="U64" s="987"/>
      <c r="V64" s="987"/>
      <c r="W64" s="987"/>
      <c r="X64" s="987"/>
      <c r="Y64" s="987"/>
      <c r="Z64" s="987"/>
      <c r="AA64" s="986"/>
    </row>
    <row r="65" hidden="1">
      <c r="A65" s="436" t="s">
        <v>50</v>
      </c>
      <c r="B65" s="988">
        <v>43914.0</v>
      </c>
      <c r="C65" s="989" t="s">
        <v>3954</v>
      </c>
      <c r="D65" s="434" t="s">
        <v>3809</v>
      </c>
      <c r="E65" s="434" t="s">
        <v>3810</v>
      </c>
      <c r="F65" s="990">
        <v>1.3582146E7</v>
      </c>
      <c r="G65" s="434" t="s">
        <v>200</v>
      </c>
      <c r="H65" s="989" t="s">
        <v>3964</v>
      </c>
      <c r="I65" s="989" t="s">
        <v>3965</v>
      </c>
      <c r="J65" s="987"/>
      <c r="K65" s="987"/>
      <c r="L65" s="987"/>
      <c r="M65" s="987"/>
      <c r="N65" s="987"/>
      <c r="O65" s="987"/>
      <c r="P65" s="987"/>
      <c r="Q65" s="987"/>
      <c r="R65" s="987"/>
      <c r="S65" s="987"/>
      <c r="T65" s="987"/>
      <c r="U65" s="987"/>
      <c r="V65" s="987"/>
      <c r="W65" s="987"/>
      <c r="X65" s="987"/>
      <c r="Y65" s="987"/>
      <c r="Z65" s="987"/>
      <c r="AA65" s="986"/>
    </row>
    <row r="66" hidden="1">
      <c r="A66" s="436" t="s">
        <v>50</v>
      </c>
      <c r="B66" s="988">
        <v>43921.0</v>
      </c>
      <c r="C66" s="989" t="s">
        <v>3966</v>
      </c>
      <c r="D66" s="434" t="s">
        <v>411</v>
      </c>
      <c r="E66" s="434" t="s">
        <v>3802</v>
      </c>
      <c r="F66" s="434" t="s">
        <v>50</v>
      </c>
      <c r="G66" s="434" t="s">
        <v>103</v>
      </c>
      <c r="H66" s="989" t="s">
        <v>3967</v>
      </c>
      <c r="I66" s="989" t="s">
        <v>3968</v>
      </c>
      <c r="J66" s="987"/>
      <c r="K66" s="987"/>
      <c r="L66" s="987"/>
      <c r="M66" s="987"/>
      <c r="N66" s="987"/>
      <c r="O66" s="987"/>
      <c r="P66" s="987"/>
      <c r="Q66" s="987"/>
      <c r="R66" s="987"/>
      <c r="S66" s="987"/>
      <c r="T66" s="987"/>
      <c r="U66" s="987"/>
      <c r="V66" s="987"/>
      <c r="W66" s="987"/>
      <c r="X66" s="987"/>
      <c r="Y66" s="987"/>
      <c r="Z66" s="987"/>
      <c r="AA66" s="986"/>
    </row>
    <row r="67" hidden="1">
      <c r="A67" s="436" t="s">
        <v>50</v>
      </c>
      <c r="B67" s="988">
        <v>43929.0</v>
      </c>
      <c r="C67" s="989" t="s">
        <v>3969</v>
      </c>
      <c r="D67" s="434" t="s">
        <v>30</v>
      </c>
      <c r="E67" s="434" t="s">
        <v>3970</v>
      </c>
      <c r="F67" s="434" t="s">
        <v>50</v>
      </c>
      <c r="G67" s="434" t="s">
        <v>32</v>
      </c>
      <c r="H67" s="989" t="s">
        <v>3971</v>
      </c>
      <c r="I67" s="989" t="s">
        <v>3972</v>
      </c>
      <c r="J67" s="987"/>
      <c r="K67" s="987"/>
      <c r="L67" s="987"/>
      <c r="M67" s="987"/>
      <c r="N67" s="987"/>
      <c r="O67" s="987"/>
      <c r="P67" s="987"/>
      <c r="Q67" s="987"/>
      <c r="R67" s="987"/>
      <c r="S67" s="987"/>
      <c r="T67" s="987"/>
      <c r="U67" s="987"/>
      <c r="V67" s="987"/>
      <c r="W67" s="987"/>
      <c r="X67" s="987"/>
      <c r="Y67" s="987"/>
      <c r="Z67" s="987"/>
      <c r="AA67" s="986"/>
    </row>
    <row r="68" hidden="1">
      <c r="A68" s="436" t="s">
        <v>50</v>
      </c>
      <c r="B68" s="988">
        <v>43941.0</v>
      </c>
      <c r="C68" s="989" t="s">
        <v>3973</v>
      </c>
      <c r="D68" s="434" t="s">
        <v>1737</v>
      </c>
      <c r="E68" s="434" t="s">
        <v>3974</v>
      </c>
      <c r="F68" s="990">
        <v>1.6930015E7</v>
      </c>
      <c r="G68" s="434" t="s">
        <v>348</v>
      </c>
      <c r="H68" s="989" t="s">
        <v>3975</v>
      </c>
      <c r="I68" s="989" t="s">
        <v>3976</v>
      </c>
      <c r="J68" s="987"/>
      <c r="K68" s="987"/>
      <c r="L68" s="987"/>
      <c r="M68" s="987"/>
      <c r="N68" s="987"/>
      <c r="O68" s="987"/>
      <c r="P68" s="987"/>
      <c r="Q68" s="987"/>
      <c r="R68" s="987"/>
      <c r="S68" s="987"/>
      <c r="T68" s="987"/>
      <c r="U68" s="987"/>
      <c r="V68" s="987"/>
      <c r="W68" s="987"/>
      <c r="X68" s="987"/>
      <c r="Y68" s="987"/>
      <c r="Z68" s="987"/>
      <c r="AA68" s="986"/>
    </row>
    <row r="69" hidden="1">
      <c r="A69" s="436" t="s">
        <v>50</v>
      </c>
      <c r="B69" s="988">
        <v>43952.0</v>
      </c>
      <c r="C69" s="989" t="s">
        <v>3977</v>
      </c>
      <c r="D69" s="434" t="s">
        <v>2530</v>
      </c>
      <c r="E69" s="434" t="s">
        <v>3978</v>
      </c>
      <c r="F69" s="990">
        <v>1.8610348E7</v>
      </c>
      <c r="G69" s="992"/>
      <c r="H69" s="989" t="s">
        <v>3979</v>
      </c>
      <c r="I69" s="989" t="s">
        <v>3980</v>
      </c>
      <c r="J69" s="987"/>
      <c r="K69" s="987"/>
      <c r="L69" s="987"/>
      <c r="M69" s="987"/>
      <c r="N69" s="987"/>
      <c r="O69" s="987"/>
      <c r="P69" s="987"/>
      <c r="Q69" s="987"/>
      <c r="R69" s="987"/>
      <c r="S69" s="987"/>
      <c r="T69" s="987"/>
      <c r="U69" s="987"/>
      <c r="V69" s="987"/>
      <c r="W69" s="987"/>
      <c r="X69" s="987"/>
      <c r="Y69" s="987"/>
      <c r="Z69" s="987"/>
      <c r="AA69" s="986"/>
    </row>
    <row r="70" hidden="1">
      <c r="A70" s="436" t="s">
        <v>50</v>
      </c>
      <c r="B70" s="988">
        <v>43952.0</v>
      </c>
      <c r="C70" s="989" t="s">
        <v>3981</v>
      </c>
      <c r="D70" s="434" t="s">
        <v>465</v>
      </c>
      <c r="E70" s="434" t="s">
        <v>3821</v>
      </c>
      <c r="F70" s="434" t="s">
        <v>50</v>
      </c>
      <c r="G70" s="434" t="s">
        <v>51</v>
      </c>
      <c r="H70" s="989" t="s">
        <v>1569</v>
      </c>
      <c r="I70" s="989" t="s">
        <v>3982</v>
      </c>
      <c r="J70" s="987"/>
      <c r="K70" s="987"/>
      <c r="L70" s="987"/>
      <c r="M70" s="987"/>
      <c r="N70" s="987"/>
      <c r="O70" s="987"/>
      <c r="P70" s="987"/>
      <c r="Q70" s="987"/>
      <c r="R70" s="987"/>
      <c r="S70" s="987"/>
      <c r="T70" s="987"/>
      <c r="U70" s="987"/>
      <c r="V70" s="987"/>
      <c r="W70" s="987"/>
      <c r="X70" s="987"/>
      <c r="Y70" s="987"/>
      <c r="Z70" s="987"/>
      <c r="AA70" s="986"/>
    </row>
    <row r="71" hidden="1">
      <c r="A71" s="436" t="s">
        <v>50</v>
      </c>
      <c r="B71" s="988">
        <v>43962.0</v>
      </c>
      <c r="C71" s="989" t="s">
        <v>3983</v>
      </c>
      <c r="D71" s="434" t="s">
        <v>212</v>
      </c>
      <c r="E71" s="434" t="s">
        <v>3970</v>
      </c>
      <c r="F71" s="434" t="s">
        <v>50</v>
      </c>
      <c r="G71" s="434" t="s">
        <v>200</v>
      </c>
      <c r="H71" s="989" t="s">
        <v>3984</v>
      </c>
      <c r="I71" s="989" t="s">
        <v>3985</v>
      </c>
      <c r="J71" s="987"/>
      <c r="K71" s="987"/>
      <c r="L71" s="987"/>
      <c r="M71" s="987"/>
      <c r="N71" s="987"/>
      <c r="O71" s="987"/>
      <c r="P71" s="987"/>
      <c r="Q71" s="987"/>
      <c r="R71" s="987"/>
      <c r="S71" s="987"/>
      <c r="T71" s="987"/>
      <c r="U71" s="987"/>
      <c r="V71" s="987"/>
      <c r="W71" s="987"/>
      <c r="X71" s="987"/>
      <c r="Y71" s="987"/>
      <c r="Z71" s="987"/>
      <c r="AA71" s="986"/>
    </row>
    <row r="72" hidden="1">
      <c r="A72" s="436" t="s">
        <v>50</v>
      </c>
      <c r="B72" s="988">
        <v>43963.0</v>
      </c>
      <c r="C72" s="989" t="s">
        <v>3986</v>
      </c>
      <c r="D72" s="434" t="s">
        <v>1737</v>
      </c>
      <c r="E72" s="434" t="s">
        <v>3987</v>
      </c>
      <c r="F72" s="990">
        <v>1.6930012E7</v>
      </c>
      <c r="G72" s="434" t="s">
        <v>3961</v>
      </c>
      <c r="H72" s="989" t="s">
        <v>3988</v>
      </c>
      <c r="I72" s="989" t="s">
        <v>3989</v>
      </c>
      <c r="J72" s="987"/>
      <c r="K72" s="987"/>
      <c r="L72" s="987"/>
      <c r="M72" s="987"/>
      <c r="N72" s="987"/>
      <c r="O72" s="987"/>
      <c r="P72" s="987"/>
      <c r="Q72" s="987"/>
      <c r="R72" s="987"/>
      <c r="S72" s="987"/>
      <c r="T72" s="987"/>
      <c r="U72" s="987"/>
      <c r="V72" s="987"/>
      <c r="W72" s="987"/>
      <c r="X72" s="987"/>
      <c r="Y72" s="987"/>
      <c r="Z72" s="987"/>
      <c r="AA72" s="986"/>
    </row>
    <row r="73" hidden="1">
      <c r="A73" s="436" t="s">
        <v>50</v>
      </c>
      <c r="B73" s="988">
        <v>43963.0</v>
      </c>
      <c r="C73" s="989" t="s">
        <v>3990</v>
      </c>
      <c r="D73" s="434" t="s">
        <v>918</v>
      </c>
      <c r="E73" s="434" t="s">
        <v>3991</v>
      </c>
      <c r="F73" s="434" t="s">
        <v>50</v>
      </c>
      <c r="G73" s="434" t="s">
        <v>3909</v>
      </c>
      <c r="H73" s="989" t="s">
        <v>3992</v>
      </c>
      <c r="I73" s="989" t="s">
        <v>3993</v>
      </c>
      <c r="J73" s="987"/>
      <c r="K73" s="987"/>
      <c r="L73" s="987"/>
      <c r="M73" s="987"/>
      <c r="N73" s="987"/>
      <c r="O73" s="987"/>
      <c r="P73" s="987"/>
      <c r="Q73" s="987"/>
      <c r="R73" s="987"/>
      <c r="S73" s="987"/>
      <c r="T73" s="987"/>
      <c r="U73" s="987"/>
      <c r="V73" s="987"/>
      <c r="W73" s="987"/>
      <c r="X73" s="987"/>
      <c r="Y73" s="987"/>
      <c r="Z73" s="987"/>
      <c r="AA73" s="986"/>
    </row>
    <row r="74" hidden="1">
      <c r="A74" s="436" t="s">
        <v>50</v>
      </c>
      <c r="B74" s="988">
        <v>43963.0</v>
      </c>
      <c r="C74" s="989" t="s">
        <v>3990</v>
      </c>
      <c r="D74" s="434" t="s">
        <v>918</v>
      </c>
      <c r="E74" s="434" t="s">
        <v>3991</v>
      </c>
      <c r="F74" s="434" t="s">
        <v>50</v>
      </c>
      <c r="G74" s="434" t="s">
        <v>3909</v>
      </c>
      <c r="H74" s="989" t="s">
        <v>3994</v>
      </c>
      <c r="I74" s="989" t="s">
        <v>3995</v>
      </c>
      <c r="J74" s="987"/>
      <c r="K74" s="987"/>
      <c r="L74" s="987"/>
      <c r="M74" s="987"/>
      <c r="N74" s="987"/>
      <c r="O74" s="987"/>
      <c r="P74" s="987"/>
      <c r="Q74" s="987"/>
      <c r="R74" s="987"/>
      <c r="S74" s="987"/>
      <c r="T74" s="987"/>
      <c r="U74" s="987"/>
      <c r="V74" s="987"/>
      <c r="W74" s="987"/>
      <c r="X74" s="987"/>
      <c r="Y74" s="987"/>
      <c r="Z74" s="987"/>
      <c r="AA74" s="986"/>
    </row>
    <row r="75" hidden="1">
      <c r="A75" s="436" t="s">
        <v>50</v>
      </c>
      <c r="B75" s="988">
        <v>43969.0</v>
      </c>
      <c r="C75" s="989" t="s">
        <v>3996</v>
      </c>
      <c r="D75" s="434" t="s">
        <v>3885</v>
      </c>
      <c r="E75" s="434" t="s">
        <v>269</v>
      </c>
      <c r="F75" s="990">
        <v>1.6880227E7</v>
      </c>
      <c r="G75" s="434" t="s">
        <v>51</v>
      </c>
      <c r="H75" s="989" t="s">
        <v>3997</v>
      </c>
      <c r="I75" s="989" t="s">
        <v>3998</v>
      </c>
      <c r="J75" s="987"/>
      <c r="K75" s="987"/>
      <c r="L75" s="987"/>
      <c r="M75" s="987"/>
      <c r="N75" s="987"/>
      <c r="O75" s="987"/>
      <c r="P75" s="987"/>
      <c r="Q75" s="987"/>
      <c r="R75" s="987"/>
      <c r="S75" s="987"/>
      <c r="T75" s="987"/>
      <c r="U75" s="987"/>
      <c r="V75" s="987"/>
      <c r="W75" s="987"/>
      <c r="X75" s="987"/>
      <c r="Y75" s="987"/>
      <c r="Z75" s="987"/>
      <c r="AA75" s="986"/>
    </row>
    <row r="76" hidden="1">
      <c r="A76" s="436" t="s">
        <v>50</v>
      </c>
      <c r="B76" s="988">
        <v>43970.0</v>
      </c>
      <c r="C76" s="989" t="s">
        <v>3999</v>
      </c>
      <c r="D76" s="434" t="s">
        <v>3626</v>
      </c>
      <c r="E76" s="434" t="s">
        <v>4000</v>
      </c>
      <c r="F76" s="990">
        <v>1.8690017E7</v>
      </c>
      <c r="G76" s="434" t="s">
        <v>32</v>
      </c>
      <c r="H76" s="989" t="s">
        <v>4001</v>
      </c>
      <c r="I76" s="989" t="s">
        <v>4002</v>
      </c>
      <c r="J76" s="987"/>
      <c r="K76" s="987"/>
      <c r="L76" s="987"/>
      <c r="M76" s="987"/>
      <c r="N76" s="987"/>
      <c r="O76" s="987"/>
      <c r="P76" s="987"/>
      <c r="Q76" s="987"/>
      <c r="R76" s="987"/>
      <c r="S76" s="987"/>
      <c r="T76" s="987"/>
      <c r="U76" s="987"/>
      <c r="V76" s="987"/>
      <c r="W76" s="987"/>
      <c r="X76" s="987"/>
      <c r="Y76" s="987"/>
      <c r="Z76" s="987"/>
      <c r="AA76" s="986"/>
    </row>
    <row r="77" hidden="1">
      <c r="A77" s="436" t="s">
        <v>50</v>
      </c>
      <c r="B77" s="988">
        <v>43970.0</v>
      </c>
      <c r="C77" s="989" t="s">
        <v>3977</v>
      </c>
      <c r="D77" s="434" t="s">
        <v>2530</v>
      </c>
      <c r="E77" s="434" t="s">
        <v>3978</v>
      </c>
      <c r="F77" s="990">
        <v>1.8610453E7</v>
      </c>
      <c r="G77" s="992"/>
      <c r="H77" s="989" t="s">
        <v>4003</v>
      </c>
      <c r="I77" s="989" t="s">
        <v>4004</v>
      </c>
      <c r="J77" s="987"/>
      <c r="K77" s="987"/>
      <c r="L77" s="987"/>
      <c r="M77" s="987"/>
      <c r="N77" s="987"/>
      <c r="O77" s="987"/>
      <c r="P77" s="987"/>
      <c r="Q77" s="987"/>
      <c r="R77" s="987"/>
      <c r="S77" s="987"/>
      <c r="T77" s="987"/>
      <c r="U77" s="987"/>
      <c r="V77" s="987"/>
      <c r="W77" s="987"/>
      <c r="X77" s="987"/>
      <c r="Y77" s="987"/>
      <c r="Z77" s="987"/>
      <c r="AA77" s="986"/>
    </row>
    <row r="78" hidden="1">
      <c r="A78" s="436" t="s">
        <v>50</v>
      </c>
      <c r="B78" s="988">
        <v>43971.0</v>
      </c>
      <c r="C78" s="989" t="s">
        <v>3969</v>
      </c>
      <c r="D78" s="434" t="s">
        <v>30</v>
      </c>
      <c r="E78" s="989" t="s">
        <v>4005</v>
      </c>
      <c r="F78" s="434" t="s">
        <v>50</v>
      </c>
      <c r="G78" s="434" t="s">
        <v>3909</v>
      </c>
      <c r="H78" s="989" t="s">
        <v>4006</v>
      </c>
      <c r="I78" s="989" t="s">
        <v>4007</v>
      </c>
      <c r="J78" s="987"/>
      <c r="K78" s="987"/>
      <c r="L78" s="987"/>
      <c r="M78" s="987"/>
      <c r="N78" s="987"/>
      <c r="O78" s="987"/>
      <c r="P78" s="987"/>
      <c r="Q78" s="987"/>
      <c r="R78" s="987"/>
      <c r="S78" s="987"/>
      <c r="T78" s="987"/>
      <c r="U78" s="987"/>
      <c r="V78" s="987"/>
      <c r="W78" s="987"/>
      <c r="X78" s="987"/>
      <c r="Y78" s="987"/>
      <c r="Z78" s="987"/>
      <c r="AA78" s="986"/>
    </row>
    <row r="79" hidden="1">
      <c r="A79" s="436" t="s">
        <v>50</v>
      </c>
      <c r="B79" s="988">
        <v>43984.0</v>
      </c>
      <c r="C79" s="989" t="s">
        <v>4008</v>
      </c>
      <c r="D79" s="434" t="s">
        <v>596</v>
      </c>
      <c r="E79" s="434" t="s">
        <v>305</v>
      </c>
      <c r="F79" s="990">
        <v>1.4072284E7</v>
      </c>
      <c r="G79" s="434" t="s">
        <v>51</v>
      </c>
      <c r="H79" s="989" t="s">
        <v>4009</v>
      </c>
      <c r="I79" s="989" t="s">
        <v>4010</v>
      </c>
      <c r="J79" s="987"/>
      <c r="K79" s="987"/>
      <c r="L79" s="987"/>
      <c r="M79" s="987"/>
      <c r="N79" s="987"/>
      <c r="O79" s="987"/>
      <c r="P79" s="987"/>
      <c r="Q79" s="987"/>
      <c r="R79" s="987"/>
      <c r="S79" s="987"/>
      <c r="T79" s="987"/>
      <c r="U79" s="987"/>
      <c r="V79" s="987"/>
      <c r="W79" s="987"/>
      <c r="X79" s="987"/>
      <c r="Y79" s="987"/>
      <c r="Z79" s="987"/>
      <c r="AA79" s="986"/>
    </row>
    <row r="80" hidden="1">
      <c r="A80" s="436" t="s">
        <v>50</v>
      </c>
      <c r="B80" s="988">
        <v>43986.0</v>
      </c>
      <c r="C80" s="989" t="s">
        <v>4011</v>
      </c>
      <c r="D80" s="434" t="s">
        <v>506</v>
      </c>
      <c r="E80" s="434" t="s">
        <v>305</v>
      </c>
      <c r="F80" s="990">
        <v>1.7241234E7</v>
      </c>
      <c r="G80" s="434" t="s">
        <v>4012</v>
      </c>
      <c r="H80" s="989" t="s">
        <v>4013</v>
      </c>
      <c r="I80" s="989" t="s">
        <v>4014</v>
      </c>
      <c r="J80" s="987"/>
      <c r="K80" s="987"/>
      <c r="L80" s="987"/>
      <c r="M80" s="987"/>
      <c r="N80" s="987"/>
      <c r="O80" s="987"/>
      <c r="P80" s="987"/>
      <c r="Q80" s="987"/>
      <c r="R80" s="987"/>
      <c r="S80" s="987"/>
      <c r="T80" s="987"/>
      <c r="U80" s="987"/>
      <c r="V80" s="987"/>
      <c r="W80" s="987"/>
      <c r="X80" s="987"/>
      <c r="Y80" s="987"/>
      <c r="Z80" s="987"/>
      <c r="AA80" s="986"/>
    </row>
    <row r="81" hidden="1">
      <c r="A81" s="436" t="s">
        <v>50</v>
      </c>
      <c r="B81" s="988">
        <v>43991.0</v>
      </c>
      <c r="C81" s="989" t="s">
        <v>4015</v>
      </c>
      <c r="D81" s="434" t="s">
        <v>2804</v>
      </c>
      <c r="E81" s="434" t="s">
        <v>453</v>
      </c>
      <c r="F81" s="990">
        <v>1.511128E7</v>
      </c>
      <c r="G81" s="992"/>
      <c r="H81" s="989" t="s">
        <v>4016</v>
      </c>
      <c r="I81" s="989" t="s">
        <v>4017</v>
      </c>
      <c r="J81" s="987"/>
      <c r="K81" s="987"/>
      <c r="L81" s="987"/>
      <c r="M81" s="987"/>
      <c r="N81" s="987"/>
      <c r="O81" s="987"/>
      <c r="P81" s="987"/>
      <c r="Q81" s="987"/>
      <c r="R81" s="987"/>
      <c r="S81" s="987"/>
      <c r="T81" s="987"/>
      <c r="U81" s="987"/>
      <c r="V81" s="987"/>
      <c r="W81" s="987"/>
      <c r="X81" s="987"/>
      <c r="Y81" s="987"/>
      <c r="Z81" s="987"/>
      <c r="AA81" s="986"/>
    </row>
    <row r="82" hidden="1">
      <c r="A82" s="436" t="s">
        <v>50</v>
      </c>
      <c r="B82" s="988">
        <v>43993.0</v>
      </c>
      <c r="C82" s="989" t="s">
        <v>4018</v>
      </c>
      <c r="D82" s="434" t="s">
        <v>4019</v>
      </c>
      <c r="E82" s="434" t="s">
        <v>4020</v>
      </c>
      <c r="F82" s="990">
        <v>1.528009E7</v>
      </c>
      <c r="G82" s="434" t="s">
        <v>348</v>
      </c>
      <c r="H82" s="989" t="s">
        <v>4021</v>
      </c>
      <c r="I82" s="989" t="s">
        <v>4022</v>
      </c>
      <c r="J82" s="987"/>
      <c r="K82" s="987"/>
      <c r="L82" s="987"/>
      <c r="M82" s="987"/>
      <c r="N82" s="987"/>
      <c r="O82" s="987"/>
      <c r="P82" s="987"/>
      <c r="Q82" s="987"/>
      <c r="R82" s="987"/>
      <c r="S82" s="987"/>
      <c r="T82" s="987"/>
      <c r="U82" s="987"/>
      <c r="V82" s="987"/>
      <c r="W82" s="987"/>
      <c r="X82" s="987"/>
      <c r="Y82" s="987"/>
      <c r="Z82" s="987"/>
      <c r="AA82" s="986"/>
    </row>
    <row r="83" hidden="1">
      <c r="A83" s="436" t="s">
        <v>50</v>
      </c>
      <c r="B83" s="988">
        <v>43997.0</v>
      </c>
      <c r="C83" s="989" t="s">
        <v>4023</v>
      </c>
      <c r="D83" s="434" t="s">
        <v>499</v>
      </c>
      <c r="E83" s="434" t="s">
        <v>4024</v>
      </c>
      <c r="F83" s="990">
        <v>1.716011E7</v>
      </c>
      <c r="G83" s="434" t="s">
        <v>348</v>
      </c>
      <c r="H83" s="989" t="s">
        <v>4025</v>
      </c>
      <c r="I83" s="989" t="s">
        <v>4026</v>
      </c>
      <c r="J83" s="987"/>
      <c r="K83" s="987"/>
      <c r="L83" s="987"/>
      <c r="M83" s="987"/>
      <c r="N83" s="987"/>
      <c r="O83" s="987"/>
      <c r="P83" s="987"/>
      <c r="Q83" s="987"/>
      <c r="R83" s="987"/>
      <c r="S83" s="987"/>
      <c r="T83" s="987"/>
      <c r="U83" s="987"/>
      <c r="V83" s="987"/>
      <c r="W83" s="987"/>
      <c r="X83" s="987"/>
      <c r="Y83" s="987"/>
      <c r="Z83" s="987"/>
      <c r="AA83" s="986"/>
    </row>
    <row r="84" hidden="1">
      <c r="A84" s="436" t="s">
        <v>50</v>
      </c>
      <c r="B84" s="988">
        <v>44013.0</v>
      </c>
      <c r="C84" s="989" t="s">
        <v>4027</v>
      </c>
      <c r="D84" s="434" t="s">
        <v>4028</v>
      </c>
      <c r="E84" s="434" t="s">
        <v>305</v>
      </c>
      <c r="F84" s="990">
        <v>1.5191586E7</v>
      </c>
      <c r="G84" s="434" t="s">
        <v>348</v>
      </c>
      <c r="H84" s="989" t="s">
        <v>4029</v>
      </c>
      <c r="I84" s="989" t="s">
        <v>4030</v>
      </c>
      <c r="J84" s="987"/>
      <c r="K84" s="987"/>
      <c r="L84" s="987"/>
      <c r="M84" s="987"/>
      <c r="N84" s="987"/>
      <c r="O84" s="987"/>
      <c r="P84" s="987"/>
      <c r="Q84" s="987"/>
      <c r="R84" s="987"/>
      <c r="S84" s="987"/>
      <c r="T84" s="987"/>
      <c r="U84" s="987"/>
      <c r="V84" s="987"/>
      <c r="W84" s="987"/>
      <c r="X84" s="987"/>
      <c r="Y84" s="987"/>
      <c r="Z84" s="987"/>
      <c r="AA84" s="986"/>
    </row>
    <row r="85" hidden="1">
      <c r="A85" s="436" t="s">
        <v>50</v>
      </c>
      <c r="B85" s="988">
        <v>44014.0</v>
      </c>
      <c r="C85" s="989" t="s">
        <v>3990</v>
      </c>
      <c r="D85" s="434" t="s">
        <v>918</v>
      </c>
      <c r="E85" s="434" t="s">
        <v>3991</v>
      </c>
      <c r="F85" s="434" t="s">
        <v>50</v>
      </c>
      <c r="G85" s="434" t="s">
        <v>120</v>
      </c>
      <c r="H85" s="989" t="s">
        <v>4031</v>
      </c>
      <c r="I85" s="989" t="s">
        <v>4032</v>
      </c>
      <c r="J85" s="987"/>
      <c r="K85" s="987"/>
      <c r="L85" s="987"/>
      <c r="M85" s="987"/>
      <c r="N85" s="987"/>
      <c r="O85" s="987"/>
      <c r="P85" s="987"/>
      <c r="Q85" s="987"/>
      <c r="R85" s="987"/>
      <c r="S85" s="987"/>
      <c r="T85" s="987"/>
      <c r="U85" s="987"/>
      <c r="V85" s="987"/>
      <c r="W85" s="987"/>
      <c r="X85" s="987"/>
      <c r="Y85" s="987"/>
      <c r="Z85" s="987"/>
      <c r="AA85" s="986"/>
    </row>
    <row r="86" hidden="1">
      <c r="A86" s="436" t="s">
        <v>50</v>
      </c>
      <c r="B86" s="988">
        <v>44014.0</v>
      </c>
      <c r="C86" s="989" t="s">
        <v>3990</v>
      </c>
      <c r="D86" s="434" t="s">
        <v>918</v>
      </c>
      <c r="E86" s="434" t="s">
        <v>3991</v>
      </c>
      <c r="F86" s="434" t="s">
        <v>50</v>
      </c>
      <c r="G86" s="434" t="s">
        <v>120</v>
      </c>
      <c r="H86" s="989" t="s">
        <v>4031</v>
      </c>
      <c r="I86" s="989" t="s">
        <v>4032</v>
      </c>
      <c r="J86" s="987"/>
      <c r="K86" s="987"/>
      <c r="L86" s="987"/>
      <c r="M86" s="987"/>
      <c r="N86" s="987"/>
      <c r="O86" s="987"/>
      <c r="P86" s="987"/>
      <c r="Q86" s="987"/>
      <c r="R86" s="987"/>
      <c r="S86" s="987"/>
      <c r="T86" s="987"/>
      <c r="U86" s="987"/>
      <c r="V86" s="987"/>
      <c r="W86" s="987"/>
      <c r="X86" s="987"/>
      <c r="Y86" s="987"/>
      <c r="Z86" s="987"/>
      <c r="AA86" s="986"/>
    </row>
    <row r="87" hidden="1">
      <c r="A87" s="436" t="s">
        <v>50</v>
      </c>
      <c r="B87" s="988">
        <v>44019.0</v>
      </c>
      <c r="C87" s="989" t="s">
        <v>4033</v>
      </c>
      <c r="D87" s="434" t="s">
        <v>4034</v>
      </c>
      <c r="E87" s="434" t="s">
        <v>4035</v>
      </c>
      <c r="F87" s="434" t="s">
        <v>50</v>
      </c>
      <c r="G87" s="434" t="s">
        <v>120</v>
      </c>
      <c r="H87" s="989" t="s">
        <v>4036</v>
      </c>
      <c r="I87" s="989" t="s">
        <v>4037</v>
      </c>
      <c r="J87" s="987"/>
      <c r="K87" s="987"/>
      <c r="L87" s="987"/>
      <c r="M87" s="987"/>
      <c r="N87" s="987"/>
      <c r="O87" s="987"/>
      <c r="P87" s="987"/>
      <c r="Q87" s="987"/>
      <c r="R87" s="987"/>
      <c r="S87" s="987"/>
      <c r="T87" s="987"/>
      <c r="U87" s="987"/>
      <c r="V87" s="987"/>
      <c r="W87" s="987"/>
      <c r="X87" s="987"/>
      <c r="Y87" s="987"/>
      <c r="Z87" s="987"/>
      <c r="AA87" s="986"/>
    </row>
    <row r="88" hidden="1">
      <c r="A88" s="436" t="s">
        <v>50</v>
      </c>
      <c r="B88" s="988">
        <v>44026.0</v>
      </c>
      <c r="C88" s="989" t="s">
        <v>4038</v>
      </c>
      <c r="D88" s="434" t="s">
        <v>885</v>
      </c>
      <c r="E88" s="434" t="s">
        <v>305</v>
      </c>
      <c r="F88" s="434" t="s">
        <v>50</v>
      </c>
      <c r="G88" s="434" t="s">
        <v>120</v>
      </c>
      <c r="H88" s="989" t="s">
        <v>4039</v>
      </c>
      <c r="I88" s="989" t="s">
        <v>4040</v>
      </c>
      <c r="J88" s="987"/>
      <c r="K88" s="987"/>
      <c r="L88" s="987"/>
      <c r="M88" s="987"/>
      <c r="N88" s="987"/>
      <c r="O88" s="987"/>
      <c r="P88" s="987"/>
      <c r="Q88" s="987"/>
      <c r="R88" s="987"/>
      <c r="S88" s="987"/>
      <c r="T88" s="987"/>
      <c r="U88" s="987"/>
      <c r="V88" s="987"/>
      <c r="W88" s="987"/>
      <c r="X88" s="987"/>
      <c r="Y88" s="987"/>
      <c r="Z88" s="987"/>
      <c r="AA88" s="986"/>
    </row>
    <row r="89" hidden="1">
      <c r="A89" s="436" t="s">
        <v>50</v>
      </c>
      <c r="B89" s="988">
        <v>44026.0</v>
      </c>
      <c r="C89" s="989" t="s">
        <v>4041</v>
      </c>
      <c r="D89" s="434" t="s">
        <v>315</v>
      </c>
      <c r="E89" s="434" t="s">
        <v>3970</v>
      </c>
      <c r="F89" s="434" t="s">
        <v>3932</v>
      </c>
      <c r="G89" s="434" t="s">
        <v>103</v>
      </c>
      <c r="H89" s="989" t="s">
        <v>379</v>
      </c>
      <c r="I89" s="989" t="s">
        <v>4042</v>
      </c>
      <c r="J89" s="987"/>
      <c r="K89" s="987"/>
      <c r="L89" s="987"/>
      <c r="M89" s="987"/>
      <c r="N89" s="987"/>
      <c r="O89" s="987"/>
      <c r="P89" s="987"/>
      <c r="Q89" s="987"/>
      <c r="R89" s="987"/>
      <c r="S89" s="987"/>
      <c r="T89" s="987"/>
      <c r="U89" s="987"/>
      <c r="V89" s="987"/>
      <c r="W89" s="987"/>
      <c r="X89" s="987"/>
      <c r="Y89" s="987"/>
      <c r="Z89" s="987"/>
      <c r="AA89" s="986"/>
    </row>
    <row r="90" hidden="1">
      <c r="A90" s="436" t="s">
        <v>50</v>
      </c>
      <c r="B90" s="988">
        <v>44027.0</v>
      </c>
      <c r="C90" s="989" t="s">
        <v>4011</v>
      </c>
      <c r="D90" s="434" t="s">
        <v>506</v>
      </c>
      <c r="E90" s="434" t="s">
        <v>50</v>
      </c>
      <c r="F90" s="990">
        <v>1.724134E7</v>
      </c>
      <c r="G90" s="434" t="s">
        <v>4012</v>
      </c>
      <c r="H90" s="989" t="s">
        <v>4043</v>
      </c>
      <c r="I90" s="989" t="s">
        <v>4044</v>
      </c>
      <c r="J90" s="987"/>
      <c r="K90" s="987"/>
      <c r="L90" s="987"/>
      <c r="M90" s="987"/>
      <c r="N90" s="987"/>
      <c r="O90" s="987"/>
      <c r="P90" s="987"/>
      <c r="Q90" s="987"/>
      <c r="R90" s="987"/>
      <c r="S90" s="987"/>
      <c r="T90" s="987"/>
      <c r="U90" s="987"/>
      <c r="V90" s="987"/>
      <c r="W90" s="987"/>
      <c r="X90" s="987"/>
      <c r="Y90" s="987"/>
      <c r="Z90" s="987"/>
      <c r="AA90" s="986"/>
    </row>
    <row r="91" hidden="1">
      <c r="A91" s="436" t="s">
        <v>50</v>
      </c>
      <c r="B91" s="988">
        <v>44027.0</v>
      </c>
      <c r="C91" s="989" t="s">
        <v>4011</v>
      </c>
      <c r="D91" s="434" t="s">
        <v>506</v>
      </c>
      <c r="E91" s="434" t="s">
        <v>50</v>
      </c>
      <c r="F91" s="990">
        <v>1.7241344E7</v>
      </c>
      <c r="G91" s="434" t="s">
        <v>4012</v>
      </c>
      <c r="H91" s="989" t="s">
        <v>4045</v>
      </c>
      <c r="I91" s="989" t="s">
        <v>4046</v>
      </c>
      <c r="J91" s="987"/>
      <c r="K91" s="987"/>
      <c r="L91" s="987"/>
      <c r="M91" s="987"/>
      <c r="N91" s="987"/>
      <c r="O91" s="987"/>
      <c r="P91" s="987"/>
      <c r="Q91" s="987"/>
      <c r="R91" s="987"/>
      <c r="S91" s="987"/>
      <c r="T91" s="987"/>
      <c r="U91" s="987"/>
      <c r="V91" s="987"/>
      <c r="W91" s="987"/>
      <c r="X91" s="987"/>
      <c r="Y91" s="987"/>
      <c r="Z91" s="987"/>
      <c r="AA91" s="986"/>
    </row>
    <row r="92" hidden="1">
      <c r="A92" s="436" t="s">
        <v>50</v>
      </c>
      <c r="B92" s="988">
        <v>44027.0</v>
      </c>
      <c r="C92" s="989" t="s">
        <v>4011</v>
      </c>
      <c r="D92" s="434" t="s">
        <v>506</v>
      </c>
      <c r="E92" s="434" t="s">
        <v>50</v>
      </c>
      <c r="F92" s="990">
        <v>1.7241345E7</v>
      </c>
      <c r="G92" s="434" t="s">
        <v>4012</v>
      </c>
      <c r="H92" s="989" t="s">
        <v>4045</v>
      </c>
      <c r="I92" s="989" t="s">
        <v>4046</v>
      </c>
      <c r="J92" s="987"/>
      <c r="K92" s="987"/>
      <c r="L92" s="987"/>
      <c r="M92" s="987"/>
      <c r="N92" s="987"/>
      <c r="O92" s="987"/>
      <c r="P92" s="987"/>
      <c r="Q92" s="987"/>
      <c r="R92" s="987"/>
      <c r="S92" s="987"/>
      <c r="T92" s="987"/>
      <c r="U92" s="987"/>
      <c r="V92" s="987"/>
      <c r="W92" s="987"/>
      <c r="X92" s="987"/>
      <c r="Y92" s="987"/>
      <c r="Z92" s="987"/>
      <c r="AA92" s="986"/>
    </row>
    <row r="93" hidden="1">
      <c r="A93" s="436" t="s">
        <v>50</v>
      </c>
      <c r="B93" s="988">
        <v>44027.0</v>
      </c>
      <c r="C93" s="989" t="s">
        <v>3966</v>
      </c>
      <c r="D93" s="434" t="s">
        <v>411</v>
      </c>
      <c r="E93" s="434" t="s">
        <v>3802</v>
      </c>
      <c r="F93" s="434" t="s">
        <v>50</v>
      </c>
      <c r="G93" s="434" t="s">
        <v>103</v>
      </c>
      <c r="H93" s="989" t="s">
        <v>4047</v>
      </c>
      <c r="I93" s="989" t="s">
        <v>4048</v>
      </c>
      <c r="J93" s="987"/>
      <c r="K93" s="987"/>
      <c r="L93" s="987"/>
      <c r="M93" s="987"/>
      <c r="N93" s="987"/>
      <c r="O93" s="987"/>
      <c r="P93" s="987"/>
      <c r="Q93" s="987"/>
      <c r="R93" s="987"/>
      <c r="S93" s="987"/>
      <c r="T93" s="987"/>
      <c r="U93" s="987"/>
      <c r="V93" s="987"/>
      <c r="W93" s="987"/>
      <c r="X93" s="987"/>
      <c r="Y93" s="987"/>
      <c r="Z93" s="987"/>
      <c r="AA93" s="986"/>
    </row>
    <row r="94" hidden="1">
      <c r="A94" s="436" t="s">
        <v>50</v>
      </c>
      <c r="B94" s="988">
        <v>44027.0</v>
      </c>
      <c r="C94" s="989" t="s">
        <v>4049</v>
      </c>
      <c r="D94" s="434" t="s">
        <v>4050</v>
      </c>
      <c r="E94" s="434" t="s">
        <v>50</v>
      </c>
      <c r="F94" s="434" t="s">
        <v>50</v>
      </c>
      <c r="G94" s="434" t="s">
        <v>200</v>
      </c>
      <c r="H94" s="989" t="s">
        <v>4051</v>
      </c>
      <c r="I94" s="989" t="s">
        <v>4052</v>
      </c>
      <c r="J94" s="987"/>
      <c r="K94" s="987"/>
      <c r="L94" s="987"/>
      <c r="M94" s="987"/>
      <c r="N94" s="987"/>
      <c r="O94" s="987"/>
      <c r="P94" s="987"/>
      <c r="Q94" s="987"/>
      <c r="R94" s="987"/>
      <c r="S94" s="987"/>
      <c r="T94" s="987"/>
      <c r="U94" s="987"/>
      <c r="V94" s="987"/>
      <c r="W94" s="987"/>
      <c r="X94" s="987"/>
      <c r="Y94" s="987"/>
      <c r="Z94" s="987"/>
      <c r="AA94" s="986"/>
    </row>
    <row r="95" hidden="1">
      <c r="A95" s="436" t="s">
        <v>50</v>
      </c>
      <c r="B95" s="988">
        <v>44028.0</v>
      </c>
      <c r="C95" s="989" t="s">
        <v>4053</v>
      </c>
      <c r="D95" s="434" t="s">
        <v>857</v>
      </c>
      <c r="E95" s="434" t="s">
        <v>305</v>
      </c>
      <c r="F95" s="434" t="s">
        <v>50</v>
      </c>
      <c r="G95" s="434" t="s">
        <v>103</v>
      </c>
      <c r="H95" s="989" t="s">
        <v>4054</v>
      </c>
      <c r="I95" s="989" t="s">
        <v>4055</v>
      </c>
      <c r="J95" s="987"/>
      <c r="K95" s="987"/>
      <c r="L95" s="987"/>
      <c r="M95" s="987"/>
      <c r="N95" s="987"/>
      <c r="O95" s="987"/>
      <c r="P95" s="987"/>
      <c r="Q95" s="987"/>
      <c r="R95" s="987"/>
      <c r="S95" s="987"/>
      <c r="T95" s="987"/>
      <c r="U95" s="987"/>
      <c r="V95" s="987"/>
      <c r="W95" s="987"/>
      <c r="X95" s="987"/>
      <c r="Y95" s="987"/>
      <c r="Z95" s="987"/>
      <c r="AA95" s="986"/>
    </row>
    <row r="96" hidden="1">
      <c r="A96" s="436" t="s">
        <v>50</v>
      </c>
      <c r="B96" s="988">
        <v>44028.0</v>
      </c>
      <c r="C96" s="989" t="s">
        <v>4056</v>
      </c>
      <c r="D96" s="434" t="s">
        <v>367</v>
      </c>
      <c r="E96" s="434" t="s">
        <v>305</v>
      </c>
      <c r="F96" s="434" t="s">
        <v>50</v>
      </c>
      <c r="G96" s="434" t="s">
        <v>120</v>
      </c>
      <c r="H96" s="989" t="s">
        <v>4057</v>
      </c>
      <c r="I96" s="989" t="s">
        <v>4058</v>
      </c>
      <c r="J96" s="987"/>
      <c r="K96" s="987"/>
      <c r="L96" s="987"/>
      <c r="M96" s="987"/>
      <c r="N96" s="987"/>
      <c r="O96" s="987"/>
      <c r="P96" s="987"/>
      <c r="Q96" s="987"/>
      <c r="R96" s="987"/>
      <c r="S96" s="987"/>
      <c r="T96" s="987"/>
      <c r="U96" s="987"/>
      <c r="V96" s="987"/>
      <c r="W96" s="987"/>
      <c r="X96" s="987"/>
      <c r="Y96" s="987"/>
      <c r="Z96" s="987"/>
      <c r="AA96" s="986"/>
    </row>
    <row r="97" hidden="1">
      <c r="A97" s="436" t="s">
        <v>50</v>
      </c>
      <c r="B97" s="988">
        <v>44028.0</v>
      </c>
      <c r="C97" s="989" t="s">
        <v>4011</v>
      </c>
      <c r="D97" s="434" t="s">
        <v>506</v>
      </c>
      <c r="E97" s="434" t="s">
        <v>50</v>
      </c>
      <c r="F97" s="990">
        <v>1.7241348E7</v>
      </c>
      <c r="G97" s="434" t="s">
        <v>4012</v>
      </c>
      <c r="H97" s="989" t="s">
        <v>4059</v>
      </c>
      <c r="I97" s="989" t="s">
        <v>4046</v>
      </c>
      <c r="J97" s="987"/>
      <c r="K97" s="987"/>
      <c r="L97" s="987"/>
      <c r="M97" s="987"/>
      <c r="N97" s="987"/>
      <c r="O97" s="987"/>
      <c r="P97" s="987"/>
      <c r="Q97" s="987"/>
      <c r="R97" s="987"/>
      <c r="S97" s="987"/>
      <c r="T97" s="987"/>
      <c r="U97" s="987"/>
      <c r="V97" s="987"/>
      <c r="W97" s="987"/>
      <c r="X97" s="987"/>
      <c r="Y97" s="987"/>
      <c r="Z97" s="987"/>
      <c r="AA97" s="986"/>
    </row>
    <row r="98" hidden="1">
      <c r="A98" s="436" t="s">
        <v>50</v>
      </c>
      <c r="B98" s="988">
        <v>44028.0</v>
      </c>
      <c r="C98" s="989" t="s">
        <v>4060</v>
      </c>
      <c r="D98" s="434" t="s">
        <v>530</v>
      </c>
      <c r="E98" s="434" t="s">
        <v>4061</v>
      </c>
      <c r="F98" s="434" t="s">
        <v>50</v>
      </c>
      <c r="G98" s="434" t="s">
        <v>51</v>
      </c>
      <c r="H98" s="989" t="s">
        <v>4062</v>
      </c>
      <c r="I98" s="989" t="s">
        <v>4063</v>
      </c>
      <c r="J98" s="987"/>
      <c r="K98" s="987"/>
      <c r="L98" s="987"/>
      <c r="M98" s="987"/>
      <c r="N98" s="987"/>
      <c r="O98" s="987"/>
      <c r="P98" s="987"/>
      <c r="Q98" s="987"/>
      <c r="R98" s="987"/>
      <c r="S98" s="987"/>
      <c r="T98" s="987"/>
      <c r="U98" s="987"/>
      <c r="V98" s="987"/>
      <c r="W98" s="987"/>
      <c r="X98" s="987"/>
      <c r="Y98" s="987"/>
      <c r="Z98" s="987"/>
      <c r="AA98" s="986"/>
    </row>
    <row r="99" hidden="1">
      <c r="A99" s="436" t="s">
        <v>50</v>
      </c>
      <c r="B99" s="988">
        <v>44028.0</v>
      </c>
      <c r="C99" s="989" t="s">
        <v>4060</v>
      </c>
      <c r="D99" s="434" t="s">
        <v>530</v>
      </c>
      <c r="E99" s="434" t="s">
        <v>4061</v>
      </c>
      <c r="F99" s="434" t="s">
        <v>50</v>
      </c>
      <c r="G99" s="434" t="s">
        <v>51</v>
      </c>
      <c r="H99" s="989" t="s">
        <v>4062</v>
      </c>
      <c r="I99" s="989" t="s">
        <v>4064</v>
      </c>
      <c r="J99" s="987"/>
      <c r="K99" s="987"/>
      <c r="L99" s="987"/>
      <c r="M99" s="987"/>
      <c r="N99" s="987"/>
      <c r="O99" s="987"/>
      <c r="P99" s="987"/>
      <c r="Q99" s="987"/>
      <c r="R99" s="987"/>
      <c r="S99" s="987"/>
      <c r="T99" s="987"/>
      <c r="U99" s="987"/>
      <c r="V99" s="987"/>
      <c r="W99" s="987"/>
      <c r="X99" s="987"/>
      <c r="Y99" s="987"/>
      <c r="Z99" s="987"/>
      <c r="AA99" s="986"/>
    </row>
    <row r="100" hidden="1">
      <c r="A100" s="436" t="s">
        <v>50</v>
      </c>
      <c r="B100" s="988">
        <v>44028.0</v>
      </c>
      <c r="C100" s="989" t="s">
        <v>4060</v>
      </c>
      <c r="D100" s="434" t="s">
        <v>530</v>
      </c>
      <c r="E100" s="434" t="s">
        <v>4061</v>
      </c>
      <c r="F100" s="434" t="s">
        <v>50</v>
      </c>
      <c r="G100" s="434" t="s">
        <v>51</v>
      </c>
      <c r="H100" s="989" t="s">
        <v>4062</v>
      </c>
      <c r="I100" s="989" t="s">
        <v>4064</v>
      </c>
      <c r="J100" s="987"/>
      <c r="K100" s="987"/>
      <c r="L100" s="987"/>
      <c r="M100" s="987"/>
      <c r="N100" s="987"/>
      <c r="O100" s="987"/>
      <c r="P100" s="987"/>
      <c r="Q100" s="987"/>
      <c r="R100" s="987"/>
      <c r="S100" s="987"/>
      <c r="T100" s="987"/>
      <c r="U100" s="987"/>
      <c r="V100" s="987"/>
      <c r="W100" s="987"/>
      <c r="X100" s="987"/>
      <c r="Y100" s="987"/>
      <c r="Z100" s="987"/>
      <c r="AA100" s="986"/>
    </row>
    <row r="101" hidden="1">
      <c r="A101" s="436" t="s">
        <v>50</v>
      </c>
      <c r="B101" s="988">
        <v>44028.0</v>
      </c>
      <c r="C101" s="989" t="s">
        <v>4060</v>
      </c>
      <c r="D101" s="434" t="s">
        <v>530</v>
      </c>
      <c r="E101" s="434" t="s">
        <v>4061</v>
      </c>
      <c r="F101" s="434" t="s">
        <v>50</v>
      </c>
      <c r="G101" s="434" t="s">
        <v>51</v>
      </c>
      <c r="H101" s="989" t="s">
        <v>4062</v>
      </c>
      <c r="I101" s="989" t="s">
        <v>4064</v>
      </c>
      <c r="J101" s="987"/>
      <c r="K101" s="987"/>
      <c r="L101" s="987"/>
      <c r="M101" s="987"/>
      <c r="N101" s="987"/>
      <c r="O101" s="987"/>
      <c r="P101" s="987"/>
      <c r="Q101" s="987"/>
      <c r="R101" s="987"/>
      <c r="S101" s="987"/>
      <c r="T101" s="987"/>
      <c r="U101" s="987"/>
      <c r="V101" s="987"/>
      <c r="W101" s="987"/>
      <c r="X101" s="987"/>
      <c r="Y101" s="987"/>
      <c r="Z101" s="987"/>
      <c r="AA101" s="986"/>
    </row>
    <row r="102" hidden="1">
      <c r="A102" s="436" t="s">
        <v>50</v>
      </c>
      <c r="B102" s="988">
        <v>44033.0</v>
      </c>
      <c r="C102" s="989" t="s">
        <v>4065</v>
      </c>
      <c r="D102" s="434" t="s">
        <v>530</v>
      </c>
      <c r="E102" s="434" t="s">
        <v>4061</v>
      </c>
      <c r="F102" s="434" t="s">
        <v>3932</v>
      </c>
      <c r="G102" s="434" t="s">
        <v>51</v>
      </c>
      <c r="H102" s="989" t="s">
        <v>4062</v>
      </c>
      <c r="I102" s="989" t="s">
        <v>4066</v>
      </c>
      <c r="J102" s="987"/>
      <c r="K102" s="987"/>
      <c r="L102" s="987"/>
      <c r="M102" s="987"/>
      <c r="N102" s="987"/>
      <c r="O102" s="987"/>
      <c r="P102" s="987"/>
      <c r="Q102" s="987"/>
      <c r="R102" s="987"/>
      <c r="S102" s="987"/>
      <c r="T102" s="987"/>
      <c r="U102" s="987"/>
      <c r="V102" s="987"/>
      <c r="W102" s="987"/>
      <c r="X102" s="987"/>
      <c r="Y102" s="987"/>
      <c r="Z102" s="987"/>
      <c r="AA102" s="986"/>
    </row>
    <row r="103" hidden="1">
      <c r="A103" s="436" t="s">
        <v>50</v>
      </c>
      <c r="B103" s="988">
        <v>44033.0</v>
      </c>
      <c r="C103" s="989" t="s">
        <v>4065</v>
      </c>
      <c r="D103" s="434" t="s">
        <v>530</v>
      </c>
      <c r="E103" s="434" t="s">
        <v>4061</v>
      </c>
      <c r="F103" s="434" t="s">
        <v>4067</v>
      </c>
      <c r="G103" s="434" t="s">
        <v>51</v>
      </c>
      <c r="H103" s="989" t="s">
        <v>4062</v>
      </c>
      <c r="I103" s="989" t="s">
        <v>4066</v>
      </c>
      <c r="J103" s="987"/>
      <c r="K103" s="987"/>
      <c r="L103" s="987"/>
      <c r="M103" s="987"/>
      <c r="N103" s="987"/>
      <c r="O103" s="987"/>
      <c r="P103" s="987"/>
      <c r="Q103" s="987"/>
      <c r="R103" s="987"/>
      <c r="S103" s="987"/>
      <c r="T103" s="987"/>
      <c r="U103" s="987"/>
      <c r="V103" s="987"/>
      <c r="W103" s="987"/>
      <c r="X103" s="987"/>
      <c r="Y103" s="987"/>
      <c r="Z103" s="987"/>
      <c r="AA103" s="986"/>
    </row>
    <row r="104" hidden="1">
      <c r="A104" s="436" t="s">
        <v>50</v>
      </c>
      <c r="B104" s="988">
        <v>44033.0</v>
      </c>
      <c r="C104" s="989" t="s">
        <v>4065</v>
      </c>
      <c r="D104" s="434" t="s">
        <v>530</v>
      </c>
      <c r="E104" s="434" t="s">
        <v>4061</v>
      </c>
      <c r="F104" s="434" t="s">
        <v>4068</v>
      </c>
      <c r="G104" s="434" t="s">
        <v>51</v>
      </c>
      <c r="H104" s="989" t="s">
        <v>4062</v>
      </c>
      <c r="I104" s="989" t="s">
        <v>4069</v>
      </c>
      <c r="J104" s="987"/>
      <c r="K104" s="987"/>
      <c r="L104" s="987"/>
      <c r="M104" s="987"/>
      <c r="N104" s="987"/>
      <c r="O104" s="987"/>
      <c r="P104" s="987"/>
      <c r="Q104" s="987"/>
      <c r="R104" s="987"/>
      <c r="S104" s="987"/>
      <c r="T104" s="987"/>
      <c r="U104" s="987"/>
      <c r="V104" s="987"/>
      <c r="W104" s="987"/>
      <c r="X104" s="987"/>
      <c r="Y104" s="987"/>
      <c r="Z104" s="987"/>
      <c r="AA104" s="986"/>
    </row>
    <row r="105" hidden="1">
      <c r="A105" s="436" t="s">
        <v>50</v>
      </c>
      <c r="B105" s="988">
        <v>44033.0</v>
      </c>
      <c r="C105" s="989" t="s">
        <v>4065</v>
      </c>
      <c r="D105" s="434" t="s">
        <v>530</v>
      </c>
      <c r="E105" s="434" t="s">
        <v>4061</v>
      </c>
      <c r="F105" s="434" t="s">
        <v>4070</v>
      </c>
      <c r="G105" s="434" t="s">
        <v>51</v>
      </c>
      <c r="H105" s="989" t="s">
        <v>4062</v>
      </c>
      <c r="I105" s="989" t="s">
        <v>4069</v>
      </c>
      <c r="J105" s="987"/>
      <c r="K105" s="987"/>
      <c r="L105" s="987"/>
      <c r="M105" s="987"/>
      <c r="N105" s="987"/>
      <c r="O105" s="987"/>
      <c r="P105" s="987"/>
      <c r="Q105" s="987"/>
      <c r="R105" s="987"/>
      <c r="S105" s="987"/>
      <c r="T105" s="987"/>
      <c r="U105" s="987"/>
      <c r="V105" s="987"/>
      <c r="W105" s="987"/>
      <c r="X105" s="987"/>
      <c r="Y105" s="987"/>
      <c r="Z105" s="987"/>
      <c r="AA105" s="986"/>
    </row>
    <row r="106" hidden="1">
      <c r="A106" s="436" t="s">
        <v>50</v>
      </c>
      <c r="B106" s="988">
        <v>44039.0</v>
      </c>
      <c r="C106" s="989" t="s">
        <v>4071</v>
      </c>
      <c r="D106" s="434" t="s">
        <v>506</v>
      </c>
      <c r="E106" s="434" t="s">
        <v>4072</v>
      </c>
      <c r="F106" s="990">
        <v>1.7241452E7</v>
      </c>
      <c r="G106" s="434" t="s">
        <v>4012</v>
      </c>
      <c r="H106" s="989" t="s">
        <v>4073</v>
      </c>
      <c r="I106" s="989" t="s">
        <v>4074</v>
      </c>
      <c r="J106" s="987"/>
      <c r="K106" s="987"/>
      <c r="L106" s="987"/>
      <c r="M106" s="987"/>
      <c r="N106" s="987"/>
      <c r="O106" s="987"/>
      <c r="P106" s="987"/>
      <c r="Q106" s="987"/>
      <c r="R106" s="987"/>
      <c r="S106" s="987"/>
      <c r="T106" s="987"/>
      <c r="U106" s="987"/>
      <c r="V106" s="987"/>
      <c r="W106" s="987"/>
      <c r="X106" s="987"/>
      <c r="Y106" s="987"/>
      <c r="Z106" s="987"/>
      <c r="AA106" s="986"/>
    </row>
    <row r="107" hidden="1">
      <c r="A107" s="436" t="s">
        <v>50</v>
      </c>
      <c r="B107" s="988">
        <v>44042.0</v>
      </c>
      <c r="C107" s="989" t="s">
        <v>4075</v>
      </c>
      <c r="D107" s="434" t="s">
        <v>4076</v>
      </c>
      <c r="E107" s="434" t="s">
        <v>4077</v>
      </c>
      <c r="F107" s="990">
        <v>1.7260913E7</v>
      </c>
      <c r="G107" s="434" t="s">
        <v>3857</v>
      </c>
      <c r="H107" s="989" t="s">
        <v>4078</v>
      </c>
      <c r="I107" s="989" t="s">
        <v>4079</v>
      </c>
      <c r="J107" s="987"/>
      <c r="K107" s="987"/>
      <c r="L107" s="987"/>
      <c r="M107" s="987"/>
      <c r="N107" s="987"/>
      <c r="O107" s="987"/>
      <c r="P107" s="987"/>
      <c r="Q107" s="987"/>
      <c r="R107" s="987"/>
      <c r="S107" s="987"/>
      <c r="T107" s="987"/>
      <c r="U107" s="987"/>
      <c r="V107" s="987"/>
      <c r="W107" s="987"/>
      <c r="X107" s="987"/>
      <c r="Y107" s="987"/>
      <c r="Z107" s="987"/>
      <c r="AA107" s="986"/>
    </row>
    <row r="108" hidden="1">
      <c r="A108" s="436" t="s">
        <v>50</v>
      </c>
      <c r="B108" s="988">
        <v>44042.0</v>
      </c>
      <c r="C108" s="989" t="s">
        <v>4080</v>
      </c>
      <c r="D108" s="434" t="s">
        <v>3326</v>
      </c>
      <c r="E108" s="434" t="s">
        <v>305</v>
      </c>
      <c r="F108" s="434" t="s">
        <v>50</v>
      </c>
      <c r="G108" s="434" t="s">
        <v>51</v>
      </c>
      <c r="H108" s="989" t="s">
        <v>4081</v>
      </c>
      <c r="I108" s="989" t="s">
        <v>4082</v>
      </c>
      <c r="J108" s="987"/>
      <c r="K108" s="987"/>
      <c r="L108" s="987"/>
      <c r="M108" s="987"/>
      <c r="N108" s="987"/>
      <c r="O108" s="987"/>
      <c r="P108" s="987"/>
      <c r="Q108" s="987"/>
      <c r="R108" s="987"/>
      <c r="S108" s="987"/>
      <c r="T108" s="987"/>
      <c r="U108" s="987"/>
      <c r="V108" s="987"/>
      <c r="W108" s="987"/>
      <c r="X108" s="987"/>
      <c r="Y108" s="987"/>
      <c r="Z108" s="987"/>
      <c r="AA108" s="986"/>
    </row>
    <row r="109" hidden="1">
      <c r="A109" s="436" t="s">
        <v>50</v>
      </c>
      <c r="B109" s="988">
        <v>44042.0</v>
      </c>
      <c r="C109" s="989" t="s">
        <v>4083</v>
      </c>
      <c r="D109" s="434" t="s">
        <v>2964</v>
      </c>
      <c r="E109" s="434" t="s">
        <v>1432</v>
      </c>
      <c r="F109" s="434" t="s">
        <v>50</v>
      </c>
      <c r="G109" s="434" t="s">
        <v>200</v>
      </c>
      <c r="H109" s="989" t="s">
        <v>4084</v>
      </c>
      <c r="I109" s="989" t="s">
        <v>4085</v>
      </c>
      <c r="J109" s="987"/>
      <c r="K109" s="987"/>
      <c r="L109" s="987"/>
      <c r="M109" s="987"/>
      <c r="N109" s="987"/>
      <c r="O109" s="987"/>
      <c r="P109" s="987"/>
      <c r="Q109" s="987"/>
      <c r="R109" s="987"/>
      <c r="S109" s="987"/>
      <c r="T109" s="987"/>
      <c r="U109" s="987"/>
      <c r="V109" s="987"/>
      <c r="W109" s="987"/>
      <c r="X109" s="987"/>
      <c r="Y109" s="987"/>
      <c r="Z109" s="987"/>
      <c r="AA109" s="986"/>
    </row>
    <row r="110" hidden="1">
      <c r="A110" s="436" t="s">
        <v>50</v>
      </c>
      <c r="B110" s="988">
        <v>44046.0</v>
      </c>
      <c r="C110" s="989" t="s">
        <v>4086</v>
      </c>
      <c r="D110" s="434" t="s">
        <v>1394</v>
      </c>
      <c r="E110" s="434" t="s">
        <v>4087</v>
      </c>
      <c r="F110" s="434" t="s">
        <v>50</v>
      </c>
      <c r="G110" s="434" t="s">
        <v>112</v>
      </c>
      <c r="H110" s="989" t="s">
        <v>4088</v>
      </c>
      <c r="I110" s="989" t="s">
        <v>4089</v>
      </c>
      <c r="J110" s="987"/>
      <c r="K110" s="987"/>
      <c r="L110" s="987"/>
      <c r="M110" s="987"/>
      <c r="N110" s="987"/>
      <c r="O110" s="987"/>
      <c r="P110" s="987"/>
      <c r="Q110" s="987"/>
      <c r="R110" s="987"/>
      <c r="S110" s="987"/>
      <c r="T110" s="987"/>
      <c r="U110" s="987"/>
      <c r="V110" s="987"/>
      <c r="W110" s="987"/>
      <c r="X110" s="987"/>
      <c r="Y110" s="987"/>
      <c r="Z110" s="987"/>
      <c r="AA110" s="986"/>
    </row>
    <row r="111" hidden="1">
      <c r="A111" s="436" t="s">
        <v>50</v>
      </c>
      <c r="B111" s="988">
        <v>44047.0</v>
      </c>
      <c r="C111" s="989" t="s">
        <v>4090</v>
      </c>
      <c r="D111" s="434" t="s">
        <v>1411</v>
      </c>
      <c r="E111" s="434" t="s">
        <v>305</v>
      </c>
      <c r="F111" s="434" t="s">
        <v>50</v>
      </c>
      <c r="G111" s="434" t="s">
        <v>120</v>
      </c>
      <c r="H111" s="989" t="s">
        <v>4091</v>
      </c>
      <c r="I111" s="989" t="s">
        <v>4092</v>
      </c>
      <c r="J111" s="987"/>
      <c r="K111" s="987"/>
      <c r="L111" s="987"/>
      <c r="M111" s="987"/>
      <c r="N111" s="987"/>
      <c r="O111" s="987"/>
      <c r="P111" s="987"/>
      <c r="Q111" s="987"/>
      <c r="R111" s="987"/>
      <c r="S111" s="987"/>
      <c r="T111" s="987"/>
      <c r="U111" s="987"/>
      <c r="V111" s="987"/>
      <c r="W111" s="987"/>
      <c r="X111" s="987"/>
      <c r="Y111" s="987"/>
      <c r="Z111" s="987"/>
      <c r="AA111" s="986"/>
    </row>
    <row r="112" hidden="1">
      <c r="A112" s="436" t="s">
        <v>50</v>
      </c>
      <c r="B112" s="988">
        <v>44047.0</v>
      </c>
      <c r="C112" s="989" t="s">
        <v>4090</v>
      </c>
      <c r="D112" s="434" t="s">
        <v>1411</v>
      </c>
      <c r="E112" s="434" t="s">
        <v>305</v>
      </c>
      <c r="F112" s="434" t="s">
        <v>50</v>
      </c>
      <c r="G112" s="434" t="s">
        <v>120</v>
      </c>
      <c r="H112" s="989" t="s">
        <v>4091</v>
      </c>
      <c r="I112" s="989" t="s">
        <v>4093</v>
      </c>
      <c r="J112" s="987"/>
      <c r="K112" s="987"/>
      <c r="L112" s="987"/>
      <c r="M112" s="987"/>
      <c r="N112" s="987"/>
      <c r="O112" s="987"/>
      <c r="P112" s="987"/>
      <c r="Q112" s="987"/>
      <c r="R112" s="987"/>
      <c r="S112" s="987"/>
      <c r="T112" s="987"/>
      <c r="U112" s="987"/>
      <c r="V112" s="987"/>
      <c r="W112" s="987"/>
      <c r="X112" s="987"/>
      <c r="Y112" s="987"/>
      <c r="Z112" s="987"/>
      <c r="AA112" s="986"/>
    </row>
    <row r="113" hidden="1">
      <c r="A113" s="436" t="s">
        <v>50</v>
      </c>
      <c r="B113" s="988">
        <v>44048.0</v>
      </c>
      <c r="C113" s="989" t="s">
        <v>4094</v>
      </c>
      <c r="D113" s="434" t="s">
        <v>4095</v>
      </c>
      <c r="E113" s="434" t="s">
        <v>4096</v>
      </c>
      <c r="F113" s="434" t="s">
        <v>50</v>
      </c>
      <c r="G113" s="434" t="s">
        <v>120</v>
      </c>
      <c r="H113" s="989" t="s">
        <v>4097</v>
      </c>
      <c r="I113" s="989" t="s">
        <v>4098</v>
      </c>
      <c r="J113" s="987"/>
      <c r="K113" s="987"/>
      <c r="L113" s="987"/>
      <c r="M113" s="987"/>
      <c r="N113" s="987"/>
      <c r="O113" s="987"/>
      <c r="P113" s="987"/>
      <c r="Q113" s="987"/>
      <c r="R113" s="987"/>
      <c r="S113" s="987"/>
      <c r="T113" s="987"/>
      <c r="U113" s="987"/>
      <c r="V113" s="987"/>
      <c r="W113" s="987"/>
      <c r="X113" s="987"/>
      <c r="Y113" s="987"/>
      <c r="Z113" s="987"/>
      <c r="AA113" s="986"/>
    </row>
    <row r="114" hidden="1">
      <c r="A114" s="436" t="s">
        <v>50</v>
      </c>
      <c r="B114" s="988">
        <v>44049.0</v>
      </c>
      <c r="C114" s="989" t="s">
        <v>4071</v>
      </c>
      <c r="D114" s="434" t="s">
        <v>506</v>
      </c>
      <c r="E114" s="434" t="s">
        <v>50</v>
      </c>
      <c r="F114" s="990">
        <v>1.7241543E7</v>
      </c>
      <c r="G114" s="434" t="s">
        <v>4012</v>
      </c>
      <c r="H114" s="989" t="s">
        <v>4099</v>
      </c>
      <c r="I114" s="989" t="s">
        <v>4100</v>
      </c>
      <c r="J114" s="987"/>
      <c r="K114" s="987"/>
      <c r="L114" s="987"/>
      <c r="M114" s="987"/>
      <c r="N114" s="987"/>
      <c r="O114" s="987"/>
      <c r="P114" s="987"/>
      <c r="Q114" s="987"/>
      <c r="R114" s="987"/>
      <c r="S114" s="987"/>
      <c r="T114" s="987"/>
      <c r="U114" s="987"/>
      <c r="V114" s="987"/>
      <c r="W114" s="987"/>
      <c r="X114" s="987"/>
      <c r="Y114" s="987"/>
      <c r="Z114" s="987"/>
      <c r="AA114" s="986"/>
    </row>
    <row r="115" hidden="1">
      <c r="A115" s="436" t="s">
        <v>50</v>
      </c>
      <c r="B115" s="988">
        <v>44056.0</v>
      </c>
      <c r="C115" s="989" t="s">
        <v>4101</v>
      </c>
      <c r="D115" s="434" t="s">
        <v>1515</v>
      </c>
      <c r="E115" s="434" t="s">
        <v>3796</v>
      </c>
      <c r="F115" s="990">
        <v>1.5330551E7</v>
      </c>
      <c r="G115" s="434" t="s">
        <v>200</v>
      </c>
      <c r="H115" s="989" t="s">
        <v>4102</v>
      </c>
      <c r="I115" s="989" t="s">
        <v>4103</v>
      </c>
      <c r="J115" s="987"/>
      <c r="K115" s="987"/>
      <c r="L115" s="987"/>
      <c r="M115" s="987"/>
      <c r="N115" s="987"/>
      <c r="O115" s="987"/>
      <c r="P115" s="987"/>
      <c r="Q115" s="987"/>
      <c r="R115" s="987"/>
      <c r="S115" s="987"/>
      <c r="T115" s="987"/>
      <c r="U115" s="987"/>
      <c r="V115" s="987"/>
      <c r="W115" s="987"/>
      <c r="X115" s="987"/>
      <c r="Y115" s="987"/>
      <c r="Z115" s="987"/>
      <c r="AA115" s="986"/>
    </row>
    <row r="116" hidden="1">
      <c r="A116" s="436" t="s">
        <v>50</v>
      </c>
      <c r="B116" s="988">
        <v>44057.0</v>
      </c>
      <c r="C116" s="989" t="s">
        <v>4104</v>
      </c>
      <c r="D116" s="434" t="s">
        <v>404</v>
      </c>
      <c r="E116" s="434" t="s">
        <v>50</v>
      </c>
      <c r="F116" s="434" t="s">
        <v>50</v>
      </c>
      <c r="G116" s="434" t="s">
        <v>200</v>
      </c>
      <c r="H116" s="989" t="s">
        <v>4105</v>
      </c>
      <c r="I116" s="989" t="s">
        <v>4106</v>
      </c>
      <c r="J116" s="987"/>
      <c r="K116" s="987"/>
      <c r="L116" s="987"/>
      <c r="M116" s="987"/>
      <c r="N116" s="987"/>
      <c r="O116" s="987"/>
      <c r="P116" s="987"/>
      <c r="Q116" s="987"/>
      <c r="R116" s="987"/>
      <c r="S116" s="987"/>
      <c r="T116" s="987"/>
      <c r="U116" s="987"/>
      <c r="V116" s="987"/>
      <c r="W116" s="987"/>
      <c r="X116" s="987"/>
      <c r="Y116" s="987"/>
      <c r="Z116" s="987"/>
      <c r="AA116" s="986"/>
    </row>
    <row r="117" hidden="1">
      <c r="A117" s="436" t="s">
        <v>50</v>
      </c>
      <c r="B117" s="988">
        <v>44060.0</v>
      </c>
      <c r="C117" s="989" t="s">
        <v>4027</v>
      </c>
      <c r="D117" s="434" t="s">
        <v>4028</v>
      </c>
      <c r="E117" s="434" t="s">
        <v>305</v>
      </c>
      <c r="F117" s="990">
        <v>1.5191598E7</v>
      </c>
      <c r="G117" s="434" t="s">
        <v>348</v>
      </c>
      <c r="H117" s="989" t="s">
        <v>4107</v>
      </c>
      <c r="I117" s="989" t="s">
        <v>4108</v>
      </c>
      <c r="J117" s="987"/>
      <c r="K117" s="987"/>
      <c r="L117" s="987"/>
      <c r="M117" s="987"/>
      <c r="N117" s="987"/>
      <c r="O117" s="987"/>
      <c r="P117" s="987"/>
      <c r="Q117" s="987"/>
      <c r="R117" s="987"/>
      <c r="S117" s="987"/>
      <c r="T117" s="987"/>
      <c r="U117" s="987"/>
      <c r="V117" s="987"/>
      <c r="W117" s="987"/>
      <c r="X117" s="987"/>
      <c r="Y117" s="987"/>
      <c r="Z117" s="987"/>
      <c r="AA117" s="986"/>
    </row>
    <row r="118" hidden="1">
      <c r="A118" s="436" t="s">
        <v>50</v>
      </c>
      <c r="B118" s="988">
        <v>44064.0</v>
      </c>
      <c r="C118" s="989" t="s">
        <v>4109</v>
      </c>
      <c r="D118" s="434" t="s">
        <v>857</v>
      </c>
      <c r="E118" s="434" t="s">
        <v>305</v>
      </c>
      <c r="F118" s="990">
        <v>1.6230192E7</v>
      </c>
      <c r="G118" s="434" t="s">
        <v>103</v>
      </c>
      <c r="H118" s="989" t="s">
        <v>4110</v>
      </c>
      <c r="I118" s="989" t="s">
        <v>4111</v>
      </c>
      <c r="J118" s="987"/>
      <c r="K118" s="987"/>
      <c r="L118" s="987"/>
      <c r="M118" s="987"/>
      <c r="N118" s="987"/>
      <c r="O118" s="987"/>
      <c r="P118" s="987"/>
      <c r="Q118" s="987"/>
      <c r="R118" s="987"/>
      <c r="S118" s="987"/>
      <c r="T118" s="987"/>
      <c r="U118" s="987"/>
      <c r="V118" s="987"/>
      <c r="W118" s="987"/>
      <c r="X118" s="987"/>
      <c r="Y118" s="987"/>
      <c r="Z118" s="987"/>
      <c r="AA118" s="986"/>
    </row>
    <row r="119" hidden="1">
      <c r="A119" s="436" t="s">
        <v>50</v>
      </c>
      <c r="B119" s="988">
        <v>44064.0</v>
      </c>
      <c r="C119" s="989" t="s">
        <v>4109</v>
      </c>
      <c r="D119" s="434" t="s">
        <v>857</v>
      </c>
      <c r="E119" s="434" t="s">
        <v>305</v>
      </c>
      <c r="F119" s="990">
        <v>1.6230197E7</v>
      </c>
      <c r="G119" s="434" t="s">
        <v>103</v>
      </c>
      <c r="H119" s="989" t="s">
        <v>4112</v>
      </c>
      <c r="I119" s="989" t="s">
        <v>4111</v>
      </c>
      <c r="J119" s="987"/>
      <c r="K119" s="987"/>
      <c r="L119" s="987"/>
      <c r="M119" s="987"/>
      <c r="N119" s="987"/>
      <c r="O119" s="987"/>
      <c r="P119" s="987"/>
      <c r="Q119" s="987"/>
      <c r="R119" s="987"/>
      <c r="S119" s="987"/>
      <c r="T119" s="987"/>
      <c r="U119" s="987"/>
      <c r="V119" s="987"/>
      <c r="W119" s="987"/>
      <c r="X119" s="987"/>
      <c r="Y119" s="987"/>
      <c r="Z119" s="987"/>
      <c r="AA119" s="986"/>
    </row>
    <row r="120" hidden="1">
      <c r="A120" s="436" t="s">
        <v>50</v>
      </c>
      <c r="B120" s="988">
        <v>44064.0</v>
      </c>
      <c r="C120" s="989" t="s">
        <v>4113</v>
      </c>
      <c r="D120" s="434" t="s">
        <v>506</v>
      </c>
      <c r="E120" s="434" t="s">
        <v>305</v>
      </c>
      <c r="F120" s="990">
        <v>1.724156E7</v>
      </c>
      <c r="G120" s="434" t="s">
        <v>4114</v>
      </c>
      <c r="H120" s="989" t="s">
        <v>4115</v>
      </c>
      <c r="I120" s="989" t="s">
        <v>4116</v>
      </c>
      <c r="J120" s="987"/>
      <c r="K120" s="987"/>
      <c r="L120" s="987"/>
      <c r="M120" s="987"/>
      <c r="N120" s="987"/>
      <c r="O120" s="987"/>
      <c r="P120" s="987"/>
      <c r="Q120" s="987"/>
      <c r="R120" s="987"/>
      <c r="S120" s="987"/>
      <c r="T120" s="987"/>
      <c r="U120" s="987"/>
      <c r="V120" s="987"/>
      <c r="W120" s="987"/>
      <c r="X120" s="987"/>
      <c r="Y120" s="987"/>
      <c r="Z120" s="987"/>
      <c r="AA120" s="986"/>
    </row>
    <row r="121" hidden="1">
      <c r="A121" s="436" t="s">
        <v>50</v>
      </c>
      <c r="B121" s="988">
        <v>44068.0</v>
      </c>
      <c r="C121" s="989" t="s">
        <v>4104</v>
      </c>
      <c r="D121" s="434" t="s">
        <v>404</v>
      </c>
      <c r="E121" s="434" t="s">
        <v>4117</v>
      </c>
      <c r="F121" s="434" t="s">
        <v>50</v>
      </c>
      <c r="G121" s="992"/>
      <c r="H121" s="989" t="s">
        <v>4118</v>
      </c>
      <c r="I121" s="989" t="s">
        <v>4119</v>
      </c>
      <c r="J121" s="987"/>
      <c r="K121" s="987"/>
      <c r="L121" s="987"/>
      <c r="M121" s="987"/>
      <c r="N121" s="987"/>
      <c r="O121" s="987"/>
      <c r="P121" s="987"/>
      <c r="Q121" s="987"/>
      <c r="R121" s="987"/>
      <c r="S121" s="987"/>
      <c r="T121" s="987"/>
      <c r="U121" s="987"/>
      <c r="V121" s="987"/>
      <c r="W121" s="987"/>
      <c r="X121" s="987"/>
      <c r="Y121" s="987"/>
      <c r="Z121" s="987"/>
      <c r="AA121" s="986"/>
    </row>
    <row r="122" hidden="1">
      <c r="A122" s="436" t="s">
        <v>50</v>
      </c>
      <c r="B122" s="988">
        <v>44068.0</v>
      </c>
      <c r="C122" s="989" t="s">
        <v>3300</v>
      </c>
      <c r="D122" s="434" t="s">
        <v>198</v>
      </c>
      <c r="E122" s="434" t="s">
        <v>3970</v>
      </c>
      <c r="F122" s="990">
        <v>1.5540077E7</v>
      </c>
      <c r="G122" s="434" t="s">
        <v>3909</v>
      </c>
      <c r="H122" s="989" t="s">
        <v>4120</v>
      </c>
      <c r="I122" s="989" t="s">
        <v>4121</v>
      </c>
      <c r="J122" s="987"/>
      <c r="K122" s="987"/>
      <c r="L122" s="987"/>
      <c r="M122" s="987"/>
      <c r="N122" s="987"/>
      <c r="O122" s="987"/>
      <c r="P122" s="987"/>
      <c r="Q122" s="987"/>
      <c r="R122" s="987"/>
      <c r="S122" s="987"/>
      <c r="T122" s="987"/>
      <c r="U122" s="987"/>
      <c r="V122" s="987"/>
      <c r="W122" s="987"/>
      <c r="X122" s="987"/>
      <c r="Y122" s="987"/>
      <c r="Z122" s="987"/>
      <c r="AA122" s="986"/>
    </row>
    <row r="123" hidden="1">
      <c r="A123" s="436" t="s">
        <v>50</v>
      </c>
      <c r="B123" s="988">
        <v>44070.0</v>
      </c>
      <c r="C123" s="989" t="s">
        <v>4122</v>
      </c>
      <c r="D123" s="434" t="s">
        <v>3875</v>
      </c>
      <c r="E123" s="434" t="s">
        <v>3876</v>
      </c>
      <c r="F123" s="990">
        <v>1.4930948E7</v>
      </c>
      <c r="G123" s="434" t="s">
        <v>51</v>
      </c>
      <c r="H123" s="989" t="s">
        <v>4123</v>
      </c>
      <c r="I123" s="989" t="s">
        <v>4124</v>
      </c>
      <c r="J123" s="987"/>
      <c r="K123" s="987"/>
      <c r="L123" s="987"/>
      <c r="M123" s="987"/>
      <c r="N123" s="987"/>
      <c r="O123" s="987"/>
      <c r="P123" s="987"/>
      <c r="Q123" s="987"/>
      <c r="R123" s="987"/>
      <c r="S123" s="987"/>
      <c r="T123" s="987"/>
      <c r="U123" s="987"/>
      <c r="V123" s="987"/>
      <c r="W123" s="987"/>
      <c r="X123" s="987"/>
      <c r="Y123" s="987"/>
      <c r="Z123" s="987"/>
      <c r="AA123" s="986"/>
    </row>
    <row r="124" hidden="1">
      <c r="A124" s="436" t="s">
        <v>50</v>
      </c>
      <c r="B124" s="988">
        <v>44070.0</v>
      </c>
      <c r="C124" s="989" t="s">
        <v>4125</v>
      </c>
      <c r="D124" s="434" t="s">
        <v>4126</v>
      </c>
      <c r="E124" s="434" t="s">
        <v>305</v>
      </c>
      <c r="F124" s="434" t="s">
        <v>50</v>
      </c>
      <c r="G124" s="434" t="s">
        <v>51</v>
      </c>
      <c r="H124" s="989" t="s">
        <v>4127</v>
      </c>
      <c r="I124" s="989" t="s">
        <v>4128</v>
      </c>
      <c r="J124" s="987"/>
      <c r="K124" s="987"/>
      <c r="L124" s="987"/>
      <c r="M124" s="987"/>
      <c r="N124" s="987"/>
      <c r="O124" s="987"/>
      <c r="P124" s="987"/>
      <c r="Q124" s="987"/>
      <c r="R124" s="987"/>
      <c r="S124" s="987"/>
      <c r="T124" s="987"/>
      <c r="U124" s="987"/>
      <c r="V124" s="987"/>
      <c r="W124" s="987"/>
      <c r="X124" s="987"/>
      <c r="Y124" s="987"/>
      <c r="Z124" s="987"/>
      <c r="AA124" s="986"/>
    </row>
    <row r="125" hidden="1">
      <c r="A125" s="436" t="s">
        <v>50</v>
      </c>
      <c r="B125" s="988">
        <v>44071.0</v>
      </c>
      <c r="C125" s="989" t="s">
        <v>4129</v>
      </c>
      <c r="D125" s="434" t="s">
        <v>4130</v>
      </c>
      <c r="E125" s="434" t="s">
        <v>4131</v>
      </c>
      <c r="F125" s="434" t="s">
        <v>50</v>
      </c>
      <c r="G125" s="989" t="s">
        <v>4132</v>
      </c>
      <c r="H125" s="989" t="s">
        <v>4133</v>
      </c>
      <c r="I125" s="989" t="s">
        <v>4134</v>
      </c>
      <c r="J125" s="987"/>
      <c r="K125" s="987"/>
      <c r="L125" s="987"/>
      <c r="M125" s="987"/>
      <c r="N125" s="987"/>
      <c r="O125" s="987"/>
      <c r="P125" s="987"/>
      <c r="Q125" s="987"/>
      <c r="R125" s="987"/>
      <c r="S125" s="987"/>
      <c r="T125" s="987"/>
      <c r="U125" s="987"/>
      <c r="V125" s="987"/>
      <c r="W125" s="987"/>
      <c r="X125" s="987"/>
      <c r="Y125" s="987"/>
      <c r="Z125" s="987"/>
      <c r="AA125" s="986"/>
    </row>
    <row r="126" hidden="1">
      <c r="A126" s="436" t="s">
        <v>50</v>
      </c>
      <c r="B126" s="988">
        <v>44071.0</v>
      </c>
      <c r="C126" s="989" t="s">
        <v>4135</v>
      </c>
      <c r="D126" s="434" t="s">
        <v>4136</v>
      </c>
      <c r="E126" s="434" t="s">
        <v>3978</v>
      </c>
      <c r="F126" s="990">
        <v>1.369075E7</v>
      </c>
      <c r="G126" s="434" t="s">
        <v>51</v>
      </c>
      <c r="H126" s="989" t="s">
        <v>4137</v>
      </c>
      <c r="I126" s="989" t="s">
        <v>4138</v>
      </c>
      <c r="J126" s="987"/>
      <c r="K126" s="987"/>
      <c r="L126" s="987"/>
      <c r="M126" s="987"/>
      <c r="N126" s="987"/>
      <c r="O126" s="987"/>
      <c r="P126" s="987"/>
      <c r="Q126" s="987"/>
      <c r="R126" s="987"/>
      <c r="S126" s="987"/>
      <c r="T126" s="987"/>
      <c r="U126" s="987"/>
      <c r="V126" s="987"/>
      <c r="W126" s="987"/>
      <c r="X126" s="987"/>
      <c r="Y126" s="987"/>
      <c r="Z126" s="987"/>
      <c r="AA126" s="986"/>
    </row>
    <row r="127" hidden="1">
      <c r="A127" s="436" t="s">
        <v>50</v>
      </c>
      <c r="B127" s="988">
        <v>44075.0</v>
      </c>
      <c r="C127" s="989" t="s">
        <v>4113</v>
      </c>
      <c r="D127" s="434" t="s">
        <v>506</v>
      </c>
      <c r="E127" s="434" t="s">
        <v>4072</v>
      </c>
      <c r="F127" s="990">
        <v>1.724156E7</v>
      </c>
      <c r="G127" s="434" t="s">
        <v>4012</v>
      </c>
      <c r="H127" s="989" t="s">
        <v>4139</v>
      </c>
      <c r="I127" s="989" t="s">
        <v>4140</v>
      </c>
      <c r="J127" s="987"/>
      <c r="K127" s="987"/>
      <c r="L127" s="987"/>
      <c r="M127" s="987"/>
      <c r="N127" s="987"/>
      <c r="O127" s="987"/>
      <c r="P127" s="987"/>
      <c r="Q127" s="987"/>
      <c r="R127" s="987"/>
      <c r="S127" s="987"/>
      <c r="T127" s="987"/>
      <c r="U127" s="987"/>
      <c r="V127" s="987"/>
      <c r="W127" s="987"/>
      <c r="X127" s="987"/>
      <c r="Y127" s="987"/>
      <c r="Z127" s="987"/>
      <c r="AA127" s="986"/>
    </row>
    <row r="128" hidden="1">
      <c r="A128" s="436" t="s">
        <v>50</v>
      </c>
      <c r="B128" s="988">
        <v>44079.0</v>
      </c>
      <c r="C128" s="989" t="s">
        <v>4141</v>
      </c>
      <c r="D128" s="434" t="s">
        <v>2705</v>
      </c>
      <c r="E128" s="434" t="s">
        <v>3796</v>
      </c>
      <c r="F128" s="990">
        <v>1.5640193E7</v>
      </c>
      <c r="G128" s="434" t="s">
        <v>348</v>
      </c>
      <c r="H128" s="989" t="s">
        <v>4142</v>
      </c>
      <c r="I128" s="989" t="s">
        <v>4143</v>
      </c>
      <c r="J128" s="987"/>
      <c r="K128" s="987"/>
      <c r="L128" s="987"/>
      <c r="M128" s="987"/>
      <c r="N128" s="987"/>
      <c r="O128" s="987"/>
      <c r="P128" s="987"/>
      <c r="Q128" s="987"/>
      <c r="R128" s="987"/>
      <c r="S128" s="987"/>
      <c r="T128" s="987"/>
      <c r="U128" s="987"/>
      <c r="V128" s="987"/>
      <c r="W128" s="987"/>
      <c r="X128" s="987"/>
      <c r="Y128" s="987"/>
      <c r="Z128" s="987"/>
      <c r="AA128" s="986"/>
    </row>
    <row r="129" hidden="1">
      <c r="A129" s="436" t="s">
        <v>50</v>
      </c>
      <c r="B129" s="988">
        <v>44084.0</v>
      </c>
      <c r="C129" s="989" t="s">
        <v>4144</v>
      </c>
      <c r="D129" s="434" t="s">
        <v>1584</v>
      </c>
      <c r="E129" s="434" t="s">
        <v>698</v>
      </c>
      <c r="F129" s="434" t="s">
        <v>50</v>
      </c>
      <c r="G129" s="434" t="s">
        <v>51</v>
      </c>
      <c r="H129" s="989" t="s">
        <v>4145</v>
      </c>
      <c r="I129" s="989" t="s">
        <v>4146</v>
      </c>
      <c r="J129" s="987"/>
      <c r="K129" s="987"/>
      <c r="L129" s="987"/>
      <c r="M129" s="987"/>
      <c r="N129" s="987"/>
      <c r="O129" s="987"/>
      <c r="P129" s="987"/>
      <c r="Q129" s="987"/>
      <c r="R129" s="987"/>
      <c r="S129" s="987"/>
      <c r="T129" s="987"/>
      <c r="U129" s="987"/>
      <c r="V129" s="987"/>
      <c r="W129" s="987"/>
      <c r="X129" s="987"/>
      <c r="Y129" s="987"/>
      <c r="Z129" s="987"/>
      <c r="AA129" s="986"/>
    </row>
    <row r="130" hidden="1">
      <c r="A130" s="436" t="s">
        <v>50</v>
      </c>
      <c r="B130" s="988">
        <v>44086.0</v>
      </c>
      <c r="C130" s="989" t="s">
        <v>3151</v>
      </c>
      <c r="D130" s="434" t="s">
        <v>2224</v>
      </c>
      <c r="E130" s="434" t="s">
        <v>3152</v>
      </c>
      <c r="F130" s="990">
        <v>1.7780132E7</v>
      </c>
      <c r="G130" s="434" t="s">
        <v>120</v>
      </c>
      <c r="H130" s="989" t="s">
        <v>4147</v>
      </c>
      <c r="I130" s="989" t="s">
        <v>4148</v>
      </c>
      <c r="J130" s="987"/>
      <c r="K130" s="987"/>
      <c r="L130" s="987"/>
      <c r="M130" s="987"/>
      <c r="N130" s="987"/>
      <c r="O130" s="987"/>
      <c r="P130" s="987"/>
      <c r="Q130" s="987"/>
      <c r="R130" s="987"/>
      <c r="S130" s="987"/>
      <c r="T130" s="987"/>
      <c r="U130" s="987"/>
      <c r="V130" s="987"/>
      <c r="W130" s="987"/>
      <c r="X130" s="987"/>
      <c r="Y130" s="987"/>
      <c r="Z130" s="987"/>
      <c r="AA130" s="986"/>
    </row>
    <row r="131" hidden="1">
      <c r="A131" s="436" t="s">
        <v>50</v>
      </c>
      <c r="B131" s="988">
        <v>44086.0</v>
      </c>
      <c r="C131" s="989" t="s">
        <v>3151</v>
      </c>
      <c r="D131" s="434" t="s">
        <v>2224</v>
      </c>
      <c r="E131" s="434" t="s">
        <v>3152</v>
      </c>
      <c r="F131" s="990">
        <v>1.7780133E7</v>
      </c>
      <c r="G131" s="434" t="s">
        <v>120</v>
      </c>
      <c r="H131" s="989" t="s">
        <v>4149</v>
      </c>
      <c r="I131" s="989" t="s">
        <v>4150</v>
      </c>
      <c r="J131" s="987"/>
      <c r="K131" s="987"/>
      <c r="L131" s="987"/>
      <c r="M131" s="987"/>
      <c r="N131" s="987"/>
      <c r="O131" s="987"/>
      <c r="P131" s="987"/>
      <c r="Q131" s="987"/>
      <c r="R131" s="987"/>
      <c r="S131" s="987"/>
      <c r="T131" s="987"/>
      <c r="U131" s="987"/>
      <c r="V131" s="987"/>
      <c r="W131" s="987"/>
      <c r="X131" s="987"/>
      <c r="Y131" s="987"/>
      <c r="Z131" s="987"/>
      <c r="AA131" s="986"/>
    </row>
    <row r="132" hidden="1">
      <c r="A132" s="436" t="s">
        <v>50</v>
      </c>
      <c r="B132" s="988">
        <v>44086.0</v>
      </c>
      <c r="C132" s="989" t="s">
        <v>4151</v>
      </c>
      <c r="D132" s="434" t="s">
        <v>4152</v>
      </c>
      <c r="E132" s="434" t="s">
        <v>453</v>
      </c>
      <c r="F132" s="434" t="s">
        <v>50</v>
      </c>
      <c r="G132" s="434" t="s">
        <v>348</v>
      </c>
      <c r="H132" s="989" t="s">
        <v>4153</v>
      </c>
      <c r="I132" s="989" t="s">
        <v>4154</v>
      </c>
      <c r="J132" s="987"/>
      <c r="K132" s="987"/>
      <c r="L132" s="987"/>
      <c r="M132" s="987"/>
      <c r="N132" s="987"/>
      <c r="O132" s="987"/>
      <c r="P132" s="987"/>
      <c r="Q132" s="987"/>
      <c r="R132" s="987"/>
      <c r="S132" s="987"/>
      <c r="T132" s="987"/>
      <c r="U132" s="987"/>
      <c r="V132" s="987"/>
      <c r="W132" s="987"/>
      <c r="X132" s="987"/>
      <c r="Y132" s="987"/>
      <c r="Z132" s="987"/>
      <c r="AA132" s="986"/>
    </row>
    <row r="133" hidden="1">
      <c r="A133" s="436" t="s">
        <v>50</v>
      </c>
      <c r="B133" s="988">
        <v>44087.0</v>
      </c>
      <c r="C133" s="989" t="s">
        <v>4113</v>
      </c>
      <c r="D133" s="434" t="s">
        <v>506</v>
      </c>
      <c r="E133" s="434" t="s">
        <v>305</v>
      </c>
      <c r="F133" s="990">
        <v>1.7241633E7</v>
      </c>
      <c r="G133" s="434" t="s">
        <v>4114</v>
      </c>
      <c r="H133" s="989" t="s">
        <v>4155</v>
      </c>
      <c r="I133" s="989" t="s">
        <v>4156</v>
      </c>
      <c r="J133" s="987"/>
      <c r="K133" s="987"/>
      <c r="L133" s="987"/>
      <c r="M133" s="987"/>
      <c r="N133" s="987"/>
      <c r="O133" s="987"/>
      <c r="P133" s="987"/>
      <c r="Q133" s="987"/>
      <c r="R133" s="987"/>
      <c r="S133" s="987"/>
      <c r="T133" s="987"/>
      <c r="U133" s="987"/>
      <c r="V133" s="987"/>
      <c r="W133" s="987"/>
      <c r="X133" s="987"/>
      <c r="Y133" s="987"/>
      <c r="Z133" s="987"/>
      <c r="AA133" s="986"/>
    </row>
    <row r="134" hidden="1">
      <c r="A134" s="436" t="s">
        <v>50</v>
      </c>
      <c r="B134" s="988">
        <v>44088.0</v>
      </c>
      <c r="C134" s="989" t="s">
        <v>4157</v>
      </c>
      <c r="D134" s="434" t="s">
        <v>3923</v>
      </c>
      <c r="E134" s="434" t="s">
        <v>305</v>
      </c>
      <c r="F134" s="434" t="s">
        <v>50</v>
      </c>
      <c r="G134" s="434" t="s">
        <v>120</v>
      </c>
      <c r="H134" s="989" t="s">
        <v>4158</v>
      </c>
      <c r="I134" s="989" t="s">
        <v>4159</v>
      </c>
      <c r="J134" s="987"/>
      <c r="K134" s="987"/>
      <c r="L134" s="987"/>
      <c r="M134" s="987"/>
      <c r="N134" s="987"/>
      <c r="O134" s="987"/>
      <c r="P134" s="987"/>
      <c r="Q134" s="987"/>
      <c r="R134" s="987"/>
      <c r="S134" s="987"/>
      <c r="T134" s="987"/>
      <c r="U134" s="987"/>
      <c r="V134" s="987"/>
      <c r="W134" s="987"/>
      <c r="X134" s="987"/>
      <c r="Y134" s="987"/>
      <c r="Z134" s="987"/>
      <c r="AA134" s="986"/>
    </row>
    <row r="135" hidden="1">
      <c r="A135" s="436" t="s">
        <v>50</v>
      </c>
      <c r="B135" s="988">
        <v>44088.0</v>
      </c>
      <c r="C135" s="989" t="s">
        <v>4160</v>
      </c>
      <c r="D135" s="434" t="s">
        <v>411</v>
      </c>
      <c r="E135" s="434" t="s">
        <v>3802</v>
      </c>
      <c r="F135" s="434" t="s">
        <v>50</v>
      </c>
      <c r="G135" s="434" t="s">
        <v>103</v>
      </c>
      <c r="H135" s="989" t="s">
        <v>4161</v>
      </c>
      <c r="I135" s="989" t="s">
        <v>4162</v>
      </c>
      <c r="J135" s="987"/>
      <c r="K135" s="987"/>
      <c r="L135" s="987"/>
      <c r="M135" s="987"/>
      <c r="N135" s="987"/>
      <c r="O135" s="987"/>
      <c r="P135" s="987"/>
      <c r="Q135" s="987"/>
      <c r="R135" s="987"/>
      <c r="S135" s="987"/>
      <c r="T135" s="987"/>
      <c r="U135" s="987"/>
      <c r="V135" s="987"/>
      <c r="W135" s="987"/>
      <c r="X135" s="987"/>
      <c r="Y135" s="987"/>
      <c r="Z135" s="987"/>
      <c r="AA135" s="986"/>
    </row>
    <row r="136" hidden="1">
      <c r="A136" s="436" t="s">
        <v>50</v>
      </c>
      <c r="B136" s="988">
        <v>44089.0</v>
      </c>
      <c r="C136" s="989" t="s">
        <v>4038</v>
      </c>
      <c r="D136" s="434" t="s">
        <v>885</v>
      </c>
      <c r="E136" s="434" t="s">
        <v>305</v>
      </c>
      <c r="F136" s="434" t="s">
        <v>50</v>
      </c>
      <c r="G136" s="434" t="s">
        <v>120</v>
      </c>
      <c r="H136" s="989" t="s">
        <v>4163</v>
      </c>
      <c r="I136" s="989" t="s">
        <v>4164</v>
      </c>
      <c r="J136" s="987"/>
      <c r="K136" s="987"/>
      <c r="L136" s="987"/>
      <c r="M136" s="987"/>
      <c r="N136" s="987"/>
      <c r="O136" s="987"/>
      <c r="P136" s="987"/>
      <c r="Q136" s="987"/>
      <c r="R136" s="987"/>
      <c r="S136" s="987"/>
      <c r="T136" s="987"/>
      <c r="U136" s="987"/>
      <c r="V136" s="987"/>
      <c r="W136" s="987"/>
      <c r="X136" s="987"/>
      <c r="Y136" s="987"/>
      <c r="Z136" s="987"/>
      <c r="AA136" s="986"/>
    </row>
    <row r="137" hidden="1">
      <c r="A137" s="436" t="s">
        <v>50</v>
      </c>
      <c r="B137" s="988">
        <v>44091.0</v>
      </c>
      <c r="C137" s="989" t="s">
        <v>4109</v>
      </c>
      <c r="D137" s="434" t="s">
        <v>857</v>
      </c>
      <c r="E137" s="434" t="s">
        <v>305</v>
      </c>
      <c r="F137" s="434" t="s">
        <v>50</v>
      </c>
      <c r="G137" s="434" t="s">
        <v>103</v>
      </c>
      <c r="H137" s="989" t="s">
        <v>4165</v>
      </c>
      <c r="I137" s="989" t="s">
        <v>4166</v>
      </c>
      <c r="J137" s="987"/>
      <c r="K137" s="987"/>
      <c r="L137" s="987"/>
      <c r="M137" s="987"/>
      <c r="N137" s="987"/>
      <c r="O137" s="987"/>
      <c r="P137" s="987"/>
      <c r="Q137" s="987"/>
      <c r="R137" s="987"/>
      <c r="S137" s="987"/>
      <c r="T137" s="987"/>
      <c r="U137" s="987"/>
      <c r="V137" s="987"/>
      <c r="W137" s="987"/>
      <c r="X137" s="987"/>
      <c r="Y137" s="987"/>
      <c r="Z137" s="987"/>
      <c r="AA137" s="986"/>
    </row>
    <row r="138" hidden="1">
      <c r="A138" s="436" t="s">
        <v>50</v>
      </c>
      <c r="B138" s="988">
        <v>44098.0</v>
      </c>
      <c r="C138" s="989" t="s">
        <v>3311</v>
      </c>
      <c r="D138" s="434" t="s">
        <v>885</v>
      </c>
      <c r="E138" s="434" t="s">
        <v>305</v>
      </c>
      <c r="F138" s="434" t="s">
        <v>50</v>
      </c>
      <c r="G138" s="434" t="s">
        <v>120</v>
      </c>
      <c r="H138" s="989" t="s">
        <v>4167</v>
      </c>
      <c r="I138" s="989" t="s">
        <v>4168</v>
      </c>
      <c r="J138" s="987"/>
      <c r="K138" s="987"/>
      <c r="L138" s="987"/>
      <c r="M138" s="987"/>
      <c r="N138" s="987"/>
      <c r="O138" s="987"/>
      <c r="P138" s="987"/>
      <c r="Q138" s="987"/>
      <c r="R138" s="987"/>
      <c r="S138" s="987"/>
      <c r="T138" s="987"/>
      <c r="U138" s="987"/>
      <c r="V138" s="987"/>
      <c r="W138" s="987"/>
      <c r="X138" s="987"/>
      <c r="Y138" s="987"/>
      <c r="Z138" s="987"/>
      <c r="AA138" s="986"/>
    </row>
    <row r="139" hidden="1">
      <c r="A139" s="436" t="s">
        <v>50</v>
      </c>
      <c r="B139" s="988">
        <v>44102.0</v>
      </c>
      <c r="C139" s="989" t="s">
        <v>4151</v>
      </c>
      <c r="D139" s="434" t="s">
        <v>4028</v>
      </c>
      <c r="E139" s="434" t="s">
        <v>305</v>
      </c>
      <c r="F139" s="990">
        <v>1.5191625E7</v>
      </c>
      <c r="G139" s="434" t="s">
        <v>103</v>
      </c>
      <c r="H139" s="989" t="s">
        <v>4169</v>
      </c>
      <c r="I139" s="989" t="s">
        <v>4170</v>
      </c>
      <c r="J139" s="987"/>
      <c r="K139" s="987"/>
      <c r="L139" s="987"/>
      <c r="M139" s="987"/>
      <c r="N139" s="987"/>
      <c r="O139" s="987"/>
      <c r="P139" s="987"/>
      <c r="Q139" s="987"/>
      <c r="R139" s="987"/>
      <c r="S139" s="987"/>
      <c r="T139" s="987"/>
      <c r="U139" s="987"/>
      <c r="V139" s="987"/>
      <c r="W139" s="987"/>
      <c r="X139" s="987"/>
      <c r="Y139" s="987"/>
      <c r="Z139" s="987"/>
      <c r="AA139" s="986"/>
    </row>
    <row r="140" hidden="1">
      <c r="A140" s="436" t="s">
        <v>50</v>
      </c>
      <c r="B140" s="988">
        <v>44103.0</v>
      </c>
      <c r="C140" s="989" t="s">
        <v>4171</v>
      </c>
      <c r="D140" s="434" t="s">
        <v>212</v>
      </c>
      <c r="E140" s="434" t="s">
        <v>4172</v>
      </c>
      <c r="F140" s="434" t="s">
        <v>50</v>
      </c>
      <c r="G140" s="434" t="s">
        <v>32</v>
      </c>
      <c r="H140" s="989" t="s">
        <v>4173</v>
      </c>
      <c r="I140" s="989" t="s">
        <v>4174</v>
      </c>
      <c r="J140" s="987"/>
      <c r="K140" s="987"/>
      <c r="L140" s="987"/>
      <c r="M140" s="987"/>
      <c r="N140" s="987"/>
      <c r="O140" s="987"/>
      <c r="P140" s="987"/>
      <c r="Q140" s="987"/>
      <c r="R140" s="987"/>
      <c r="S140" s="987"/>
      <c r="T140" s="987"/>
      <c r="U140" s="987"/>
      <c r="V140" s="987"/>
      <c r="W140" s="987"/>
      <c r="X140" s="987"/>
      <c r="Y140" s="987"/>
      <c r="Z140" s="987"/>
      <c r="AA140" s="986"/>
    </row>
    <row r="141" hidden="1">
      <c r="A141" s="436" t="s">
        <v>50</v>
      </c>
      <c r="B141" s="988">
        <v>44105.0</v>
      </c>
      <c r="C141" s="989" t="s">
        <v>4175</v>
      </c>
      <c r="D141" s="434" t="s">
        <v>1766</v>
      </c>
      <c r="E141" s="434" t="s">
        <v>4176</v>
      </c>
      <c r="F141" s="990">
        <v>1.6450818E7</v>
      </c>
      <c r="G141" s="434" t="s">
        <v>42</v>
      </c>
      <c r="H141" s="989" t="s">
        <v>4177</v>
      </c>
      <c r="I141" s="989" t="s">
        <v>4178</v>
      </c>
      <c r="J141" s="987"/>
      <c r="K141" s="987"/>
      <c r="L141" s="987"/>
      <c r="M141" s="987"/>
      <c r="N141" s="987"/>
      <c r="O141" s="987"/>
      <c r="P141" s="987"/>
      <c r="Q141" s="987"/>
      <c r="R141" s="987"/>
      <c r="S141" s="987"/>
      <c r="T141" s="987"/>
      <c r="U141" s="987"/>
      <c r="V141" s="987"/>
      <c r="W141" s="987"/>
      <c r="X141" s="987"/>
      <c r="Y141" s="987"/>
      <c r="Z141" s="987"/>
      <c r="AA141" s="986"/>
    </row>
    <row r="142" hidden="1">
      <c r="A142" s="436" t="s">
        <v>50</v>
      </c>
      <c r="B142" s="988">
        <v>44106.0</v>
      </c>
      <c r="C142" s="989" t="s">
        <v>4179</v>
      </c>
      <c r="D142" s="434" t="s">
        <v>4180</v>
      </c>
      <c r="E142" s="434" t="s">
        <v>3821</v>
      </c>
      <c r="F142" s="990">
        <v>1.6620211E7</v>
      </c>
      <c r="G142" s="992"/>
      <c r="H142" s="989" t="s">
        <v>4181</v>
      </c>
      <c r="I142" s="989" t="s">
        <v>4182</v>
      </c>
      <c r="J142" s="987"/>
      <c r="K142" s="987"/>
      <c r="L142" s="987"/>
      <c r="M142" s="987"/>
      <c r="N142" s="987"/>
      <c r="O142" s="987"/>
      <c r="P142" s="987"/>
      <c r="Q142" s="987"/>
      <c r="R142" s="987"/>
      <c r="S142" s="987"/>
      <c r="T142" s="987"/>
      <c r="U142" s="987"/>
      <c r="V142" s="987"/>
      <c r="W142" s="987"/>
      <c r="X142" s="987"/>
      <c r="Y142" s="987"/>
      <c r="Z142" s="987"/>
      <c r="AA142" s="986"/>
    </row>
    <row r="143" hidden="1">
      <c r="A143" s="436" t="s">
        <v>50</v>
      </c>
      <c r="B143" s="988">
        <v>44106.0</v>
      </c>
      <c r="C143" s="989" t="s">
        <v>4183</v>
      </c>
      <c r="D143" s="434" t="s">
        <v>2035</v>
      </c>
      <c r="E143" s="434" t="s">
        <v>269</v>
      </c>
      <c r="F143" s="990">
        <v>1.6600423E7</v>
      </c>
      <c r="G143" s="992"/>
      <c r="H143" s="989" t="s">
        <v>4184</v>
      </c>
      <c r="I143" s="989" t="s">
        <v>4185</v>
      </c>
      <c r="J143" s="987"/>
      <c r="K143" s="987"/>
      <c r="L143" s="987"/>
      <c r="M143" s="987"/>
      <c r="N143" s="987"/>
      <c r="O143" s="987"/>
      <c r="P143" s="987"/>
      <c r="Q143" s="987"/>
      <c r="R143" s="987"/>
      <c r="S143" s="987"/>
      <c r="T143" s="987"/>
      <c r="U143" s="987"/>
      <c r="V143" s="987"/>
      <c r="W143" s="987"/>
      <c r="X143" s="987"/>
      <c r="Y143" s="987"/>
      <c r="Z143" s="987"/>
      <c r="AA143" s="986"/>
    </row>
    <row r="144" hidden="1">
      <c r="A144" s="436" t="s">
        <v>50</v>
      </c>
      <c r="B144" s="988">
        <v>44110.0</v>
      </c>
      <c r="C144" s="989" t="s">
        <v>4186</v>
      </c>
      <c r="D144" s="434" t="s">
        <v>133</v>
      </c>
      <c r="E144" s="434" t="s">
        <v>4187</v>
      </c>
      <c r="F144" s="434" t="s">
        <v>50</v>
      </c>
      <c r="G144" s="434" t="s">
        <v>3857</v>
      </c>
      <c r="H144" s="989" t="s">
        <v>4188</v>
      </c>
      <c r="I144" s="989" t="s">
        <v>4189</v>
      </c>
      <c r="J144" s="987"/>
      <c r="K144" s="987"/>
      <c r="L144" s="987"/>
      <c r="M144" s="987"/>
      <c r="N144" s="987"/>
      <c r="O144" s="987"/>
      <c r="P144" s="987"/>
      <c r="Q144" s="987"/>
      <c r="R144" s="987"/>
      <c r="S144" s="987"/>
      <c r="T144" s="987"/>
      <c r="U144" s="987"/>
      <c r="V144" s="987"/>
      <c r="W144" s="987"/>
      <c r="X144" s="987"/>
      <c r="Y144" s="987"/>
      <c r="Z144" s="987"/>
      <c r="AA144" s="986"/>
    </row>
    <row r="145" hidden="1">
      <c r="A145" s="436" t="s">
        <v>50</v>
      </c>
      <c r="B145" s="988">
        <v>44111.0</v>
      </c>
      <c r="C145" s="989" t="s">
        <v>4190</v>
      </c>
      <c r="D145" s="434" t="s">
        <v>4191</v>
      </c>
      <c r="E145" s="434" t="s">
        <v>4192</v>
      </c>
      <c r="F145" s="434" t="s">
        <v>50</v>
      </c>
      <c r="G145" s="434" t="s">
        <v>120</v>
      </c>
      <c r="H145" s="989" t="s">
        <v>4193</v>
      </c>
      <c r="I145" s="989" t="s">
        <v>4194</v>
      </c>
      <c r="J145" s="987"/>
      <c r="K145" s="987"/>
      <c r="L145" s="987"/>
      <c r="M145" s="987"/>
      <c r="N145" s="987"/>
      <c r="O145" s="987"/>
      <c r="P145" s="987"/>
      <c r="Q145" s="987"/>
      <c r="R145" s="987"/>
      <c r="S145" s="987"/>
      <c r="T145" s="987"/>
      <c r="U145" s="987"/>
      <c r="V145" s="987"/>
      <c r="W145" s="987"/>
      <c r="X145" s="987"/>
      <c r="Y145" s="987"/>
      <c r="Z145" s="987"/>
      <c r="AA145" s="986"/>
    </row>
    <row r="146" hidden="1">
      <c r="A146" s="436" t="s">
        <v>50</v>
      </c>
      <c r="B146" s="988">
        <v>44111.0</v>
      </c>
      <c r="C146" s="989" t="s">
        <v>4195</v>
      </c>
      <c r="D146" s="434" t="s">
        <v>30</v>
      </c>
      <c r="E146" s="434" t="s">
        <v>4196</v>
      </c>
      <c r="F146" s="434" t="s">
        <v>50</v>
      </c>
      <c r="G146" s="989" t="s">
        <v>4197</v>
      </c>
      <c r="H146" s="989" t="s">
        <v>4198</v>
      </c>
      <c r="I146" s="989" t="s">
        <v>4199</v>
      </c>
      <c r="J146" s="987"/>
      <c r="K146" s="987"/>
      <c r="L146" s="987"/>
      <c r="M146" s="987"/>
      <c r="N146" s="987"/>
      <c r="O146" s="987"/>
      <c r="P146" s="987"/>
      <c r="Q146" s="987"/>
      <c r="R146" s="987"/>
      <c r="S146" s="987"/>
      <c r="T146" s="987"/>
      <c r="U146" s="987"/>
      <c r="V146" s="987"/>
      <c r="W146" s="987"/>
      <c r="X146" s="987"/>
      <c r="Y146" s="987"/>
      <c r="Z146" s="987"/>
      <c r="AA146" s="986"/>
    </row>
    <row r="147" hidden="1">
      <c r="A147" s="436" t="s">
        <v>50</v>
      </c>
      <c r="B147" s="988">
        <v>44112.0</v>
      </c>
      <c r="C147" s="989" t="s">
        <v>3930</v>
      </c>
      <c r="D147" s="434" t="s">
        <v>506</v>
      </c>
      <c r="E147" s="434" t="s">
        <v>305</v>
      </c>
      <c r="F147" s="990">
        <v>1.7241143E7</v>
      </c>
      <c r="G147" s="434" t="s">
        <v>4012</v>
      </c>
      <c r="H147" s="989" t="s">
        <v>4200</v>
      </c>
      <c r="I147" s="989" t="s">
        <v>4201</v>
      </c>
      <c r="J147" s="987"/>
      <c r="K147" s="987"/>
      <c r="L147" s="987"/>
      <c r="M147" s="987"/>
      <c r="N147" s="987"/>
      <c r="O147" s="987"/>
      <c r="P147" s="987"/>
      <c r="Q147" s="987"/>
      <c r="R147" s="987"/>
      <c r="S147" s="987"/>
      <c r="T147" s="987"/>
      <c r="U147" s="987"/>
      <c r="V147" s="987"/>
      <c r="W147" s="987"/>
      <c r="X147" s="987"/>
      <c r="Y147" s="987"/>
      <c r="Z147" s="987"/>
      <c r="AA147" s="986"/>
    </row>
    <row r="148" hidden="1">
      <c r="A148" s="436" t="s">
        <v>50</v>
      </c>
      <c r="B148" s="991">
        <v>44116.0</v>
      </c>
      <c r="C148" s="989" t="s">
        <v>4202</v>
      </c>
      <c r="D148" s="434" t="s">
        <v>119</v>
      </c>
      <c r="E148" s="434" t="s">
        <v>1912</v>
      </c>
      <c r="F148" s="434" t="s">
        <v>50</v>
      </c>
      <c r="G148" s="434" t="s">
        <v>120</v>
      </c>
      <c r="H148" s="989" t="s">
        <v>4203</v>
      </c>
      <c r="I148" s="989" t="s">
        <v>4204</v>
      </c>
      <c r="J148" s="987"/>
      <c r="K148" s="987"/>
      <c r="L148" s="987"/>
      <c r="M148" s="987"/>
      <c r="N148" s="987"/>
      <c r="O148" s="987"/>
      <c r="P148" s="987"/>
      <c r="Q148" s="987"/>
      <c r="R148" s="987"/>
      <c r="S148" s="987"/>
      <c r="T148" s="987"/>
      <c r="U148" s="987"/>
      <c r="V148" s="987"/>
      <c r="W148" s="987"/>
      <c r="X148" s="987"/>
      <c r="Y148" s="987"/>
      <c r="Z148" s="987"/>
      <c r="AA148" s="986"/>
    </row>
    <row r="149" hidden="1">
      <c r="A149" s="436" t="s">
        <v>50</v>
      </c>
      <c r="B149" s="991">
        <v>44116.0</v>
      </c>
      <c r="C149" s="989" t="s">
        <v>4205</v>
      </c>
      <c r="D149" s="434" t="s">
        <v>1101</v>
      </c>
      <c r="E149" s="434" t="s">
        <v>3352</v>
      </c>
      <c r="F149" s="434" t="s">
        <v>50</v>
      </c>
      <c r="G149" s="989" t="s">
        <v>3353</v>
      </c>
      <c r="H149" s="989" t="s">
        <v>4206</v>
      </c>
      <c r="I149" s="989" t="s">
        <v>4207</v>
      </c>
      <c r="J149" s="987"/>
      <c r="K149" s="987"/>
      <c r="L149" s="987"/>
      <c r="M149" s="987"/>
      <c r="N149" s="987"/>
      <c r="O149" s="987"/>
      <c r="P149" s="987"/>
      <c r="Q149" s="987"/>
      <c r="R149" s="987"/>
      <c r="S149" s="987"/>
      <c r="T149" s="987"/>
      <c r="U149" s="987"/>
      <c r="V149" s="987"/>
      <c r="W149" s="987"/>
      <c r="X149" s="987"/>
      <c r="Y149" s="987"/>
      <c r="Z149" s="987"/>
      <c r="AA149" s="986"/>
    </row>
    <row r="150" hidden="1">
      <c r="A150" s="436" t="s">
        <v>50</v>
      </c>
      <c r="B150" s="991">
        <v>44117.0</v>
      </c>
      <c r="C150" s="989" t="s">
        <v>4151</v>
      </c>
      <c r="D150" s="434" t="s">
        <v>4028</v>
      </c>
      <c r="E150" s="434" t="s">
        <v>305</v>
      </c>
      <c r="F150" s="990">
        <v>1.5191629E7</v>
      </c>
      <c r="G150" s="434" t="s">
        <v>348</v>
      </c>
      <c r="H150" s="989" t="s">
        <v>4208</v>
      </c>
      <c r="I150" s="989" t="s">
        <v>4209</v>
      </c>
      <c r="J150" s="987"/>
      <c r="K150" s="987"/>
      <c r="L150" s="987"/>
      <c r="M150" s="987"/>
      <c r="N150" s="987"/>
      <c r="O150" s="987"/>
      <c r="P150" s="987"/>
      <c r="Q150" s="987"/>
      <c r="R150" s="987"/>
      <c r="S150" s="987"/>
      <c r="T150" s="987"/>
      <c r="U150" s="987"/>
      <c r="V150" s="987"/>
      <c r="W150" s="987"/>
      <c r="X150" s="987"/>
      <c r="Y150" s="987"/>
      <c r="Z150" s="987"/>
      <c r="AA150" s="986"/>
    </row>
    <row r="151" hidden="1">
      <c r="A151" s="436" t="s">
        <v>50</v>
      </c>
      <c r="B151" s="991">
        <v>44119.0</v>
      </c>
      <c r="C151" s="989" t="s">
        <v>4210</v>
      </c>
      <c r="D151" s="434" t="s">
        <v>878</v>
      </c>
      <c r="E151" s="434" t="s">
        <v>305</v>
      </c>
      <c r="F151" s="434" t="s">
        <v>50</v>
      </c>
      <c r="G151" s="434" t="s">
        <v>120</v>
      </c>
      <c r="H151" s="989" t="s">
        <v>4211</v>
      </c>
      <c r="I151" s="989" t="s">
        <v>4212</v>
      </c>
      <c r="J151" s="987"/>
      <c r="K151" s="987"/>
      <c r="L151" s="987"/>
      <c r="M151" s="987"/>
      <c r="N151" s="987"/>
      <c r="O151" s="987"/>
      <c r="P151" s="987"/>
      <c r="Q151" s="987"/>
      <c r="R151" s="987"/>
      <c r="S151" s="987"/>
      <c r="T151" s="987"/>
      <c r="U151" s="987"/>
      <c r="V151" s="987"/>
      <c r="W151" s="987"/>
      <c r="X151" s="987"/>
      <c r="Y151" s="987"/>
      <c r="Z151" s="987"/>
      <c r="AA151" s="986"/>
    </row>
    <row r="152" hidden="1">
      <c r="A152" s="436" t="s">
        <v>50</v>
      </c>
      <c r="B152" s="991">
        <v>44119.0</v>
      </c>
      <c r="C152" s="989" t="s">
        <v>4104</v>
      </c>
      <c r="D152" s="434" t="s">
        <v>404</v>
      </c>
      <c r="E152" s="434" t="s">
        <v>338</v>
      </c>
      <c r="F152" s="434" t="s">
        <v>50</v>
      </c>
      <c r="G152" s="989" t="s">
        <v>4197</v>
      </c>
      <c r="H152" s="989" t="s">
        <v>4213</v>
      </c>
      <c r="I152" s="989" t="s">
        <v>4214</v>
      </c>
      <c r="J152" s="987"/>
      <c r="K152" s="987"/>
      <c r="L152" s="987"/>
      <c r="M152" s="987"/>
      <c r="N152" s="987"/>
      <c r="O152" s="987"/>
      <c r="P152" s="987"/>
      <c r="Q152" s="987"/>
      <c r="R152" s="987"/>
      <c r="S152" s="987"/>
      <c r="T152" s="987"/>
      <c r="U152" s="987"/>
      <c r="V152" s="987"/>
      <c r="W152" s="987"/>
      <c r="X152" s="987"/>
      <c r="Y152" s="987"/>
      <c r="Z152" s="987"/>
      <c r="AA152" s="986"/>
    </row>
    <row r="153" hidden="1">
      <c r="A153" s="436" t="s">
        <v>50</v>
      </c>
      <c r="B153" s="991">
        <v>44120.0</v>
      </c>
      <c r="C153" s="989" t="s">
        <v>4215</v>
      </c>
      <c r="D153" s="434" t="s">
        <v>2639</v>
      </c>
      <c r="E153" s="434" t="s">
        <v>3802</v>
      </c>
      <c r="F153" s="434" t="s">
        <v>50</v>
      </c>
      <c r="G153" s="434" t="s">
        <v>32</v>
      </c>
      <c r="H153" s="989" t="s">
        <v>4216</v>
      </c>
      <c r="I153" s="989" t="s">
        <v>4217</v>
      </c>
      <c r="J153" s="987"/>
      <c r="K153" s="987"/>
      <c r="L153" s="987"/>
      <c r="M153" s="987"/>
      <c r="N153" s="987"/>
      <c r="O153" s="987"/>
      <c r="P153" s="987"/>
      <c r="Q153" s="987"/>
      <c r="R153" s="987"/>
      <c r="S153" s="987"/>
      <c r="T153" s="987"/>
      <c r="U153" s="987"/>
      <c r="V153" s="987"/>
      <c r="W153" s="987"/>
      <c r="X153" s="987"/>
      <c r="Y153" s="987"/>
      <c r="Z153" s="987"/>
      <c r="AA153" s="986"/>
    </row>
    <row r="154" hidden="1">
      <c r="A154" s="436" t="s">
        <v>50</v>
      </c>
      <c r="B154" s="991">
        <v>44120.0</v>
      </c>
      <c r="C154" s="989" t="s">
        <v>4175</v>
      </c>
      <c r="D154" s="434" t="s">
        <v>1766</v>
      </c>
      <c r="E154" s="434" t="s">
        <v>4176</v>
      </c>
      <c r="F154" s="990">
        <v>1.6450852E7</v>
      </c>
      <c r="G154" s="434" t="s">
        <v>42</v>
      </c>
      <c r="H154" s="989" t="s">
        <v>4177</v>
      </c>
      <c r="I154" s="989" t="s">
        <v>4218</v>
      </c>
      <c r="J154" s="987"/>
      <c r="K154" s="987"/>
      <c r="L154" s="987"/>
      <c r="M154" s="987"/>
      <c r="N154" s="987"/>
      <c r="O154" s="987"/>
      <c r="P154" s="987"/>
      <c r="Q154" s="987"/>
      <c r="R154" s="987"/>
      <c r="S154" s="987"/>
      <c r="T154" s="987"/>
      <c r="U154" s="987"/>
      <c r="V154" s="987"/>
      <c r="W154" s="987"/>
      <c r="X154" s="987"/>
      <c r="Y154" s="987"/>
      <c r="Z154" s="987"/>
      <c r="AA154" s="986"/>
    </row>
    <row r="155" hidden="1">
      <c r="A155" s="436" t="s">
        <v>50</v>
      </c>
      <c r="B155" s="991">
        <v>44123.0</v>
      </c>
      <c r="C155" s="989" t="s">
        <v>4219</v>
      </c>
      <c r="D155" s="434" t="s">
        <v>205</v>
      </c>
      <c r="E155" s="434" t="s">
        <v>305</v>
      </c>
      <c r="F155" s="434" t="s">
        <v>50</v>
      </c>
      <c r="G155" s="989" t="s">
        <v>4220</v>
      </c>
      <c r="H155" s="989" t="s">
        <v>4221</v>
      </c>
      <c r="I155" s="989" t="s">
        <v>4222</v>
      </c>
      <c r="J155" s="987"/>
      <c r="K155" s="987"/>
      <c r="L155" s="987"/>
      <c r="M155" s="987"/>
      <c r="N155" s="987"/>
      <c r="O155" s="987"/>
      <c r="P155" s="987"/>
      <c r="Q155" s="987"/>
      <c r="R155" s="987"/>
      <c r="S155" s="987"/>
      <c r="T155" s="987"/>
      <c r="U155" s="987"/>
      <c r="V155" s="987"/>
      <c r="W155" s="987"/>
      <c r="X155" s="987"/>
      <c r="Y155" s="987"/>
      <c r="Z155" s="987"/>
      <c r="AA155" s="986"/>
    </row>
    <row r="156" hidden="1">
      <c r="A156" s="436" t="s">
        <v>50</v>
      </c>
      <c r="B156" s="991">
        <v>44124.0</v>
      </c>
      <c r="C156" s="989" t="s">
        <v>4160</v>
      </c>
      <c r="D156" s="434" t="s">
        <v>1634</v>
      </c>
      <c r="E156" s="434" t="s">
        <v>3802</v>
      </c>
      <c r="F156" s="990">
        <v>1.7140305E7</v>
      </c>
      <c r="G156" s="434" t="s">
        <v>348</v>
      </c>
      <c r="H156" s="989" t="s">
        <v>4223</v>
      </c>
      <c r="I156" s="989" t="s">
        <v>4224</v>
      </c>
      <c r="J156" s="987"/>
      <c r="K156" s="987"/>
      <c r="L156" s="987"/>
      <c r="M156" s="987"/>
      <c r="N156" s="987"/>
      <c r="O156" s="987"/>
      <c r="P156" s="987"/>
      <c r="Q156" s="987"/>
      <c r="R156" s="987"/>
      <c r="S156" s="987"/>
      <c r="T156" s="987"/>
      <c r="U156" s="987"/>
      <c r="V156" s="987"/>
      <c r="W156" s="987"/>
      <c r="X156" s="987"/>
      <c r="Y156" s="987"/>
      <c r="Z156" s="987"/>
      <c r="AA156" s="986"/>
    </row>
    <row r="157" hidden="1">
      <c r="A157" s="436" t="s">
        <v>50</v>
      </c>
      <c r="B157" s="991">
        <v>44124.0</v>
      </c>
      <c r="C157" s="989" t="s">
        <v>4104</v>
      </c>
      <c r="D157" s="434" t="s">
        <v>404</v>
      </c>
      <c r="E157" s="434" t="s">
        <v>50</v>
      </c>
      <c r="F157" s="434" t="s">
        <v>50</v>
      </c>
      <c r="G157" s="434" t="s">
        <v>200</v>
      </c>
      <c r="H157" s="989" t="s">
        <v>4225</v>
      </c>
      <c r="I157" s="989" t="s">
        <v>4226</v>
      </c>
      <c r="J157" s="987"/>
      <c r="K157" s="987"/>
      <c r="L157" s="987"/>
      <c r="M157" s="987"/>
      <c r="N157" s="987"/>
      <c r="O157" s="987"/>
      <c r="P157" s="987"/>
      <c r="Q157" s="987"/>
      <c r="R157" s="987"/>
      <c r="S157" s="987"/>
      <c r="T157" s="987"/>
      <c r="U157" s="987"/>
      <c r="V157" s="987"/>
      <c r="W157" s="987"/>
      <c r="X157" s="987"/>
      <c r="Y157" s="987"/>
      <c r="Z157" s="987"/>
      <c r="AA157" s="986"/>
    </row>
    <row r="158" hidden="1">
      <c r="A158" s="436" t="s">
        <v>50</v>
      </c>
      <c r="B158" s="991">
        <v>44125.0</v>
      </c>
      <c r="C158" s="989" t="s">
        <v>4227</v>
      </c>
      <c r="D158" s="434" t="s">
        <v>3885</v>
      </c>
      <c r="E158" s="434" t="s">
        <v>269</v>
      </c>
      <c r="F158" s="990">
        <v>1.688019E7</v>
      </c>
      <c r="G158" s="434" t="s">
        <v>51</v>
      </c>
      <c r="H158" s="989" t="s">
        <v>4228</v>
      </c>
      <c r="I158" s="989" t="s">
        <v>4229</v>
      </c>
      <c r="J158" s="987"/>
      <c r="K158" s="987"/>
      <c r="L158" s="987"/>
      <c r="M158" s="987"/>
      <c r="N158" s="987"/>
      <c r="O158" s="987"/>
      <c r="P158" s="987"/>
      <c r="Q158" s="987"/>
      <c r="R158" s="987"/>
      <c r="S158" s="987"/>
      <c r="T158" s="987"/>
      <c r="U158" s="987"/>
      <c r="V158" s="987"/>
      <c r="W158" s="987"/>
      <c r="X158" s="987"/>
      <c r="Y158" s="987"/>
      <c r="Z158" s="987"/>
      <c r="AA158" s="986"/>
    </row>
    <row r="159" hidden="1">
      <c r="A159" s="436" t="s">
        <v>50</v>
      </c>
      <c r="B159" s="991">
        <v>44127.0</v>
      </c>
      <c r="C159" s="989" t="s">
        <v>4104</v>
      </c>
      <c r="D159" s="434" t="s">
        <v>404</v>
      </c>
      <c r="E159" s="434" t="s">
        <v>50</v>
      </c>
      <c r="F159" s="434" t="s">
        <v>50</v>
      </c>
      <c r="G159" s="434" t="s">
        <v>200</v>
      </c>
      <c r="H159" s="989" t="s">
        <v>4225</v>
      </c>
      <c r="I159" s="989" t="s">
        <v>4226</v>
      </c>
      <c r="J159" s="987"/>
      <c r="K159" s="987"/>
      <c r="L159" s="987"/>
      <c r="M159" s="987"/>
      <c r="N159" s="987"/>
      <c r="O159" s="987"/>
      <c r="P159" s="987"/>
      <c r="Q159" s="987"/>
      <c r="R159" s="987"/>
      <c r="S159" s="987"/>
      <c r="T159" s="987"/>
      <c r="U159" s="987"/>
      <c r="V159" s="987"/>
      <c r="W159" s="987"/>
      <c r="X159" s="987"/>
      <c r="Y159" s="987"/>
      <c r="Z159" s="987"/>
      <c r="AA159" s="986"/>
    </row>
    <row r="160" hidden="1">
      <c r="A160" s="436" t="s">
        <v>50</v>
      </c>
      <c r="B160" s="991">
        <v>44130.0</v>
      </c>
      <c r="C160" s="989" t="s">
        <v>4230</v>
      </c>
      <c r="D160" s="434" t="s">
        <v>506</v>
      </c>
      <c r="E160" s="434" t="s">
        <v>305</v>
      </c>
      <c r="F160" s="990">
        <v>1.7240478E7</v>
      </c>
      <c r="G160" s="434" t="s">
        <v>4012</v>
      </c>
      <c r="H160" s="989" t="s">
        <v>4231</v>
      </c>
      <c r="I160" s="989" t="s">
        <v>4232</v>
      </c>
      <c r="J160" s="987"/>
      <c r="K160" s="987"/>
      <c r="L160" s="987"/>
      <c r="M160" s="987"/>
      <c r="N160" s="987"/>
      <c r="O160" s="987"/>
      <c r="P160" s="987"/>
      <c r="Q160" s="987"/>
      <c r="R160" s="987"/>
      <c r="S160" s="987"/>
      <c r="T160" s="987"/>
      <c r="U160" s="987"/>
      <c r="V160" s="987"/>
      <c r="W160" s="987"/>
      <c r="X160" s="987"/>
      <c r="Y160" s="987"/>
      <c r="Z160" s="987"/>
      <c r="AA160" s="986"/>
    </row>
    <row r="161" hidden="1">
      <c r="A161" s="436" t="s">
        <v>50</v>
      </c>
      <c r="B161" s="991">
        <v>44130.0</v>
      </c>
      <c r="C161" s="989" t="s">
        <v>3791</v>
      </c>
      <c r="D161" s="434" t="s">
        <v>3792</v>
      </c>
      <c r="E161" s="434" t="s">
        <v>559</v>
      </c>
      <c r="F161" s="434" t="s">
        <v>50</v>
      </c>
      <c r="G161" s="434" t="s">
        <v>103</v>
      </c>
      <c r="H161" s="989" t="s">
        <v>4233</v>
      </c>
      <c r="I161" s="989" t="s">
        <v>4234</v>
      </c>
      <c r="J161" s="987"/>
      <c r="K161" s="987"/>
      <c r="L161" s="987"/>
      <c r="M161" s="987"/>
      <c r="N161" s="987"/>
      <c r="O161" s="987"/>
      <c r="P161" s="987"/>
      <c r="Q161" s="987"/>
      <c r="R161" s="987"/>
      <c r="S161" s="987"/>
      <c r="T161" s="987"/>
      <c r="U161" s="987"/>
      <c r="V161" s="987"/>
      <c r="W161" s="987"/>
      <c r="X161" s="987"/>
      <c r="Y161" s="987"/>
      <c r="Z161" s="987"/>
      <c r="AA161" s="986"/>
    </row>
    <row r="162" hidden="1">
      <c r="A162" s="436" t="s">
        <v>50</v>
      </c>
      <c r="B162" s="991">
        <v>44132.0</v>
      </c>
      <c r="C162" s="989" t="s">
        <v>3977</v>
      </c>
      <c r="D162" s="434" t="s">
        <v>2530</v>
      </c>
      <c r="E162" s="434" t="s">
        <v>3978</v>
      </c>
      <c r="F162" s="990">
        <v>1.8610534E7</v>
      </c>
      <c r="G162" s="434" t="s">
        <v>32</v>
      </c>
      <c r="H162" s="989" t="s">
        <v>4235</v>
      </c>
      <c r="I162" s="989" t="s">
        <v>4236</v>
      </c>
      <c r="J162" s="987"/>
      <c r="K162" s="987"/>
      <c r="L162" s="987"/>
      <c r="M162" s="987"/>
      <c r="N162" s="987"/>
      <c r="O162" s="987"/>
      <c r="P162" s="987"/>
      <c r="Q162" s="987"/>
      <c r="R162" s="987"/>
      <c r="S162" s="987"/>
      <c r="T162" s="987"/>
      <c r="U162" s="987"/>
      <c r="V162" s="987"/>
      <c r="W162" s="987"/>
      <c r="X162" s="987"/>
      <c r="Y162" s="987"/>
      <c r="Z162" s="987"/>
      <c r="AA162" s="986"/>
    </row>
    <row r="163" hidden="1">
      <c r="A163" s="436" t="s">
        <v>50</v>
      </c>
      <c r="B163" s="991">
        <v>44133.0</v>
      </c>
      <c r="C163" s="989" t="s">
        <v>4237</v>
      </c>
      <c r="D163" s="434" t="s">
        <v>918</v>
      </c>
      <c r="E163" s="434" t="s">
        <v>281</v>
      </c>
      <c r="F163" s="434" t="s">
        <v>50</v>
      </c>
      <c r="G163" s="434" t="s">
        <v>120</v>
      </c>
      <c r="H163" s="989" t="s">
        <v>4238</v>
      </c>
      <c r="I163" s="989" t="s">
        <v>4239</v>
      </c>
      <c r="J163" s="987"/>
      <c r="K163" s="987"/>
      <c r="L163" s="987"/>
      <c r="M163" s="987"/>
      <c r="N163" s="987"/>
      <c r="O163" s="987"/>
      <c r="P163" s="987"/>
      <c r="Q163" s="987"/>
      <c r="R163" s="987"/>
      <c r="S163" s="987"/>
      <c r="T163" s="987"/>
      <c r="U163" s="987"/>
      <c r="V163" s="987"/>
      <c r="W163" s="987"/>
      <c r="X163" s="987"/>
      <c r="Y163" s="987"/>
      <c r="Z163" s="987"/>
      <c r="AA163" s="986"/>
    </row>
    <row r="164" hidden="1">
      <c r="A164" s="436" t="s">
        <v>50</v>
      </c>
      <c r="B164" s="991">
        <v>44134.0</v>
      </c>
      <c r="C164" s="989" t="s">
        <v>3791</v>
      </c>
      <c r="D164" s="434" t="s">
        <v>3792</v>
      </c>
      <c r="E164" s="434" t="s">
        <v>559</v>
      </c>
      <c r="F164" s="990">
        <v>1.7190012E7</v>
      </c>
      <c r="G164" s="434" t="s">
        <v>103</v>
      </c>
      <c r="H164" s="989" t="s">
        <v>4240</v>
      </c>
      <c r="I164" s="989" t="s">
        <v>4241</v>
      </c>
      <c r="J164" s="987"/>
      <c r="K164" s="987"/>
      <c r="L164" s="987"/>
      <c r="M164" s="987"/>
      <c r="N164" s="987"/>
      <c r="O164" s="987"/>
      <c r="P164" s="987"/>
      <c r="Q164" s="987"/>
      <c r="R164" s="987"/>
      <c r="S164" s="987"/>
      <c r="T164" s="987"/>
      <c r="U164" s="987"/>
      <c r="V164" s="987"/>
      <c r="W164" s="987"/>
      <c r="X164" s="987"/>
      <c r="Y164" s="987"/>
      <c r="Z164" s="987"/>
      <c r="AA164" s="986"/>
    </row>
    <row r="165" hidden="1">
      <c r="A165" s="436" t="s">
        <v>50</v>
      </c>
      <c r="B165" s="991">
        <v>44134.0</v>
      </c>
      <c r="C165" s="989" t="s">
        <v>4242</v>
      </c>
      <c r="D165" s="434" t="s">
        <v>4243</v>
      </c>
      <c r="E165" s="434" t="s">
        <v>50</v>
      </c>
      <c r="F165" s="434" t="s">
        <v>50</v>
      </c>
      <c r="G165" s="434" t="s">
        <v>200</v>
      </c>
      <c r="H165" s="989" t="s">
        <v>4244</v>
      </c>
      <c r="I165" s="989" t="s">
        <v>4245</v>
      </c>
      <c r="J165" s="987"/>
      <c r="K165" s="987"/>
      <c r="L165" s="987"/>
      <c r="M165" s="987"/>
      <c r="N165" s="987"/>
      <c r="O165" s="987"/>
      <c r="P165" s="987"/>
      <c r="Q165" s="987"/>
      <c r="R165" s="987"/>
      <c r="S165" s="987"/>
      <c r="T165" s="987"/>
      <c r="U165" s="987"/>
      <c r="V165" s="987"/>
      <c r="W165" s="987"/>
      <c r="X165" s="987"/>
      <c r="Y165" s="987"/>
      <c r="Z165" s="987"/>
      <c r="AA165" s="986"/>
    </row>
    <row r="166" hidden="1">
      <c r="A166" s="436" t="s">
        <v>50</v>
      </c>
      <c r="B166" s="988">
        <v>44137.0</v>
      </c>
      <c r="C166" s="989" t="s">
        <v>4246</v>
      </c>
      <c r="D166" s="434" t="s">
        <v>1106</v>
      </c>
      <c r="E166" s="434" t="s">
        <v>305</v>
      </c>
      <c r="F166" s="434" t="s">
        <v>50</v>
      </c>
      <c r="G166" s="434" t="s">
        <v>103</v>
      </c>
      <c r="H166" s="989" t="s">
        <v>4247</v>
      </c>
      <c r="I166" s="989" t="s">
        <v>4248</v>
      </c>
      <c r="J166" s="987"/>
      <c r="K166" s="987"/>
      <c r="L166" s="987"/>
      <c r="M166" s="987"/>
      <c r="N166" s="987"/>
      <c r="O166" s="987"/>
      <c r="P166" s="987"/>
      <c r="Q166" s="987"/>
      <c r="R166" s="987"/>
      <c r="S166" s="987"/>
      <c r="T166" s="987"/>
      <c r="U166" s="987"/>
      <c r="V166" s="987"/>
      <c r="W166" s="987"/>
      <c r="X166" s="987"/>
      <c r="Y166" s="987"/>
      <c r="Z166" s="987"/>
      <c r="AA166" s="986"/>
    </row>
    <row r="167" hidden="1">
      <c r="A167" s="436" t="s">
        <v>50</v>
      </c>
      <c r="B167" s="988">
        <v>44140.0</v>
      </c>
      <c r="C167" s="989" t="s">
        <v>4249</v>
      </c>
      <c r="D167" s="434" t="s">
        <v>4152</v>
      </c>
      <c r="E167" s="434" t="s">
        <v>453</v>
      </c>
      <c r="F167" s="990">
        <v>1.5201553E7</v>
      </c>
      <c r="G167" s="434" t="s">
        <v>348</v>
      </c>
      <c r="H167" s="989" t="s">
        <v>4250</v>
      </c>
      <c r="I167" s="989" t="s">
        <v>4251</v>
      </c>
      <c r="J167" s="987"/>
      <c r="K167" s="987"/>
      <c r="L167" s="987"/>
      <c r="M167" s="987"/>
      <c r="N167" s="987"/>
      <c r="O167" s="987"/>
      <c r="P167" s="987"/>
      <c r="Q167" s="987"/>
      <c r="R167" s="987"/>
      <c r="S167" s="987"/>
      <c r="T167" s="987"/>
      <c r="U167" s="987"/>
      <c r="V167" s="987"/>
      <c r="W167" s="987"/>
      <c r="X167" s="987"/>
      <c r="Y167" s="987"/>
      <c r="Z167" s="987"/>
      <c r="AA167" s="986"/>
    </row>
    <row r="168" hidden="1">
      <c r="A168" s="436" t="s">
        <v>50</v>
      </c>
      <c r="B168" s="991">
        <v>44145.0</v>
      </c>
      <c r="C168" s="989" t="s">
        <v>4015</v>
      </c>
      <c r="D168" s="434" t="s">
        <v>2804</v>
      </c>
      <c r="E168" s="434" t="s">
        <v>453</v>
      </c>
      <c r="F168" s="434" t="s">
        <v>50</v>
      </c>
      <c r="G168" s="434" t="s">
        <v>103</v>
      </c>
      <c r="H168" s="989" t="s">
        <v>4252</v>
      </c>
      <c r="I168" s="989" t="s">
        <v>4253</v>
      </c>
      <c r="J168" s="987"/>
      <c r="K168" s="987"/>
      <c r="L168" s="987"/>
      <c r="M168" s="987"/>
      <c r="N168" s="987"/>
      <c r="O168" s="987"/>
      <c r="P168" s="987"/>
      <c r="Q168" s="987"/>
      <c r="R168" s="987"/>
      <c r="S168" s="987"/>
      <c r="T168" s="987"/>
      <c r="U168" s="987"/>
      <c r="V168" s="987"/>
      <c r="W168" s="987"/>
      <c r="X168" s="987"/>
      <c r="Y168" s="987"/>
      <c r="Z168" s="987"/>
      <c r="AA168" s="986"/>
    </row>
    <row r="169" hidden="1">
      <c r="A169" s="436" t="s">
        <v>50</v>
      </c>
      <c r="B169" s="991">
        <v>44145.0</v>
      </c>
      <c r="C169" s="989" t="s">
        <v>4237</v>
      </c>
      <c r="D169" s="434" t="s">
        <v>918</v>
      </c>
      <c r="E169" s="434" t="s">
        <v>3991</v>
      </c>
      <c r="F169" s="434" t="s">
        <v>50</v>
      </c>
      <c r="G169" s="434" t="s">
        <v>120</v>
      </c>
      <c r="H169" s="989" t="s">
        <v>4254</v>
      </c>
      <c r="I169" s="989" t="s">
        <v>4255</v>
      </c>
      <c r="J169" s="987"/>
      <c r="K169" s="987"/>
      <c r="L169" s="987"/>
      <c r="M169" s="987"/>
      <c r="N169" s="987"/>
      <c r="O169" s="987"/>
      <c r="P169" s="987"/>
      <c r="Q169" s="987"/>
      <c r="R169" s="987"/>
      <c r="S169" s="987"/>
      <c r="T169" s="987"/>
      <c r="U169" s="987"/>
      <c r="V169" s="987"/>
      <c r="W169" s="987"/>
      <c r="X169" s="987"/>
      <c r="Y169" s="987"/>
      <c r="Z169" s="987"/>
      <c r="AA169" s="986"/>
    </row>
    <row r="170" hidden="1">
      <c r="A170" s="436" t="s">
        <v>50</v>
      </c>
      <c r="B170" s="991">
        <v>44145.0</v>
      </c>
      <c r="C170" s="989" t="s">
        <v>4237</v>
      </c>
      <c r="D170" s="434" t="s">
        <v>918</v>
      </c>
      <c r="E170" s="434" t="s">
        <v>3991</v>
      </c>
      <c r="F170" s="434" t="s">
        <v>50</v>
      </c>
      <c r="G170" s="434" t="s">
        <v>120</v>
      </c>
      <c r="H170" s="989" t="s">
        <v>4256</v>
      </c>
      <c r="I170" s="989" t="s">
        <v>4255</v>
      </c>
      <c r="J170" s="987"/>
      <c r="K170" s="987"/>
      <c r="L170" s="987"/>
      <c r="M170" s="987"/>
      <c r="N170" s="987"/>
      <c r="O170" s="987"/>
      <c r="P170" s="987"/>
      <c r="Q170" s="987"/>
      <c r="R170" s="987"/>
      <c r="S170" s="987"/>
      <c r="T170" s="987"/>
      <c r="U170" s="987"/>
      <c r="V170" s="987"/>
      <c r="W170" s="987"/>
      <c r="X170" s="987"/>
      <c r="Y170" s="987"/>
      <c r="Z170" s="987"/>
      <c r="AA170" s="986"/>
    </row>
    <row r="171" hidden="1">
      <c r="A171" s="436" t="s">
        <v>50</v>
      </c>
      <c r="B171" s="991">
        <v>44148.0</v>
      </c>
      <c r="C171" s="989" t="s">
        <v>4237</v>
      </c>
      <c r="D171" s="434" t="s">
        <v>918</v>
      </c>
      <c r="E171" s="434" t="s">
        <v>3991</v>
      </c>
      <c r="F171" s="434" t="s">
        <v>50</v>
      </c>
      <c r="G171" s="434" t="s">
        <v>120</v>
      </c>
      <c r="H171" s="989" t="s">
        <v>4257</v>
      </c>
      <c r="I171" s="989" t="s">
        <v>4258</v>
      </c>
      <c r="J171" s="987"/>
      <c r="K171" s="987"/>
      <c r="L171" s="987"/>
      <c r="M171" s="987"/>
      <c r="N171" s="987"/>
      <c r="O171" s="987"/>
      <c r="P171" s="987"/>
      <c r="Q171" s="987"/>
      <c r="R171" s="987"/>
      <c r="S171" s="987"/>
      <c r="T171" s="987"/>
      <c r="U171" s="987"/>
      <c r="V171" s="987"/>
      <c r="W171" s="987"/>
      <c r="X171" s="987"/>
      <c r="Y171" s="987"/>
      <c r="Z171" s="987"/>
      <c r="AA171" s="986"/>
    </row>
    <row r="172" hidden="1">
      <c r="A172" s="436" t="s">
        <v>50</v>
      </c>
      <c r="B172" s="991">
        <v>44148.0</v>
      </c>
      <c r="C172" s="989" t="s">
        <v>4237</v>
      </c>
      <c r="D172" s="434" t="s">
        <v>918</v>
      </c>
      <c r="E172" s="434" t="s">
        <v>3991</v>
      </c>
      <c r="F172" s="434" t="s">
        <v>50</v>
      </c>
      <c r="G172" s="434" t="s">
        <v>120</v>
      </c>
      <c r="H172" s="989" t="s">
        <v>4257</v>
      </c>
      <c r="I172" s="989" t="s">
        <v>4258</v>
      </c>
      <c r="J172" s="987"/>
      <c r="K172" s="987"/>
      <c r="L172" s="987"/>
      <c r="M172" s="987"/>
      <c r="N172" s="987"/>
      <c r="O172" s="987"/>
      <c r="P172" s="987"/>
      <c r="Q172" s="987"/>
      <c r="R172" s="987"/>
      <c r="S172" s="987"/>
      <c r="T172" s="987"/>
      <c r="U172" s="987"/>
      <c r="V172" s="987"/>
      <c r="W172" s="987"/>
      <c r="X172" s="987"/>
      <c r="Y172" s="987"/>
      <c r="Z172" s="987"/>
      <c r="AA172" s="986"/>
    </row>
    <row r="173" hidden="1">
      <c r="A173" s="436" t="s">
        <v>50</v>
      </c>
      <c r="B173" s="991">
        <v>44152.0</v>
      </c>
      <c r="C173" s="989" t="s">
        <v>4259</v>
      </c>
      <c r="D173" s="434" t="s">
        <v>205</v>
      </c>
      <c r="E173" s="434" t="s">
        <v>305</v>
      </c>
      <c r="F173" s="434" t="s">
        <v>50</v>
      </c>
      <c r="G173" s="434" t="s">
        <v>51</v>
      </c>
      <c r="H173" s="989" t="s">
        <v>4260</v>
      </c>
      <c r="I173" s="989" t="s">
        <v>4261</v>
      </c>
      <c r="J173" s="987"/>
      <c r="K173" s="987"/>
      <c r="L173" s="987"/>
      <c r="M173" s="987"/>
      <c r="N173" s="987"/>
      <c r="O173" s="987"/>
      <c r="P173" s="987"/>
      <c r="Q173" s="987"/>
      <c r="R173" s="987"/>
      <c r="S173" s="987"/>
      <c r="T173" s="987"/>
      <c r="U173" s="987"/>
      <c r="V173" s="987"/>
      <c r="W173" s="987"/>
      <c r="X173" s="987"/>
      <c r="Y173" s="987"/>
      <c r="Z173" s="987"/>
      <c r="AA173" s="986"/>
    </row>
    <row r="174" hidden="1">
      <c r="A174" s="436" t="s">
        <v>50</v>
      </c>
      <c r="B174" s="991">
        <v>44159.0</v>
      </c>
      <c r="C174" s="989" t="s">
        <v>4262</v>
      </c>
      <c r="D174" s="434" t="s">
        <v>506</v>
      </c>
      <c r="E174" s="434" t="s">
        <v>4072</v>
      </c>
      <c r="F174" s="434" t="s">
        <v>50</v>
      </c>
      <c r="G174" s="434" t="s">
        <v>120</v>
      </c>
      <c r="H174" s="989" t="s">
        <v>4263</v>
      </c>
      <c r="I174" s="989" t="s">
        <v>4264</v>
      </c>
      <c r="J174" s="987"/>
      <c r="K174" s="987"/>
      <c r="L174" s="987"/>
      <c r="M174" s="987"/>
      <c r="N174" s="987"/>
      <c r="O174" s="987"/>
      <c r="P174" s="987"/>
      <c r="Q174" s="987"/>
      <c r="R174" s="987"/>
      <c r="S174" s="987"/>
      <c r="T174" s="987"/>
      <c r="U174" s="987"/>
      <c r="V174" s="987"/>
      <c r="W174" s="987"/>
      <c r="X174" s="987"/>
      <c r="Y174" s="987"/>
      <c r="Z174" s="987"/>
      <c r="AA174" s="986"/>
    </row>
    <row r="175" hidden="1">
      <c r="A175" s="436" t="s">
        <v>50</v>
      </c>
      <c r="B175" s="991">
        <v>44159.0</v>
      </c>
      <c r="C175" s="989" t="s">
        <v>4262</v>
      </c>
      <c r="D175" s="434" t="s">
        <v>506</v>
      </c>
      <c r="E175" s="434" t="s">
        <v>4072</v>
      </c>
      <c r="F175" s="434" t="s">
        <v>50</v>
      </c>
      <c r="G175" s="434" t="s">
        <v>120</v>
      </c>
      <c r="H175" s="989" t="s">
        <v>4265</v>
      </c>
      <c r="I175" s="989" t="s">
        <v>4266</v>
      </c>
      <c r="J175" s="987"/>
      <c r="K175" s="987"/>
      <c r="L175" s="987"/>
      <c r="M175" s="987"/>
      <c r="N175" s="987"/>
      <c r="O175" s="987"/>
      <c r="P175" s="987"/>
      <c r="Q175" s="987"/>
      <c r="R175" s="987"/>
      <c r="S175" s="987"/>
      <c r="T175" s="987"/>
      <c r="U175" s="987"/>
      <c r="V175" s="987"/>
      <c r="W175" s="987"/>
      <c r="X175" s="987"/>
      <c r="Y175" s="987"/>
      <c r="Z175" s="987"/>
      <c r="AA175" s="986"/>
    </row>
    <row r="176" hidden="1">
      <c r="A176" s="436" t="s">
        <v>50</v>
      </c>
      <c r="B176" s="988">
        <v>44168.0</v>
      </c>
      <c r="C176" s="989" t="s">
        <v>4267</v>
      </c>
      <c r="D176" s="434" t="s">
        <v>4268</v>
      </c>
      <c r="E176" s="434" t="s">
        <v>698</v>
      </c>
      <c r="F176" s="990">
        <v>1.4850617E7</v>
      </c>
      <c r="G176" s="434" t="s">
        <v>51</v>
      </c>
      <c r="H176" s="989" t="s">
        <v>4269</v>
      </c>
      <c r="I176" s="989" t="s">
        <v>4270</v>
      </c>
      <c r="J176" s="987"/>
      <c r="K176" s="987"/>
      <c r="L176" s="987"/>
      <c r="M176" s="987"/>
      <c r="N176" s="987"/>
      <c r="O176" s="987"/>
      <c r="P176" s="987"/>
      <c r="Q176" s="987"/>
      <c r="R176" s="987"/>
      <c r="S176" s="987"/>
      <c r="T176" s="987"/>
      <c r="U176" s="987"/>
      <c r="V176" s="987"/>
      <c r="W176" s="987"/>
      <c r="X176" s="987"/>
      <c r="Y176" s="987"/>
      <c r="Z176" s="987"/>
      <c r="AA176" s="986"/>
    </row>
    <row r="177" hidden="1">
      <c r="A177" s="436" t="s">
        <v>50</v>
      </c>
      <c r="B177" s="988">
        <v>44168.0</v>
      </c>
      <c r="C177" s="989" t="s">
        <v>4267</v>
      </c>
      <c r="D177" s="434" t="s">
        <v>4268</v>
      </c>
      <c r="E177" s="434" t="s">
        <v>698</v>
      </c>
      <c r="F177" s="990">
        <v>1.4850619E7</v>
      </c>
      <c r="G177" s="434" t="s">
        <v>51</v>
      </c>
      <c r="H177" s="989" t="s">
        <v>4271</v>
      </c>
      <c r="I177" s="989" t="s">
        <v>4272</v>
      </c>
      <c r="J177" s="987"/>
      <c r="K177" s="987"/>
      <c r="L177" s="987"/>
      <c r="M177" s="987"/>
      <c r="N177" s="987"/>
      <c r="O177" s="987"/>
      <c r="P177" s="987"/>
      <c r="Q177" s="987"/>
      <c r="R177" s="987"/>
      <c r="S177" s="987"/>
      <c r="T177" s="987"/>
      <c r="U177" s="987"/>
      <c r="V177" s="987"/>
      <c r="W177" s="987"/>
      <c r="X177" s="987"/>
      <c r="Y177" s="987"/>
      <c r="Z177" s="987"/>
      <c r="AA177" s="986"/>
    </row>
    <row r="178" hidden="1">
      <c r="A178" s="436" t="s">
        <v>50</v>
      </c>
      <c r="B178" s="988">
        <v>44168.0</v>
      </c>
      <c r="C178" s="989" t="s">
        <v>4267</v>
      </c>
      <c r="D178" s="434" t="s">
        <v>4268</v>
      </c>
      <c r="E178" s="434" t="s">
        <v>698</v>
      </c>
      <c r="F178" s="990">
        <v>1.4850617E7</v>
      </c>
      <c r="G178" s="434" t="s">
        <v>51</v>
      </c>
      <c r="H178" s="989" t="s">
        <v>4269</v>
      </c>
      <c r="I178" s="989" t="s">
        <v>4273</v>
      </c>
      <c r="J178" s="987"/>
      <c r="K178" s="987"/>
      <c r="L178" s="987"/>
      <c r="M178" s="987"/>
      <c r="N178" s="987"/>
      <c r="O178" s="987"/>
      <c r="P178" s="987"/>
      <c r="Q178" s="987"/>
      <c r="R178" s="987"/>
      <c r="S178" s="987"/>
      <c r="T178" s="987"/>
      <c r="U178" s="987"/>
      <c r="V178" s="987"/>
      <c r="W178" s="987"/>
      <c r="X178" s="987"/>
      <c r="Y178" s="987"/>
      <c r="Z178" s="987"/>
      <c r="AA178" s="986"/>
    </row>
    <row r="179" hidden="1">
      <c r="A179" s="436" t="s">
        <v>50</v>
      </c>
      <c r="B179" s="988">
        <v>44169.0</v>
      </c>
      <c r="C179" s="989" t="s">
        <v>4274</v>
      </c>
      <c r="D179" s="434" t="s">
        <v>239</v>
      </c>
      <c r="E179" s="434" t="s">
        <v>559</v>
      </c>
      <c r="F179" s="990">
        <v>1.7190372E7</v>
      </c>
      <c r="G179" s="434" t="s">
        <v>103</v>
      </c>
      <c r="H179" s="989" t="s">
        <v>4275</v>
      </c>
      <c r="I179" s="989" t="s">
        <v>4276</v>
      </c>
      <c r="J179" s="987"/>
      <c r="K179" s="987"/>
      <c r="L179" s="987"/>
      <c r="M179" s="987"/>
      <c r="N179" s="987"/>
      <c r="O179" s="987"/>
      <c r="P179" s="987"/>
      <c r="Q179" s="987"/>
      <c r="R179" s="987"/>
      <c r="S179" s="987"/>
      <c r="T179" s="987"/>
      <c r="U179" s="987"/>
      <c r="V179" s="987"/>
      <c r="W179" s="987"/>
      <c r="X179" s="987"/>
      <c r="Y179" s="987"/>
      <c r="Z179" s="987"/>
      <c r="AA179" s="986"/>
    </row>
    <row r="180" hidden="1">
      <c r="A180" s="436" t="s">
        <v>50</v>
      </c>
      <c r="B180" s="988">
        <v>44172.0</v>
      </c>
      <c r="C180" s="989" t="s">
        <v>3900</v>
      </c>
      <c r="D180" s="434" t="s">
        <v>2639</v>
      </c>
      <c r="E180" s="434" t="s">
        <v>3802</v>
      </c>
      <c r="F180" s="434" t="s">
        <v>4067</v>
      </c>
      <c r="G180" s="992"/>
      <c r="H180" s="989" t="s">
        <v>4277</v>
      </c>
      <c r="I180" s="989" t="s">
        <v>3934</v>
      </c>
      <c r="J180" s="987"/>
      <c r="K180" s="987"/>
      <c r="L180" s="987"/>
      <c r="M180" s="987"/>
      <c r="N180" s="987"/>
      <c r="O180" s="987"/>
      <c r="P180" s="987"/>
      <c r="Q180" s="987"/>
      <c r="R180" s="987"/>
      <c r="S180" s="987"/>
      <c r="T180" s="987"/>
      <c r="U180" s="987"/>
      <c r="V180" s="987"/>
      <c r="W180" s="987"/>
      <c r="X180" s="987"/>
      <c r="Y180" s="987"/>
      <c r="Z180" s="987"/>
      <c r="AA180" s="986"/>
    </row>
    <row r="181" hidden="1">
      <c r="A181" s="436" t="s">
        <v>50</v>
      </c>
      <c r="B181" s="988">
        <v>44173.0</v>
      </c>
      <c r="C181" s="989" t="s">
        <v>4278</v>
      </c>
      <c r="D181" s="434" t="s">
        <v>744</v>
      </c>
      <c r="E181" s="434" t="s">
        <v>4087</v>
      </c>
      <c r="F181" s="434" t="s">
        <v>50</v>
      </c>
      <c r="G181" s="434" t="s">
        <v>51</v>
      </c>
      <c r="H181" s="989" t="s">
        <v>4279</v>
      </c>
      <c r="I181" s="989" t="s">
        <v>4280</v>
      </c>
      <c r="J181" s="987"/>
      <c r="K181" s="987"/>
      <c r="L181" s="987"/>
      <c r="M181" s="987"/>
      <c r="N181" s="987"/>
      <c r="O181" s="987"/>
      <c r="P181" s="987"/>
      <c r="Q181" s="987"/>
      <c r="R181" s="987"/>
      <c r="S181" s="987"/>
      <c r="T181" s="987"/>
      <c r="U181" s="987"/>
      <c r="V181" s="987"/>
      <c r="W181" s="987"/>
      <c r="X181" s="987"/>
      <c r="Y181" s="987"/>
      <c r="Z181" s="987"/>
      <c r="AA181" s="986"/>
    </row>
    <row r="182" hidden="1">
      <c r="A182" s="436" t="s">
        <v>50</v>
      </c>
      <c r="B182" s="991">
        <v>44175.0</v>
      </c>
      <c r="C182" s="989" t="s">
        <v>4262</v>
      </c>
      <c r="D182" s="434" t="s">
        <v>506</v>
      </c>
      <c r="E182" s="434" t="s">
        <v>305</v>
      </c>
      <c r="F182" s="434" t="s">
        <v>50</v>
      </c>
      <c r="G182" s="434" t="s">
        <v>120</v>
      </c>
      <c r="H182" s="989" t="s">
        <v>4281</v>
      </c>
      <c r="I182" s="989" t="s">
        <v>4282</v>
      </c>
      <c r="J182" s="987"/>
      <c r="K182" s="987"/>
      <c r="L182" s="987"/>
      <c r="M182" s="987"/>
      <c r="N182" s="987"/>
      <c r="O182" s="987"/>
      <c r="P182" s="987"/>
      <c r="Q182" s="987"/>
      <c r="R182" s="987"/>
      <c r="S182" s="987"/>
      <c r="T182" s="987"/>
      <c r="U182" s="987"/>
      <c r="V182" s="987"/>
      <c r="W182" s="987"/>
      <c r="X182" s="987"/>
      <c r="Y182" s="987"/>
      <c r="Z182" s="987"/>
      <c r="AA182" s="986"/>
    </row>
    <row r="183" hidden="1">
      <c r="A183" s="436" t="s">
        <v>50</v>
      </c>
      <c r="B183" s="991">
        <v>44175.0</v>
      </c>
      <c r="C183" s="989" t="s">
        <v>4262</v>
      </c>
      <c r="D183" s="434" t="s">
        <v>506</v>
      </c>
      <c r="E183" s="434" t="s">
        <v>305</v>
      </c>
      <c r="F183" s="990">
        <v>1.7241667E7</v>
      </c>
      <c r="G183" s="434" t="s">
        <v>120</v>
      </c>
      <c r="H183" s="989" t="s">
        <v>4283</v>
      </c>
      <c r="I183" s="989" t="s">
        <v>4284</v>
      </c>
      <c r="J183" s="987"/>
      <c r="K183" s="987"/>
      <c r="L183" s="987"/>
      <c r="M183" s="987"/>
      <c r="N183" s="987"/>
      <c r="O183" s="987"/>
      <c r="P183" s="987"/>
      <c r="Q183" s="987"/>
      <c r="R183" s="987"/>
      <c r="S183" s="987"/>
      <c r="T183" s="987"/>
      <c r="U183" s="987"/>
      <c r="V183" s="987"/>
      <c r="W183" s="987"/>
      <c r="X183" s="987"/>
      <c r="Y183" s="987"/>
      <c r="Z183" s="987"/>
      <c r="AA183" s="986"/>
    </row>
    <row r="184" hidden="1">
      <c r="A184" s="436" t="s">
        <v>50</v>
      </c>
      <c r="B184" s="991">
        <v>44175.0</v>
      </c>
      <c r="C184" s="989" t="s">
        <v>4274</v>
      </c>
      <c r="D184" s="434" t="s">
        <v>239</v>
      </c>
      <c r="E184" s="434" t="s">
        <v>559</v>
      </c>
      <c r="F184" s="990">
        <v>1.7190376E7</v>
      </c>
      <c r="G184" s="434" t="s">
        <v>103</v>
      </c>
      <c r="H184" s="989" t="s">
        <v>4285</v>
      </c>
      <c r="I184" s="989" t="s">
        <v>4286</v>
      </c>
      <c r="J184" s="987"/>
      <c r="K184" s="987"/>
      <c r="L184" s="987"/>
      <c r="M184" s="987"/>
      <c r="N184" s="987"/>
      <c r="O184" s="987"/>
      <c r="P184" s="987"/>
      <c r="Q184" s="987"/>
      <c r="R184" s="987"/>
      <c r="S184" s="987"/>
      <c r="T184" s="987"/>
      <c r="U184" s="987"/>
      <c r="V184" s="987"/>
      <c r="W184" s="987"/>
      <c r="X184" s="987"/>
      <c r="Y184" s="987"/>
      <c r="Z184" s="987"/>
      <c r="AA184" s="986"/>
    </row>
    <row r="185" hidden="1">
      <c r="A185" s="436" t="s">
        <v>50</v>
      </c>
      <c r="B185" s="991">
        <v>44179.0</v>
      </c>
      <c r="C185" s="989" t="s">
        <v>4287</v>
      </c>
      <c r="D185" s="434" t="s">
        <v>3885</v>
      </c>
      <c r="E185" s="434" t="s">
        <v>269</v>
      </c>
      <c r="F185" s="990">
        <v>1.6880137E7</v>
      </c>
      <c r="G185" s="434" t="s">
        <v>51</v>
      </c>
      <c r="H185" s="989" t="s">
        <v>4288</v>
      </c>
      <c r="I185" s="989" t="s">
        <v>4289</v>
      </c>
      <c r="J185" s="987"/>
      <c r="K185" s="987"/>
      <c r="L185" s="987"/>
      <c r="M185" s="987"/>
      <c r="N185" s="987"/>
      <c r="O185" s="987"/>
      <c r="P185" s="987"/>
      <c r="Q185" s="987"/>
      <c r="R185" s="987"/>
      <c r="S185" s="987"/>
      <c r="T185" s="987"/>
      <c r="U185" s="987"/>
      <c r="V185" s="987"/>
      <c r="W185" s="987"/>
      <c r="X185" s="987"/>
      <c r="Y185" s="987"/>
      <c r="Z185" s="987"/>
      <c r="AA185" s="986"/>
    </row>
    <row r="186" hidden="1">
      <c r="A186" s="436" t="s">
        <v>50</v>
      </c>
      <c r="B186" s="991">
        <v>44180.0</v>
      </c>
      <c r="C186" s="989" t="s">
        <v>4290</v>
      </c>
      <c r="D186" s="434" t="s">
        <v>2939</v>
      </c>
      <c r="E186" s="434" t="s">
        <v>4291</v>
      </c>
      <c r="F186" s="990">
        <v>1.4810157E7</v>
      </c>
      <c r="G186" s="434" t="s">
        <v>32</v>
      </c>
      <c r="H186" s="989" t="s">
        <v>4292</v>
      </c>
      <c r="I186" s="989" t="s">
        <v>4293</v>
      </c>
      <c r="J186" s="987"/>
      <c r="K186" s="987"/>
      <c r="L186" s="987"/>
      <c r="M186" s="987"/>
      <c r="N186" s="987"/>
      <c r="O186" s="987"/>
      <c r="P186" s="987"/>
      <c r="Q186" s="987"/>
      <c r="R186" s="987"/>
      <c r="S186" s="987"/>
      <c r="T186" s="987"/>
      <c r="U186" s="987"/>
      <c r="V186" s="987"/>
      <c r="W186" s="987"/>
      <c r="X186" s="987"/>
      <c r="Y186" s="987"/>
      <c r="Z186" s="987"/>
      <c r="AA186" s="986"/>
    </row>
    <row r="187" hidden="1">
      <c r="A187" s="436" t="s">
        <v>50</v>
      </c>
      <c r="B187" s="991">
        <v>44187.0</v>
      </c>
      <c r="C187" s="989" t="s">
        <v>4294</v>
      </c>
      <c r="D187" s="434" t="s">
        <v>540</v>
      </c>
      <c r="E187" s="434" t="s">
        <v>541</v>
      </c>
      <c r="F187" s="990">
        <v>1.5270771E7</v>
      </c>
      <c r="G187" s="434" t="s">
        <v>348</v>
      </c>
      <c r="H187" s="989" t="s">
        <v>4295</v>
      </c>
      <c r="I187" s="989" t="s">
        <v>4296</v>
      </c>
      <c r="J187" s="987"/>
      <c r="K187" s="987"/>
      <c r="L187" s="987"/>
      <c r="M187" s="987"/>
      <c r="N187" s="987"/>
      <c r="O187" s="987"/>
      <c r="P187" s="987"/>
      <c r="Q187" s="987"/>
      <c r="R187" s="987"/>
      <c r="S187" s="987"/>
      <c r="T187" s="987"/>
      <c r="U187" s="987"/>
      <c r="V187" s="987"/>
      <c r="W187" s="987"/>
      <c r="X187" s="987"/>
      <c r="Y187" s="987"/>
      <c r="Z187" s="987"/>
      <c r="AA187" s="986"/>
    </row>
    <row r="188" hidden="1">
      <c r="A188" s="436" t="s">
        <v>50</v>
      </c>
      <c r="B188" s="991">
        <v>44188.0</v>
      </c>
      <c r="C188" s="989" t="s">
        <v>3151</v>
      </c>
      <c r="D188" s="434" t="s">
        <v>2224</v>
      </c>
      <c r="E188" s="434" t="s">
        <v>3152</v>
      </c>
      <c r="F188" s="434" t="s">
        <v>3932</v>
      </c>
      <c r="G188" s="434" t="s">
        <v>120</v>
      </c>
      <c r="H188" s="989" t="s">
        <v>4297</v>
      </c>
      <c r="I188" s="989" t="s">
        <v>4298</v>
      </c>
      <c r="J188" s="987"/>
      <c r="K188" s="987"/>
      <c r="L188" s="987"/>
      <c r="M188" s="987"/>
      <c r="N188" s="987"/>
      <c r="O188" s="987"/>
      <c r="P188" s="987"/>
      <c r="Q188" s="987"/>
      <c r="R188" s="987"/>
      <c r="S188" s="987"/>
      <c r="T188" s="987"/>
      <c r="U188" s="987"/>
      <c r="V188" s="987"/>
      <c r="W188" s="987"/>
      <c r="X188" s="987"/>
      <c r="Y188" s="987"/>
      <c r="Z188" s="987"/>
      <c r="AA188" s="986"/>
    </row>
    <row r="189" hidden="1">
      <c r="A189" s="436" t="s">
        <v>50</v>
      </c>
      <c r="B189" s="991">
        <v>44188.0</v>
      </c>
      <c r="C189" s="989" t="s">
        <v>3151</v>
      </c>
      <c r="D189" s="434" t="s">
        <v>2224</v>
      </c>
      <c r="E189" s="434" t="s">
        <v>3152</v>
      </c>
      <c r="F189" s="434" t="s">
        <v>4067</v>
      </c>
      <c r="G189" s="434" t="s">
        <v>120</v>
      </c>
      <c r="H189" s="989" t="s">
        <v>4299</v>
      </c>
      <c r="I189" s="989" t="s">
        <v>4300</v>
      </c>
      <c r="J189" s="987"/>
      <c r="K189" s="987"/>
      <c r="L189" s="987"/>
      <c r="M189" s="987"/>
      <c r="N189" s="987"/>
      <c r="O189" s="987"/>
      <c r="P189" s="987"/>
      <c r="Q189" s="987"/>
      <c r="R189" s="987"/>
      <c r="S189" s="987"/>
      <c r="T189" s="987"/>
      <c r="U189" s="987"/>
      <c r="V189" s="987"/>
      <c r="W189" s="987"/>
      <c r="X189" s="987"/>
      <c r="Y189" s="987"/>
      <c r="Z189" s="987"/>
      <c r="AA189" s="986"/>
    </row>
    <row r="190" hidden="1">
      <c r="A190" s="436" t="s">
        <v>50</v>
      </c>
      <c r="B190" s="991">
        <v>44188.0</v>
      </c>
      <c r="C190" s="989" t="s">
        <v>4301</v>
      </c>
      <c r="D190" s="434" t="s">
        <v>315</v>
      </c>
      <c r="E190" s="434" t="s">
        <v>3802</v>
      </c>
      <c r="F190" s="434" t="s">
        <v>3932</v>
      </c>
      <c r="G190" s="434" t="s">
        <v>103</v>
      </c>
      <c r="H190" s="989" t="s">
        <v>4302</v>
      </c>
      <c r="I190" s="989" t="s">
        <v>4303</v>
      </c>
      <c r="J190" s="987"/>
      <c r="K190" s="987"/>
      <c r="L190" s="987"/>
      <c r="M190" s="987"/>
      <c r="N190" s="987"/>
      <c r="O190" s="987"/>
      <c r="P190" s="987"/>
      <c r="Q190" s="987"/>
      <c r="R190" s="987"/>
      <c r="S190" s="987"/>
      <c r="T190" s="987"/>
      <c r="U190" s="987"/>
      <c r="V190" s="987"/>
      <c r="W190" s="987"/>
      <c r="X190" s="987"/>
      <c r="Y190" s="987"/>
      <c r="Z190" s="987"/>
      <c r="AA190" s="986"/>
    </row>
    <row r="191" hidden="1">
      <c r="A191" s="436" t="s">
        <v>50</v>
      </c>
      <c r="B191" s="991">
        <v>44193.0</v>
      </c>
      <c r="C191" s="989" t="s">
        <v>4249</v>
      </c>
      <c r="D191" s="434" t="s">
        <v>4152</v>
      </c>
      <c r="E191" s="434" t="s">
        <v>4304</v>
      </c>
      <c r="F191" s="990">
        <v>1.5201567E7</v>
      </c>
      <c r="G191" s="434" t="s">
        <v>348</v>
      </c>
      <c r="H191" s="989" t="s">
        <v>4305</v>
      </c>
      <c r="I191" s="989" t="s">
        <v>4306</v>
      </c>
      <c r="J191" s="987"/>
      <c r="K191" s="987"/>
      <c r="L191" s="987"/>
      <c r="M191" s="987"/>
      <c r="N191" s="987"/>
      <c r="O191" s="987"/>
      <c r="P191" s="987"/>
      <c r="Q191" s="987"/>
      <c r="R191" s="987"/>
      <c r="S191" s="987"/>
      <c r="T191" s="987"/>
      <c r="U191" s="987"/>
      <c r="V191" s="987"/>
      <c r="W191" s="987"/>
      <c r="X191" s="987"/>
      <c r="Y191" s="987"/>
      <c r="Z191" s="987"/>
      <c r="AA191" s="986"/>
    </row>
    <row r="192" hidden="1">
      <c r="A192" s="436" t="s">
        <v>50</v>
      </c>
      <c r="B192" s="991">
        <v>44193.0</v>
      </c>
      <c r="C192" s="989" t="s">
        <v>4249</v>
      </c>
      <c r="D192" s="434" t="s">
        <v>4152</v>
      </c>
      <c r="E192" s="434" t="s">
        <v>453</v>
      </c>
      <c r="F192" s="990">
        <v>1.5201568E7</v>
      </c>
      <c r="G192" s="434" t="s">
        <v>348</v>
      </c>
      <c r="H192" s="989" t="s">
        <v>4307</v>
      </c>
      <c r="I192" s="989" t="s">
        <v>4308</v>
      </c>
      <c r="J192" s="987"/>
      <c r="K192" s="987"/>
      <c r="L192" s="987"/>
      <c r="M192" s="987"/>
      <c r="N192" s="987"/>
      <c r="O192" s="987"/>
      <c r="P192" s="987"/>
      <c r="Q192" s="987"/>
      <c r="R192" s="987"/>
      <c r="S192" s="987"/>
      <c r="T192" s="987"/>
      <c r="U192" s="987"/>
      <c r="V192" s="987"/>
      <c r="W192" s="987"/>
      <c r="X192" s="987"/>
      <c r="Y192" s="987"/>
      <c r="Z192" s="987"/>
      <c r="AA192" s="986"/>
    </row>
    <row r="193" hidden="1">
      <c r="A193" s="436" t="s">
        <v>50</v>
      </c>
      <c r="B193" s="991">
        <v>44193.0</v>
      </c>
      <c r="C193" s="989" t="s">
        <v>4249</v>
      </c>
      <c r="D193" s="434" t="s">
        <v>4152</v>
      </c>
      <c r="E193" s="434" t="s">
        <v>453</v>
      </c>
      <c r="F193" s="990">
        <v>1.5201569E7</v>
      </c>
      <c r="G193" s="434" t="s">
        <v>348</v>
      </c>
      <c r="H193" s="989" t="s">
        <v>4309</v>
      </c>
      <c r="I193" s="989" t="s">
        <v>4308</v>
      </c>
      <c r="J193" s="987"/>
      <c r="K193" s="987"/>
      <c r="L193" s="987"/>
      <c r="M193" s="987"/>
      <c r="N193" s="987"/>
      <c r="O193" s="987"/>
      <c r="P193" s="987"/>
      <c r="Q193" s="987"/>
      <c r="R193" s="987"/>
      <c r="S193" s="987"/>
      <c r="T193" s="987"/>
      <c r="U193" s="987"/>
      <c r="V193" s="987"/>
      <c r="W193" s="987"/>
      <c r="X193" s="987"/>
      <c r="Y193" s="987"/>
      <c r="Z193" s="987"/>
      <c r="AA193" s="986"/>
    </row>
    <row r="194" hidden="1">
      <c r="A194" s="436" t="s">
        <v>50</v>
      </c>
      <c r="B194" s="991">
        <v>44193.0</v>
      </c>
      <c r="C194" s="989" t="s">
        <v>4249</v>
      </c>
      <c r="D194" s="434" t="s">
        <v>4152</v>
      </c>
      <c r="E194" s="434" t="s">
        <v>453</v>
      </c>
      <c r="F194" s="990">
        <v>1.520157E7</v>
      </c>
      <c r="G194" s="434" t="s">
        <v>348</v>
      </c>
      <c r="H194" s="989" t="s">
        <v>4310</v>
      </c>
      <c r="I194" s="989" t="s">
        <v>4311</v>
      </c>
      <c r="J194" s="987"/>
      <c r="K194" s="987"/>
      <c r="L194" s="987"/>
      <c r="M194" s="987"/>
      <c r="N194" s="987"/>
      <c r="O194" s="987"/>
      <c r="P194" s="987"/>
      <c r="Q194" s="987"/>
      <c r="R194" s="987"/>
      <c r="S194" s="987"/>
      <c r="T194" s="987"/>
      <c r="U194" s="987"/>
      <c r="V194" s="987"/>
      <c r="W194" s="987"/>
      <c r="X194" s="987"/>
      <c r="Y194" s="987"/>
      <c r="Z194" s="987"/>
      <c r="AA194" s="986"/>
    </row>
    <row r="195" hidden="1">
      <c r="A195" s="436" t="s">
        <v>50</v>
      </c>
      <c r="B195" s="991">
        <v>44193.0</v>
      </c>
      <c r="C195" s="989" t="s">
        <v>4312</v>
      </c>
      <c r="D195" s="434" t="s">
        <v>1005</v>
      </c>
      <c r="E195" s="434" t="s">
        <v>4313</v>
      </c>
      <c r="F195" s="990">
        <v>1.7700043E7</v>
      </c>
      <c r="G195" s="434" t="s">
        <v>348</v>
      </c>
      <c r="H195" s="989" t="s">
        <v>4314</v>
      </c>
      <c r="I195" s="989" t="s">
        <v>4315</v>
      </c>
      <c r="J195" s="987"/>
      <c r="K195" s="987"/>
      <c r="L195" s="987"/>
      <c r="M195" s="987"/>
      <c r="N195" s="987"/>
      <c r="O195" s="987"/>
      <c r="P195" s="987"/>
      <c r="Q195" s="987"/>
      <c r="R195" s="987"/>
      <c r="S195" s="987"/>
      <c r="T195" s="987"/>
      <c r="U195" s="987"/>
      <c r="V195" s="987"/>
      <c r="W195" s="987"/>
      <c r="X195" s="987"/>
      <c r="Y195" s="987"/>
      <c r="Z195" s="987"/>
      <c r="AA195" s="986"/>
    </row>
    <row r="196" hidden="1">
      <c r="A196" s="436" t="s">
        <v>50</v>
      </c>
      <c r="B196" s="991">
        <v>44193.0</v>
      </c>
      <c r="C196" s="989" t="s">
        <v>4316</v>
      </c>
      <c r="D196" s="434" t="s">
        <v>2522</v>
      </c>
      <c r="E196" s="434" t="s">
        <v>3817</v>
      </c>
      <c r="F196" s="990">
        <v>1.5957057E7</v>
      </c>
      <c r="G196" s="434" t="s">
        <v>120</v>
      </c>
      <c r="H196" s="989" t="s">
        <v>4317</v>
      </c>
      <c r="I196" s="989" t="s">
        <v>4318</v>
      </c>
      <c r="J196" s="987"/>
      <c r="K196" s="987"/>
      <c r="L196" s="987"/>
      <c r="M196" s="987"/>
      <c r="N196" s="987"/>
      <c r="O196" s="987"/>
      <c r="P196" s="987"/>
      <c r="Q196" s="987"/>
      <c r="R196" s="987"/>
      <c r="S196" s="987"/>
      <c r="T196" s="987"/>
      <c r="U196" s="987"/>
      <c r="V196" s="987"/>
      <c r="W196" s="987"/>
      <c r="X196" s="987"/>
      <c r="Y196" s="987"/>
      <c r="Z196" s="987"/>
      <c r="AA196" s="986"/>
    </row>
    <row r="197" hidden="1">
      <c r="A197" s="436" t="s">
        <v>50</v>
      </c>
      <c r="B197" s="988">
        <v>44203.0</v>
      </c>
      <c r="C197" s="989" t="s">
        <v>4319</v>
      </c>
      <c r="D197" s="434" t="s">
        <v>2639</v>
      </c>
      <c r="E197" s="434" t="s">
        <v>50</v>
      </c>
      <c r="F197" s="989" t="s">
        <v>4320</v>
      </c>
      <c r="G197" s="434" t="s">
        <v>32</v>
      </c>
      <c r="H197" s="989" t="s">
        <v>4321</v>
      </c>
      <c r="I197" s="989" t="s">
        <v>4322</v>
      </c>
      <c r="J197" s="987"/>
      <c r="K197" s="987"/>
      <c r="L197" s="987"/>
      <c r="M197" s="987"/>
      <c r="N197" s="987"/>
      <c r="O197" s="987"/>
      <c r="P197" s="987"/>
      <c r="Q197" s="987"/>
      <c r="R197" s="987"/>
      <c r="S197" s="987"/>
      <c r="T197" s="987"/>
      <c r="U197" s="987"/>
      <c r="V197" s="987"/>
      <c r="W197" s="987"/>
      <c r="X197" s="987"/>
      <c r="Y197" s="987"/>
      <c r="Z197" s="987"/>
      <c r="AA197" s="986"/>
    </row>
    <row r="198" hidden="1">
      <c r="A198" s="436" t="s">
        <v>50</v>
      </c>
      <c r="B198" s="988">
        <v>44204.0</v>
      </c>
      <c r="C198" s="989" t="s">
        <v>4323</v>
      </c>
      <c r="D198" s="434" t="s">
        <v>4324</v>
      </c>
      <c r="E198" s="434" t="s">
        <v>4325</v>
      </c>
      <c r="F198" s="990">
        <v>1.6730035E7</v>
      </c>
      <c r="G198" s="434" t="s">
        <v>200</v>
      </c>
      <c r="H198" s="989" t="s">
        <v>4326</v>
      </c>
      <c r="I198" s="989" t="s">
        <v>4327</v>
      </c>
      <c r="J198" s="987"/>
      <c r="K198" s="987"/>
      <c r="L198" s="987"/>
      <c r="M198" s="987"/>
      <c r="N198" s="987"/>
      <c r="O198" s="987"/>
      <c r="P198" s="987"/>
      <c r="Q198" s="987"/>
      <c r="R198" s="987"/>
      <c r="S198" s="987"/>
      <c r="T198" s="987"/>
      <c r="U198" s="987"/>
      <c r="V198" s="987"/>
      <c r="W198" s="987"/>
      <c r="X198" s="987"/>
      <c r="Y198" s="987"/>
      <c r="Z198" s="987"/>
      <c r="AA198" s="986"/>
    </row>
    <row r="199" hidden="1">
      <c r="A199" s="436" t="s">
        <v>50</v>
      </c>
      <c r="B199" s="988">
        <v>44208.0</v>
      </c>
      <c r="C199" s="989" t="s">
        <v>4328</v>
      </c>
      <c r="D199" s="434" t="s">
        <v>309</v>
      </c>
      <c r="E199" s="434" t="s">
        <v>310</v>
      </c>
      <c r="F199" s="990">
        <v>1.8030277E7</v>
      </c>
      <c r="G199" s="434" t="s">
        <v>32</v>
      </c>
      <c r="H199" s="989" t="s">
        <v>4329</v>
      </c>
      <c r="I199" s="989" t="s">
        <v>4330</v>
      </c>
      <c r="J199" s="987"/>
      <c r="K199" s="987"/>
      <c r="L199" s="987"/>
      <c r="M199" s="987"/>
      <c r="N199" s="987"/>
      <c r="O199" s="987"/>
      <c r="P199" s="987"/>
      <c r="Q199" s="987"/>
      <c r="R199" s="987"/>
      <c r="S199" s="987"/>
      <c r="T199" s="987"/>
      <c r="U199" s="987"/>
      <c r="V199" s="987"/>
      <c r="W199" s="987"/>
      <c r="X199" s="987"/>
      <c r="Y199" s="987"/>
      <c r="Z199" s="987"/>
      <c r="AA199" s="986"/>
    </row>
    <row r="200" hidden="1">
      <c r="A200" s="436" t="s">
        <v>50</v>
      </c>
      <c r="B200" s="988">
        <v>44209.0</v>
      </c>
      <c r="C200" s="989" t="s">
        <v>4331</v>
      </c>
      <c r="D200" s="434" t="s">
        <v>3942</v>
      </c>
      <c r="E200" s="434" t="s">
        <v>305</v>
      </c>
      <c r="F200" s="434" t="s">
        <v>50</v>
      </c>
      <c r="G200" s="434" t="s">
        <v>200</v>
      </c>
      <c r="H200" s="989" t="s">
        <v>4332</v>
      </c>
      <c r="I200" s="989" t="s">
        <v>4333</v>
      </c>
      <c r="J200" s="987"/>
      <c r="K200" s="987"/>
      <c r="L200" s="987"/>
      <c r="M200" s="987"/>
      <c r="N200" s="987"/>
      <c r="O200" s="987"/>
      <c r="P200" s="987"/>
      <c r="Q200" s="987"/>
      <c r="R200" s="987"/>
      <c r="S200" s="987"/>
      <c r="T200" s="987"/>
      <c r="U200" s="987"/>
      <c r="V200" s="987"/>
      <c r="W200" s="987"/>
      <c r="X200" s="987"/>
      <c r="Y200" s="987"/>
      <c r="Z200" s="987"/>
      <c r="AA200" s="986"/>
    </row>
    <row r="201" hidden="1">
      <c r="A201" s="436" t="s">
        <v>50</v>
      </c>
      <c r="B201" s="988">
        <v>44214.0</v>
      </c>
      <c r="C201" s="989" t="s">
        <v>4274</v>
      </c>
      <c r="D201" s="434" t="s">
        <v>239</v>
      </c>
      <c r="E201" s="434" t="s">
        <v>559</v>
      </c>
      <c r="F201" s="990">
        <v>1.7190384E7</v>
      </c>
      <c r="G201" s="434" t="s">
        <v>103</v>
      </c>
      <c r="H201" s="989" t="s">
        <v>4334</v>
      </c>
      <c r="I201" s="989" t="s">
        <v>4335</v>
      </c>
      <c r="J201" s="987"/>
      <c r="K201" s="987"/>
      <c r="L201" s="987"/>
      <c r="M201" s="987"/>
      <c r="N201" s="987"/>
      <c r="O201" s="987"/>
      <c r="P201" s="987"/>
      <c r="Q201" s="987"/>
      <c r="R201" s="987"/>
      <c r="S201" s="987"/>
      <c r="T201" s="987"/>
      <c r="U201" s="987"/>
      <c r="V201" s="987"/>
      <c r="W201" s="987"/>
      <c r="X201" s="987"/>
      <c r="Y201" s="987"/>
      <c r="Z201" s="987"/>
      <c r="AA201" s="986"/>
    </row>
    <row r="202" hidden="1">
      <c r="A202" s="436" t="s">
        <v>50</v>
      </c>
      <c r="B202" s="988">
        <v>44215.0</v>
      </c>
      <c r="C202" s="989" t="s">
        <v>4336</v>
      </c>
      <c r="D202" s="434" t="s">
        <v>4337</v>
      </c>
      <c r="E202" s="434" t="s">
        <v>4338</v>
      </c>
      <c r="F202" s="990">
        <v>1.6640083E7</v>
      </c>
      <c r="G202" s="434" t="s">
        <v>200</v>
      </c>
      <c r="H202" s="989" t="s">
        <v>4339</v>
      </c>
      <c r="I202" s="989" t="s">
        <v>4340</v>
      </c>
      <c r="J202" s="987"/>
      <c r="K202" s="987"/>
      <c r="L202" s="987"/>
      <c r="M202" s="987"/>
      <c r="N202" s="987"/>
      <c r="O202" s="987"/>
      <c r="P202" s="987"/>
      <c r="Q202" s="987"/>
      <c r="R202" s="987"/>
      <c r="S202" s="987"/>
      <c r="T202" s="987"/>
      <c r="U202" s="987"/>
      <c r="V202" s="987"/>
      <c r="W202" s="987"/>
      <c r="X202" s="987"/>
      <c r="Y202" s="987"/>
      <c r="Z202" s="987"/>
      <c r="AA202" s="986"/>
    </row>
    <row r="203" hidden="1">
      <c r="A203" s="436" t="s">
        <v>50</v>
      </c>
      <c r="B203" s="988">
        <v>44215.0</v>
      </c>
      <c r="C203" s="989" t="s">
        <v>4336</v>
      </c>
      <c r="D203" s="434" t="s">
        <v>4337</v>
      </c>
      <c r="E203" s="434" t="s">
        <v>4338</v>
      </c>
      <c r="F203" s="990">
        <v>1.6640085E7</v>
      </c>
      <c r="G203" s="434" t="s">
        <v>200</v>
      </c>
      <c r="H203" s="989" t="s">
        <v>4341</v>
      </c>
      <c r="I203" s="989" t="s">
        <v>4342</v>
      </c>
      <c r="J203" s="987"/>
      <c r="K203" s="987"/>
      <c r="L203" s="987"/>
      <c r="M203" s="987"/>
      <c r="N203" s="987"/>
      <c r="O203" s="987"/>
      <c r="P203" s="987"/>
      <c r="Q203" s="987"/>
      <c r="R203" s="987"/>
      <c r="S203" s="987"/>
      <c r="T203" s="987"/>
      <c r="U203" s="987"/>
      <c r="V203" s="987"/>
      <c r="W203" s="987"/>
      <c r="X203" s="987"/>
      <c r="Y203" s="987"/>
      <c r="Z203" s="987"/>
      <c r="AA203" s="986"/>
    </row>
    <row r="204" hidden="1">
      <c r="A204" s="436" t="s">
        <v>50</v>
      </c>
      <c r="B204" s="988">
        <v>44216.0</v>
      </c>
      <c r="C204" s="989" t="s">
        <v>4343</v>
      </c>
      <c r="D204" s="434" t="s">
        <v>2035</v>
      </c>
      <c r="E204" s="434" t="s">
        <v>269</v>
      </c>
      <c r="F204" s="990">
        <v>1.6600492E7</v>
      </c>
      <c r="G204" s="434" t="s">
        <v>51</v>
      </c>
      <c r="H204" s="989" t="s">
        <v>4344</v>
      </c>
      <c r="I204" s="989" t="s">
        <v>4345</v>
      </c>
      <c r="J204" s="987"/>
      <c r="K204" s="987"/>
      <c r="L204" s="987"/>
      <c r="M204" s="987"/>
      <c r="N204" s="987"/>
      <c r="O204" s="987"/>
      <c r="P204" s="987"/>
      <c r="Q204" s="987"/>
      <c r="R204" s="987"/>
      <c r="S204" s="987"/>
      <c r="T204" s="987"/>
      <c r="U204" s="987"/>
      <c r="V204" s="987"/>
      <c r="W204" s="987"/>
      <c r="X204" s="987"/>
      <c r="Y204" s="987"/>
      <c r="Z204" s="987"/>
      <c r="AA204" s="986"/>
    </row>
    <row r="205" hidden="1">
      <c r="A205" s="436" t="s">
        <v>50</v>
      </c>
      <c r="B205" s="988">
        <v>44217.0</v>
      </c>
      <c r="C205" s="989" t="s">
        <v>4262</v>
      </c>
      <c r="D205" s="434" t="s">
        <v>506</v>
      </c>
      <c r="E205" s="434" t="s">
        <v>4072</v>
      </c>
      <c r="F205" s="990">
        <v>1.7241714E7</v>
      </c>
      <c r="G205" s="434" t="s">
        <v>120</v>
      </c>
      <c r="H205" s="989" t="s">
        <v>4346</v>
      </c>
      <c r="I205" s="989" t="s">
        <v>4347</v>
      </c>
      <c r="J205" s="987"/>
      <c r="K205" s="987"/>
      <c r="L205" s="987"/>
      <c r="M205" s="987"/>
      <c r="N205" s="987"/>
      <c r="O205" s="987"/>
      <c r="P205" s="987"/>
      <c r="Q205" s="987"/>
      <c r="R205" s="987"/>
      <c r="S205" s="987"/>
      <c r="T205" s="987"/>
      <c r="U205" s="987"/>
      <c r="V205" s="987"/>
      <c r="W205" s="987"/>
      <c r="X205" s="987"/>
      <c r="Y205" s="987"/>
      <c r="Z205" s="987"/>
      <c r="AA205" s="986"/>
    </row>
    <row r="206" hidden="1">
      <c r="A206" s="436" t="s">
        <v>50</v>
      </c>
      <c r="B206" s="988">
        <v>44217.0</v>
      </c>
      <c r="C206" s="989" t="s">
        <v>4262</v>
      </c>
      <c r="D206" s="434" t="s">
        <v>506</v>
      </c>
      <c r="E206" s="434" t="s">
        <v>4348</v>
      </c>
      <c r="F206" s="990">
        <v>1.7241713E7</v>
      </c>
      <c r="G206" s="434" t="s">
        <v>120</v>
      </c>
      <c r="H206" s="989" t="s">
        <v>4349</v>
      </c>
      <c r="I206" s="989" t="s">
        <v>4350</v>
      </c>
      <c r="J206" s="987"/>
      <c r="K206" s="987"/>
      <c r="L206" s="987"/>
      <c r="M206" s="987"/>
      <c r="N206" s="987"/>
      <c r="O206" s="987"/>
      <c r="P206" s="987"/>
      <c r="Q206" s="987"/>
      <c r="R206" s="987"/>
      <c r="S206" s="987"/>
      <c r="T206" s="987"/>
      <c r="U206" s="987"/>
      <c r="V206" s="987"/>
      <c r="W206" s="987"/>
      <c r="X206" s="987"/>
      <c r="Y206" s="987"/>
      <c r="Z206" s="987"/>
      <c r="AA206" s="986"/>
    </row>
    <row r="207" hidden="1">
      <c r="A207" s="436" t="s">
        <v>50</v>
      </c>
      <c r="B207" s="988">
        <v>44217.0</v>
      </c>
      <c r="C207" s="989" t="s">
        <v>4262</v>
      </c>
      <c r="D207" s="434" t="s">
        <v>506</v>
      </c>
      <c r="E207" s="434" t="s">
        <v>305</v>
      </c>
      <c r="F207" s="990">
        <v>1.7241715E7</v>
      </c>
      <c r="G207" s="434" t="s">
        <v>120</v>
      </c>
      <c r="H207" s="989" t="s">
        <v>4351</v>
      </c>
      <c r="I207" s="989" t="s">
        <v>4352</v>
      </c>
      <c r="J207" s="987"/>
      <c r="K207" s="987"/>
      <c r="L207" s="987"/>
      <c r="M207" s="987"/>
      <c r="N207" s="987"/>
      <c r="O207" s="987"/>
      <c r="P207" s="987"/>
      <c r="Q207" s="987"/>
      <c r="R207" s="987"/>
      <c r="S207" s="987"/>
      <c r="T207" s="987"/>
      <c r="U207" s="987"/>
      <c r="V207" s="987"/>
      <c r="W207" s="987"/>
      <c r="X207" s="987"/>
      <c r="Y207" s="987"/>
      <c r="Z207" s="987"/>
      <c r="AA207" s="986"/>
    </row>
    <row r="208" hidden="1">
      <c r="A208" s="436" t="s">
        <v>50</v>
      </c>
      <c r="B208" s="988">
        <v>44221.0</v>
      </c>
      <c r="C208" s="989" t="s">
        <v>3311</v>
      </c>
      <c r="D208" s="434" t="s">
        <v>885</v>
      </c>
      <c r="E208" s="434" t="s">
        <v>305</v>
      </c>
      <c r="F208" s="990">
        <v>1.5121892E7</v>
      </c>
      <c r="G208" s="434" t="s">
        <v>120</v>
      </c>
      <c r="H208" s="989" t="s">
        <v>4353</v>
      </c>
      <c r="I208" s="989" t="s">
        <v>4354</v>
      </c>
      <c r="J208" s="987"/>
      <c r="K208" s="987"/>
      <c r="L208" s="987"/>
      <c r="M208" s="987"/>
      <c r="N208" s="987"/>
      <c r="O208" s="987"/>
      <c r="P208" s="987"/>
      <c r="Q208" s="987"/>
      <c r="R208" s="987"/>
      <c r="S208" s="987"/>
      <c r="T208" s="987"/>
      <c r="U208" s="987"/>
      <c r="V208" s="987"/>
      <c r="W208" s="987"/>
      <c r="X208" s="987"/>
      <c r="Y208" s="987"/>
      <c r="Z208" s="987"/>
      <c r="AA208" s="986"/>
    </row>
    <row r="209" hidden="1">
      <c r="A209" s="436" t="s">
        <v>50</v>
      </c>
      <c r="B209" s="988">
        <v>44222.0</v>
      </c>
      <c r="C209" s="989" t="s">
        <v>3300</v>
      </c>
      <c r="D209" s="434" t="s">
        <v>565</v>
      </c>
      <c r="E209" s="434" t="s">
        <v>566</v>
      </c>
      <c r="F209" s="990">
        <v>1.7210047E7</v>
      </c>
      <c r="G209" s="992"/>
      <c r="H209" s="989" t="s">
        <v>4355</v>
      </c>
      <c r="I209" s="989" t="s">
        <v>4356</v>
      </c>
      <c r="J209" s="987"/>
      <c r="K209" s="987"/>
      <c r="L209" s="987"/>
      <c r="M209" s="987"/>
      <c r="N209" s="987"/>
      <c r="O209" s="987"/>
      <c r="P209" s="987"/>
      <c r="Q209" s="987"/>
      <c r="R209" s="987"/>
      <c r="S209" s="987"/>
      <c r="T209" s="987"/>
      <c r="U209" s="987"/>
      <c r="V209" s="987"/>
      <c r="W209" s="987"/>
      <c r="X209" s="987"/>
      <c r="Y209" s="987"/>
      <c r="Z209" s="987"/>
      <c r="AA209" s="986"/>
    </row>
    <row r="210" hidden="1">
      <c r="A210" s="436" t="s">
        <v>50</v>
      </c>
      <c r="B210" s="988">
        <v>44223.0</v>
      </c>
      <c r="C210" s="989" t="s">
        <v>4294</v>
      </c>
      <c r="D210" s="434" t="s">
        <v>540</v>
      </c>
      <c r="E210" s="434" t="s">
        <v>541</v>
      </c>
      <c r="F210" s="990">
        <v>1.5270779E7</v>
      </c>
      <c r="G210" s="434" t="s">
        <v>103</v>
      </c>
      <c r="H210" s="989" t="s">
        <v>4357</v>
      </c>
      <c r="I210" s="989" t="s">
        <v>4358</v>
      </c>
      <c r="J210" s="987"/>
      <c r="K210" s="987"/>
      <c r="L210" s="987"/>
      <c r="M210" s="987"/>
      <c r="N210" s="987"/>
      <c r="O210" s="987"/>
      <c r="P210" s="987"/>
      <c r="Q210" s="987"/>
      <c r="R210" s="987"/>
      <c r="S210" s="987"/>
      <c r="T210" s="987"/>
      <c r="U210" s="987"/>
      <c r="V210" s="987"/>
      <c r="W210" s="987"/>
      <c r="X210" s="987"/>
      <c r="Y210" s="987"/>
      <c r="Z210" s="987"/>
      <c r="AA210" s="986"/>
    </row>
    <row r="211" hidden="1">
      <c r="A211" s="436" t="s">
        <v>50</v>
      </c>
      <c r="B211" s="988">
        <v>44224.0</v>
      </c>
      <c r="C211" s="989" t="s">
        <v>3874</v>
      </c>
      <c r="D211" s="434" t="s">
        <v>3875</v>
      </c>
      <c r="E211" s="434" t="s">
        <v>3876</v>
      </c>
      <c r="F211" s="990">
        <v>1.493088E7</v>
      </c>
      <c r="G211" s="434" t="s">
        <v>51</v>
      </c>
      <c r="H211" s="989" t="s">
        <v>4359</v>
      </c>
      <c r="I211" s="989" t="s">
        <v>4360</v>
      </c>
      <c r="J211" s="987"/>
      <c r="K211" s="987"/>
      <c r="L211" s="987"/>
      <c r="M211" s="987"/>
      <c r="N211" s="987"/>
      <c r="O211" s="987"/>
      <c r="P211" s="987"/>
      <c r="Q211" s="987"/>
      <c r="R211" s="987"/>
      <c r="S211" s="987"/>
      <c r="T211" s="987"/>
      <c r="U211" s="987"/>
      <c r="V211" s="987"/>
      <c r="W211" s="987"/>
      <c r="X211" s="987"/>
      <c r="Y211" s="987"/>
      <c r="Z211" s="987"/>
      <c r="AA211" s="986"/>
    </row>
    <row r="212" hidden="1">
      <c r="A212" s="436" t="s">
        <v>50</v>
      </c>
      <c r="B212" s="988">
        <v>44228.0</v>
      </c>
      <c r="C212" s="989" t="s">
        <v>4361</v>
      </c>
      <c r="D212" s="434" t="s">
        <v>2268</v>
      </c>
      <c r="E212" s="434" t="s">
        <v>305</v>
      </c>
      <c r="F212" s="434" t="s">
        <v>50</v>
      </c>
      <c r="G212" s="434" t="s">
        <v>200</v>
      </c>
      <c r="H212" s="989" t="s">
        <v>4362</v>
      </c>
      <c r="I212" s="989" t="s">
        <v>4363</v>
      </c>
      <c r="J212" s="987"/>
      <c r="K212" s="987"/>
      <c r="L212" s="987"/>
      <c r="M212" s="987"/>
      <c r="N212" s="987"/>
      <c r="O212" s="987"/>
      <c r="P212" s="987"/>
      <c r="Q212" s="987"/>
      <c r="R212" s="987"/>
      <c r="S212" s="987"/>
      <c r="T212" s="987"/>
      <c r="U212" s="987"/>
      <c r="V212" s="987"/>
      <c r="W212" s="987"/>
      <c r="X212" s="987"/>
      <c r="Y212" s="987"/>
      <c r="Z212" s="987"/>
      <c r="AA212" s="986"/>
    </row>
    <row r="213" hidden="1">
      <c r="A213" s="436" t="s">
        <v>50</v>
      </c>
      <c r="B213" s="988">
        <v>44229.0</v>
      </c>
      <c r="C213" s="989" t="s">
        <v>4364</v>
      </c>
      <c r="D213" s="434" t="s">
        <v>4095</v>
      </c>
      <c r="E213" s="434" t="s">
        <v>305</v>
      </c>
      <c r="F213" s="434" t="s">
        <v>3932</v>
      </c>
      <c r="G213" s="434" t="s">
        <v>120</v>
      </c>
      <c r="H213" s="989" t="s">
        <v>4365</v>
      </c>
      <c r="I213" s="989" t="s">
        <v>4366</v>
      </c>
      <c r="J213" s="987"/>
      <c r="K213" s="987"/>
      <c r="L213" s="987"/>
      <c r="M213" s="987"/>
      <c r="N213" s="987"/>
      <c r="O213" s="987"/>
      <c r="P213" s="987"/>
      <c r="Q213" s="987"/>
      <c r="R213" s="987"/>
      <c r="S213" s="987"/>
      <c r="T213" s="987"/>
      <c r="U213" s="987"/>
      <c r="V213" s="987"/>
      <c r="W213" s="987"/>
      <c r="X213" s="987"/>
      <c r="Y213" s="987"/>
      <c r="Z213" s="987"/>
      <c r="AA213" s="986"/>
    </row>
    <row r="214" hidden="1">
      <c r="A214" s="436" t="s">
        <v>50</v>
      </c>
      <c r="B214" s="988">
        <v>44229.0</v>
      </c>
      <c r="C214" s="989" t="s">
        <v>4367</v>
      </c>
      <c r="D214" s="434" t="s">
        <v>2659</v>
      </c>
      <c r="E214" s="434" t="s">
        <v>4368</v>
      </c>
      <c r="F214" s="990">
        <v>1.5890341E7</v>
      </c>
      <c r="G214" s="434" t="s">
        <v>348</v>
      </c>
      <c r="H214" s="989" t="s">
        <v>4369</v>
      </c>
      <c r="I214" s="989" t="s">
        <v>4370</v>
      </c>
      <c r="J214" s="987"/>
      <c r="K214" s="987"/>
      <c r="L214" s="987"/>
      <c r="M214" s="987"/>
      <c r="N214" s="987"/>
      <c r="O214" s="987"/>
      <c r="P214" s="987"/>
      <c r="Q214" s="987"/>
      <c r="R214" s="987"/>
      <c r="S214" s="987"/>
      <c r="T214" s="987"/>
      <c r="U214" s="987"/>
      <c r="V214" s="987"/>
      <c r="W214" s="987"/>
      <c r="X214" s="987"/>
      <c r="Y214" s="987"/>
      <c r="Z214" s="987"/>
      <c r="AA214" s="986"/>
    </row>
    <row r="215" hidden="1">
      <c r="A215" s="436" t="s">
        <v>50</v>
      </c>
      <c r="B215" s="988">
        <v>44231.0</v>
      </c>
      <c r="C215" s="989" t="s">
        <v>4371</v>
      </c>
      <c r="D215" s="434" t="s">
        <v>89</v>
      </c>
      <c r="E215" s="434" t="s">
        <v>269</v>
      </c>
      <c r="F215" s="990">
        <v>1.5830852E7</v>
      </c>
      <c r="G215" s="434" t="s">
        <v>51</v>
      </c>
      <c r="H215" s="989" t="s">
        <v>4372</v>
      </c>
      <c r="I215" s="989" t="s">
        <v>4373</v>
      </c>
      <c r="J215" s="987"/>
      <c r="K215" s="987"/>
      <c r="L215" s="987"/>
      <c r="M215" s="987"/>
      <c r="N215" s="987"/>
      <c r="O215" s="987"/>
      <c r="P215" s="987"/>
      <c r="Q215" s="987"/>
      <c r="R215" s="987"/>
      <c r="S215" s="987"/>
      <c r="T215" s="987"/>
      <c r="U215" s="987"/>
      <c r="V215" s="987"/>
      <c r="W215" s="987"/>
      <c r="X215" s="987"/>
      <c r="Y215" s="987"/>
      <c r="Z215" s="987"/>
      <c r="AA215" s="986"/>
    </row>
    <row r="216" hidden="1">
      <c r="A216" s="436" t="s">
        <v>50</v>
      </c>
      <c r="B216" s="988">
        <v>44231.0</v>
      </c>
      <c r="C216" s="989" t="s">
        <v>4371</v>
      </c>
      <c r="D216" s="434" t="s">
        <v>89</v>
      </c>
      <c r="E216" s="434" t="s">
        <v>269</v>
      </c>
      <c r="F216" s="990">
        <v>1.5830851E7</v>
      </c>
      <c r="G216" s="434" t="s">
        <v>51</v>
      </c>
      <c r="H216" s="989" t="s">
        <v>4374</v>
      </c>
      <c r="I216" s="989" t="s">
        <v>4375</v>
      </c>
      <c r="J216" s="987"/>
      <c r="K216" s="987"/>
      <c r="L216" s="987"/>
      <c r="M216" s="987"/>
      <c r="N216" s="987"/>
      <c r="O216" s="987"/>
      <c r="P216" s="987"/>
      <c r="Q216" s="987"/>
      <c r="R216" s="987"/>
      <c r="S216" s="987"/>
      <c r="T216" s="987"/>
      <c r="U216" s="987"/>
      <c r="V216" s="987"/>
      <c r="W216" s="987"/>
      <c r="X216" s="987"/>
      <c r="Y216" s="987"/>
      <c r="Z216" s="987"/>
      <c r="AA216" s="986"/>
    </row>
    <row r="217" hidden="1">
      <c r="A217" s="436" t="s">
        <v>50</v>
      </c>
      <c r="B217" s="988">
        <v>44231.0</v>
      </c>
      <c r="C217" s="989" t="s">
        <v>4371</v>
      </c>
      <c r="D217" s="434" t="s">
        <v>89</v>
      </c>
      <c r="E217" s="434" t="s">
        <v>269</v>
      </c>
      <c r="F217" s="990">
        <v>1.5830859E7</v>
      </c>
      <c r="G217" s="434" t="s">
        <v>51</v>
      </c>
      <c r="H217" s="989" t="s">
        <v>4376</v>
      </c>
      <c r="I217" s="989" t="s">
        <v>4377</v>
      </c>
      <c r="J217" s="987"/>
      <c r="K217" s="987"/>
      <c r="L217" s="987"/>
      <c r="M217" s="987"/>
      <c r="N217" s="987"/>
      <c r="O217" s="987"/>
      <c r="P217" s="987"/>
      <c r="Q217" s="987"/>
      <c r="R217" s="987"/>
      <c r="S217" s="987"/>
      <c r="T217" s="987"/>
      <c r="U217" s="987"/>
      <c r="V217" s="987"/>
      <c r="W217" s="987"/>
      <c r="X217" s="987"/>
      <c r="Y217" s="987"/>
      <c r="Z217" s="987"/>
      <c r="AA217" s="986"/>
    </row>
    <row r="218" hidden="1">
      <c r="A218" s="436" t="s">
        <v>50</v>
      </c>
      <c r="B218" s="988">
        <v>44231.0</v>
      </c>
      <c r="C218" s="989" t="s">
        <v>4371</v>
      </c>
      <c r="D218" s="434" t="s">
        <v>89</v>
      </c>
      <c r="E218" s="434" t="s">
        <v>269</v>
      </c>
      <c r="F218" s="990">
        <v>1.5830857E7</v>
      </c>
      <c r="G218" s="434" t="s">
        <v>51</v>
      </c>
      <c r="H218" s="989" t="s">
        <v>4378</v>
      </c>
      <c r="I218" s="989" t="s">
        <v>4379</v>
      </c>
      <c r="J218" s="987"/>
      <c r="K218" s="987"/>
      <c r="L218" s="987"/>
      <c r="M218" s="987"/>
      <c r="N218" s="987"/>
      <c r="O218" s="987"/>
      <c r="P218" s="987"/>
      <c r="Q218" s="987"/>
      <c r="R218" s="987"/>
      <c r="S218" s="987"/>
      <c r="T218" s="987"/>
      <c r="U218" s="987"/>
      <c r="V218" s="987"/>
      <c r="W218" s="987"/>
      <c r="X218" s="987"/>
      <c r="Y218" s="987"/>
      <c r="Z218" s="987"/>
      <c r="AA218" s="986"/>
    </row>
    <row r="219" hidden="1">
      <c r="A219" s="436" t="s">
        <v>50</v>
      </c>
      <c r="B219" s="988">
        <v>44232.0</v>
      </c>
      <c r="C219" s="989" t="s">
        <v>4380</v>
      </c>
      <c r="D219" s="434" t="s">
        <v>417</v>
      </c>
      <c r="E219" s="434" t="s">
        <v>3991</v>
      </c>
      <c r="F219" s="434" t="s">
        <v>50</v>
      </c>
      <c r="G219" s="434" t="s">
        <v>200</v>
      </c>
      <c r="H219" s="989" t="s">
        <v>4084</v>
      </c>
      <c r="I219" s="989" t="s">
        <v>4381</v>
      </c>
      <c r="J219" s="987"/>
      <c r="K219" s="987"/>
      <c r="L219" s="987"/>
      <c r="M219" s="987"/>
      <c r="N219" s="987"/>
      <c r="O219" s="987"/>
      <c r="P219" s="987"/>
      <c r="Q219" s="987"/>
      <c r="R219" s="987"/>
      <c r="S219" s="987"/>
      <c r="T219" s="987"/>
      <c r="U219" s="987"/>
      <c r="V219" s="987"/>
      <c r="W219" s="987"/>
      <c r="X219" s="987"/>
      <c r="Y219" s="987"/>
      <c r="Z219" s="987"/>
      <c r="AA219" s="986"/>
    </row>
    <row r="220" hidden="1">
      <c r="A220" s="436" t="s">
        <v>50</v>
      </c>
      <c r="B220" s="988">
        <v>44232.0</v>
      </c>
      <c r="C220" s="989" t="s">
        <v>4380</v>
      </c>
      <c r="D220" s="434" t="s">
        <v>417</v>
      </c>
      <c r="E220" s="434" t="s">
        <v>3991</v>
      </c>
      <c r="F220" s="434" t="s">
        <v>50</v>
      </c>
      <c r="G220" s="434" t="s">
        <v>200</v>
      </c>
      <c r="H220" s="989" t="s">
        <v>4382</v>
      </c>
      <c r="I220" s="989" t="s">
        <v>4381</v>
      </c>
      <c r="J220" s="987"/>
      <c r="K220" s="987"/>
      <c r="L220" s="987"/>
      <c r="M220" s="987"/>
      <c r="N220" s="987"/>
      <c r="O220" s="987"/>
      <c r="P220" s="987"/>
      <c r="Q220" s="987"/>
      <c r="R220" s="987"/>
      <c r="S220" s="987"/>
      <c r="T220" s="987"/>
      <c r="U220" s="987"/>
      <c r="V220" s="987"/>
      <c r="W220" s="987"/>
      <c r="X220" s="987"/>
      <c r="Y220" s="987"/>
      <c r="Z220" s="987"/>
      <c r="AA220" s="986"/>
    </row>
    <row r="221" hidden="1">
      <c r="A221" s="436" t="s">
        <v>50</v>
      </c>
      <c r="B221" s="988">
        <v>44232.0</v>
      </c>
      <c r="C221" s="989" t="s">
        <v>4380</v>
      </c>
      <c r="D221" s="434" t="s">
        <v>417</v>
      </c>
      <c r="E221" s="434" t="s">
        <v>3991</v>
      </c>
      <c r="F221" s="434" t="s">
        <v>50</v>
      </c>
      <c r="G221" s="434" t="s">
        <v>200</v>
      </c>
      <c r="H221" s="989" t="s">
        <v>4383</v>
      </c>
      <c r="I221" s="989" t="s">
        <v>4384</v>
      </c>
      <c r="J221" s="987"/>
      <c r="K221" s="987"/>
      <c r="L221" s="987"/>
      <c r="M221" s="987"/>
      <c r="N221" s="987"/>
      <c r="O221" s="987"/>
      <c r="P221" s="987"/>
      <c r="Q221" s="987"/>
      <c r="R221" s="987"/>
      <c r="S221" s="987"/>
      <c r="T221" s="987"/>
      <c r="U221" s="987"/>
      <c r="V221" s="987"/>
      <c r="W221" s="987"/>
      <c r="X221" s="987"/>
      <c r="Y221" s="987"/>
      <c r="Z221" s="987"/>
      <c r="AA221" s="986"/>
    </row>
    <row r="222" hidden="1">
      <c r="A222" s="436" t="s">
        <v>50</v>
      </c>
      <c r="B222" s="988">
        <v>44237.0</v>
      </c>
      <c r="C222" s="989" t="s">
        <v>4385</v>
      </c>
      <c r="D222" s="434" t="s">
        <v>4386</v>
      </c>
      <c r="E222" s="434" t="s">
        <v>3796</v>
      </c>
      <c r="F222" s="990">
        <v>1.5630477E7</v>
      </c>
      <c r="G222" s="434" t="s">
        <v>348</v>
      </c>
      <c r="H222" s="989" t="s">
        <v>4387</v>
      </c>
      <c r="I222" s="989" t="s">
        <v>4388</v>
      </c>
      <c r="J222" s="987"/>
      <c r="K222" s="987"/>
      <c r="L222" s="987"/>
      <c r="M222" s="987"/>
      <c r="N222" s="987"/>
      <c r="O222" s="987"/>
      <c r="P222" s="987"/>
      <c r="Q222" s="987"/>
      <c r="R222" s="987"/>
      <c r="S222" s="987"/>
      <c r="T222" s="987"/>
      <c r="U222" s="987"/>
      <c r="V222" s="987"/>
      <c r="W222" s="987"/>
      <c r="X222" s="987"/>
      <c r="Y222" s="987"/>
      <c r="Z222" s="987"/>
      <c r="AA222" s="986"/>
    </row>
    <row r="223" hidden="1">
      <c r="A223" s="436" t="s">
        <v>50</v>
      </c>
      <c r="B223" s="988">
        <v>44242.0</v>
      </c>
      <c r="C223" s="989" t="s">
        <v>4389</v>
      </c>
      <c r="D223" s="434" t="s">
        <v>918</v>
      </c>
      <c r="E223" s="434" t="s">
        <v>3991</v>
      </c>
      <c r="F223" s="434" t="s">
        <v>50</v>
      </c>
      <c r="G223" s="434" t="s">
        <v>120</v>
      </c>
      <c r="H223" s="989" t="s">
        <v>4390</v>
      </c>
      <c r="I223" s="989" t="s">
        <v>4391</v>
      </c>
      <c r="J223" s="987"/>
      <c r="K223" s="987"/>
      <c r="L223" s="987"/>
      <c r="M223" s="987"/>
      <c r="N223" s="987"/>
      <c r="O223" s="987"/>
      <c r="P223" s="987"/>
      <c r="Q223" s="987"/>
      <c r="R223" s="987"/>
      <c r="S223" s="987"/>
      <c r="T223" s="987"/>
      <c r="U223" s="987"/>
      <c r="V223" s="987"/>
      <c r="W223" s="987"/>
      <c r="X223" s="987"/>
      <c r="Y223" s="987"/>
      <c r="Z223" s="987"/>
      <c r="AA223" s="986"/>
    </row>
    <row r="224" hidden="1">
      <c r="A224" s="436" t="s">
        <v>50</v>
      </c>
      <c r="B224" s="988">
        <v>44242.0</v>
      </c>
      <c r="C224" s="989" t="s">
        <v>4389</v>
      </c>
      <c r="D224" s="434" t="s">
        <v>918</v>
      </c>
      <c r="E224" s="434" t="s">
        <v>3991</v>
      </c>
      <c r="F224" s="434" t="s">
        <v>50</v>
      </c>
      <c r="G224" s="434" t="s">
        <v>120</v>
      </c>
      <c r="H224" s="989" t="s">
        <v>4390</v>
      </c>
      <c r="I224" s="989" t="s">
        <v>4391</v>
      </c>
      <c r="J224" s="987"/>
      <c r="K224" s="987"/>
      <c r="L224" s="987"/>
      <c r="M224" s="987"/>
      <c r="N224" s="987"/>
      <c r="O224" s="987"/>
      <c r="P224" s="987"/>
      <c r="Q224" s="987"/>
      <c r="R224" s="987"/>
      <c r="S224" s="987"/>
      <c r="T224" s="987"/>
      <c r="U224" s="987"/>
      <c r="V224" s="987"/>
      <c r="W224" s="987"/>
      <c r="X224" s="987"/>
      <c r="Y224" s="987"/>
      <c r="Z224" s="987"/>
      <c r="AA224" s="986"/>
    </row>
    <row r="225" hidden="1">
      <c r="A225" s="436" t="s">
        <v>50</v>
      </c>
      <c r="B225" s="988">
        <v>44242.0</v>
      </c>
      <c r="C225" s="989" t="s">
        <v>4389</v>
      </c>
      <c r="D225" s="434" t="s">
        <v>918</v>
      </c>
      <c r="E225" s="434" t="s">
        <v>3991</v>
      </c>
      <c r="F225" s="434" t="s">
        <v>50</v>
      </c>
      <c r="G225" s="434" t="s">
        <v>120</v>
      </c>
      <c r="H225" s="989" t="s">
        <v>4392</v>
      </c>
      <c r="I225" s="989" t="s">
        <v>4391</v>
      </c>
      <c r="J225" s="987"/>
      <c r="K225" s="987"/>
      <c r="L225" s="987"/>
      <c r="M225" s="987"/>
      <c r="N225" s="987"/>
      <c r="O225" s="987"/>
      <c r="P225" s="987"/>
      <c r="Q225" s="987"/>
      <c r="R225" s="987"/>
      <c r="S225" s="987"/>
      <c r="T225" s="987"/>
      <c r="U225" s="987"/>
      <c r="V225" s="987"/>
      <c r="W225" s="987"/>
      <c r="X225" s="987"/>
      <c r="Y225" s="987"/>
      <c r="Z225" s="987"/>
      <c r="AA225" s="986"/>
    </row>
    <row r="226" hidden="1">
      <c r="A226" s="436" t="s">
        <v>50</v>
      </c>
      <c r="B226" s="988">
        <v>44246.0</v>
      </c>
      <c r="C226" s="989" t="s">
        <v>4371</v>
      </c>
      <c r="D226" s="434" t="s">
        <v>89</v>
      </c>
      <c r="E226" s="434" t="s">
        <v>269</v>
      </c>
      <c r="F226" s="990">
        <v>1.5830868E7</v>
      </c>
      <c r="G226" s="434" t="s">
        <v>51</v>
      </c>
      <c r="H226" s="989" t="s">
        <v>4393</v>
      </c>
      <c r="I226" s="989" t="s">
        <v>4394</v>
      </c>
      <c r="J226" s="987"/>
      <c r="K226" s="987"/>
      <c r="L226" s="987"/>
      <c r="M226" s="987"/>
      <c r="N226" s="987"/>
      <c r="O226" s="987"/>
      <c r="P226" s="987"/>
      <c r="Q226" s="987"/>
      <c r="R226" s="987"/>
      <c r="S226" s="987"/>
      <c r="T226" s="987"/>
      <c r="U226" s="987"/>
      <c r="V226" s="987"/>
      <c r="W226" s="987"/>
      <c r="X226" s="987"/>
      <c r="Y226" s="987"/>
      <c r="Z226" s="987"/>
      <c r="AA226" s="986"/>
    </row>
    <row r="227" hidden="1">
      <c r="A227" s="436" t="s">
        <v>50</v>
      </c>
      <c r="B227" s="988">
        <v>44251.0</v>
      </c>
      <c r="C227" s="989" t="s">
        <v>4395</v>
      </c>
      <c r="D227" s="434" t="s">
        <v>4028</v>
      </c>
      <c r="E227" s="434" t="s">
        <v>305</v>
      </c>
      <c r="F227" s="990">
        <v>1.519169E7</v>
      </c>
      <c r="G227" s="434" t="s">
        <v>103</v>
      </c>
      <c r="H227" s="989" t="s">
        <v>4396</v>
      </c>
      <c r="I227" s="989" t="s">
        <v>4397</v>
      </c>
      <c r="J227" s="987"/>
      <c r="K227" s="987"/>
      <c r="L227" s="987"/>
      <c r="M227" s="987"/>
      <c r="N227" s="987"/>
      <c r="O227" s="987"/>
      <c r="P227" s="987"/>
      <c r="Q227" s="987"/>
      <c r="R227" s="987"/>
      <c r="S227" s="987"/>
      <c r="T227" s="987"/>
      <c r="U227" s="987"/>
      <c r="V227" s="987"/>
      <c r="W227" s="987"/>
      <c r="X227" s="987"/>
      <c r="Y227" s="987"/>
      <c r="Z227" s="987"/>
      <c r="AA227" s="986"/>
    </row>
    <row r="228" hidden="1">
      <c r="A228" s="436" t="s">
        <v>50</v>
      </c>
      <c r="B228" s="988">
        <v>44251.0</v>
      </c>
      <c r="C228" s="989" t="s">
        <v>4328</v>
      </c>
      <c r="D228" s="434" t="s">
        <v>309</v>
      </c>
      <c r="E228" s="434" t="s">
        <v>310</v>
      </c>
      <c r="F228" s="990">
        <v>1.8030278E7</v>
      </c>
      <c r="G228" s="434" t="s">
        <v>32</v>
      </c>
      <c r="H228" s="989" t="s">
        <v>4398</v>
      </c>
      <c r="I228" s="989" t="s">
        <v>4322</v>
      </c>
      <c r="J228" s="987"/>
      <c r="K228" s="987"/>
      <c r="L228" s="987"/>
      <c r="M228" s="987"/>
      <c r="N228" s="987"/>
      <c r="O228" s="987"/>
      <c r="P228" s="987"/>
      <c r="Q228" s="987"/>
      <c r="R228" s="987"/>
      <c r="S228" s="987"/>
      <c r="T228" s="987"/>
      <c r="U228" s="987"/>
      <c r="V228" s="987"/>
      <c r="W228" s="987"/>
      <c r="X228" s="987"/>
      <c r="Y228" s="987"/>
      <c r="Z228" s="987"/>
      <c r="AA228" s="986"/>
    </row>
    <row r="229" hidden="1">
      <c r="A229" s="436" t="s">
        <v>50</v>
      </c>
      <c r="B229" s="988">
        <v>44256.0</v>
      </c>
      <c r="C229" s="989" t="s">
        <v>4294</v>
      </c>
      <c r="D229" s="434" t="s">
        <v>540</v>
      </c>
      <c r="E229" s="434" t="s">
        <v>541</v>
      </c>
      <c r="F229" s="990">
        <v>1.5270771E7</v>
      </c>
      <c r="G229" s="434" t="s">
        <v>103</v>
      </c>
      <c r="H229" s="989" t="s">
        <v>4399</v>
      </c>
      <c r="I229" s="989" t="s">
        <v>4400</v>
      </c>
      <c r="J229" s="987"/>
      <c r="K229" s="987"/>
      <c r="L229" s="987"/>
      <c r="M229" s="987"/>
      <c r="N229" s="987"/>
      <c r="O229" s="987"/>
      <c r="P229" s="987"/>
      <c r="Q229" s="987"/>
      <c r="R229" s="987"/>
      <c r="S229" s="987"/>
      <c r="T229" s="987"/>
      <c r="U229" s="987"/>
      <c r="V229" s="987"/>
      <c r="W229" s="987"/>
      <c r="X229" s="987"/>
      <c r="Y229" s="987"/>
      <c r="Z229" s="987"/>
      <c r="AA229" s="986"/>
    </row>
    <row r="230" hidden="1">
      <c r="A230" s="436" t="s">
        <v>50</v>
      </c>
      <c r="B230" s="988">
        <v>44257.0</v>
      </c>
      <c r="C230" s="989" t="s">
        <v>4371</v>
      </c>
      <c r="D230" s="434" t="s">
        <v>89</v>
      </c>
      <c r="E230" s="434" t="s">
        <v>269</v>
      </c>
      <c r="F230" s="990">
        <v>1.5830871E7</v>
      </c>
      <c r="G230" s="434" t="s">
        <v>51</v>
      </c>
      <c r="H230" s="989" t="s">
        <v>4401</v>
      </c>
      <c r="I230" s="989" t="s">
        <v>4402</v>
      </c>
      <c r="J230" s="987"/>
      <c r="K230" s="987"/>
      <c r="L230" s="987"/>
      <c r="M230" s="987"/>
      <c r="N230" s="987"/>
      <c r="O230" s="987"/>
      <c r="P230" s="987"/>
      <c r="Q230" s="987"/>
      <c r="R230" s="987"/>
      <c r="S230" s="987"/>
      <c r="T230" s="987"/>
      <c r="U230" s="987"/>
      <c r="V230" s="987"/>
      <c r="W230" s="987"/>
      <c r="X230" s="987"/>
      <c r="Y230" s="987"/>
      <c r="Z230" s="987"/>
      <c r="AA230" s="986"/>
    </row>
    <row r="231" hidden="1">
      <c r="A231" s="436" t="s">
        <v>50</v>
      </c>
      <c r="B231" s="988">
        <v>44257.0</v>
      </c>
      <c r="C231" s="989" t="s">
        <v>4371</v>
      </c>
      <c r="D231" s="434" t="s">
        <v>89</v>
      </c>
      <c r="E231" s="434" t="s">
        <v>269</v>
      </c>
      <c r="F231" s="990">
        <v>1.5830872E7</v>
      </c>
      <c r="G231" s="434" t="s">
        <v>51</v>
      </c>
      <c r="H231" s="989" t="s">
        <v>4403</v>
      </c>
      <c r="I231" s="989" t="s">
        <v>4404</v>
      </c>
      <c r="J231" s="987"/>
      <c r="K231" s="987"/>
      <c r="L231" s="987"/>
      <c r="M231" s="987"/>
      <c r="N231" s="987"/>
      <c r="O231" s="987"/>
      <c r="P231" s="987"/>
      <c r="Q231" s="987"/>
      <c r="R231" s="987"/>
      <c r="S231" s="987"/>
      <c r="T231" s="987"/>
      <c r="U231" s="987"/>
      <c r="V231" s="987"/>
      <c r="W231" s="987"/>
      <c r="X231" s="987"/>
      <c r="Y231" s="987"/>
      <c r="Z231" s="987"/>
      <c r="AA231" s="986"/>
    </row>
    <row r="232" hidden="1">
      <c r="A232" s="436" t="s">
        <v>50</v>
      </c>
      <c r="B232" s="988">
        <v>44265.0</v>
      </c>
      <c r="C232" s="989" t="s">
        <v>4405</v>
      </c>
      <c r="D232" s="434" t="s">
        <v>404</v>
      </c>
      <c r="E232" s="434" t="s">
        <v>4117</v>
      </c>
      <c r="F232" s="434" t="s">
        <v>50</v>
      </c>
      <c r="G232" s="434" t="s">
        <v>200</v>
      </c>
      <c r="H232" s="989" t="s">
        <v>4406</v>
      </c>
      <c r="I232" s="989" t="s">
        <v>4407</v>
      </c>
      <c r="J232" s="987"/>
      <c r="K232" s="987"/>
      <c r="L232" s="987"/>
      <c r="M232" s="987"/>
      <c r="N232" s="987"/>
      <c r="O232" s="987"/>
      <c r="P232" s="987"/>
      <c r="Q232" s="987"/>
      <c r="R232" s="987"/>
      <c r="S232" s="987"/>
      <c r="T232" s="987"/>
      <c r="U232" s="987"/>
      <c r="V232" s="987"/>
      <c r="W232" s="987"/>
      <c r="X232" s="987"/>
      <c r="Y232" s="987"/>
      <c r="Z232" s="987"/>
      <c r="AA232" s="986"/>
    </row>
    <row r="233" hidden="1">
      <c r="A233" s="436" t="s">
        <v>50</v>
      </c>
      <c r="B233" s="988">
        <v>44266.0</v>
      </c>
      <c r="C233" s="989" t="s">
        <v>4405</v>
      </c>
      <c r="D233" s="434" t="s">
        <v>404</v>
      </c>
      <c r="E233" s="434" t="s">
        <v>4117</v>
      </c>
      <c r="F233" s="434" t="s">
        <v>50</v>
      </c>
      <c r="G233" s="434" t="s">
        <v>200</v>
      </c>
      <c r="H233" s="989" t="s">
        <v>4408</v>
      </c>
      <c r="I233" s="989" t="s">
        <v>4409</v>
      </c>
      <c r="J233" s="987"/>
      <c r="K233" s="987"/>
      <c r="L233" s="987"/>
      <c r="M233" s="987"/>
      <c r="N233" s="987"/>
      <c r="O233" s="987"/>
      <c r="P233" s="987"/>
      <c r="Q233" s="987"/>
      <c r="R233" s="987"/>
      <c r="S233" s="987"/>
      <c r="T233" s="987"/>
      <c r="U233" s="987"/>
      <c r="V233" s="987"/>
      <c r="W233" s="987"/>
      <c r="X233" s="987"/>
      <c r="Y233" s="987"/>
      <c r="Z233" s="987"/>
      <c r="AA233" s="986"/>
    </row>
    <row r="234" hidden="1">
      <c r="A234" s="436" t="s">
        <v>50</v>
      </c>
      <c r="B234" s="988">
        <v>44267.0</v>
      </c>
      <c r="C234" s="989" t="s">
        <v>4410</v>
      </c>
      <c r="D234" s="434" t="s">
        <v>367</v>
      </c>
      <c r="E234" s="434" t="s">
        <v>281</v>
      </c>
      <c r="F234" s="434" t="s">
        <v>50</v>
      </c>
      <c r="G234" s="434" t="s">
        <v>120</v>
      </c>
      <c r="H234" s="989" t="s">
        <v>4411</v>
      </c>
      <c r="I234" s="989" t="s">
        <v>4412</v>
      </c>
      <c r="J234" s="987"/>
      <c r="K234" s="987"/>
      <c r="L234" s="987"/>
      <c r="M234" s="987"/>
      <c r="N234" s="987"/>
      <c r="O234" s="987"/>
      <c r="P234" s="987"/>
      <c r="Q234" s="987"/>
      <c r="R234" s="987"/>
      <c r="S234" s="987"/>
      <c r="T234" s="987"/>
      <c r="U234" s="987"/>
      <c r="V234" s="987"/>
      <c r="W234" s="987"/>
      <c r="X234" s="987"/>
      <c r="Y234" s="987"/>
      <c r="Z234" s="987"/>
      <c r="AA234" s="986"/>
    </row>
    <row r="235" hidden="1">
      <c r="A235" s="436" t="s">
        <v>50</v>
      </c>
      <c r="B235" s="988">
        <v>44267.0</v>
      </c>
      <c r="C235" s="989" t="s">
        <v>4410</v>
      </c>
      <c r="D235" s="434" t="s">
        <v>367</v>
      </c>
      <c r="E235" s="434" t="s">
        <v>305</v>
      </c>
      <c r="F235" s="434" t="s">
        <v>50</v>
      </c>
      <c r="G235" s="434" t="s">
        <v>120</v>
      </c>
      <c r="H235" s="989" t="s">
        <v>4413</v>
      </c>
      <c r="I235" s="989" t="s">
        <v>4414</v>
      </c>
      <c r="J235" s="987"/>
      <c r="K235" s="987"/>
      <c r="L235" s="987"/>
      <c r="M235" s="987"/>
      <c r="N235" s="987"/>
      <c r="O235" s="987"/>
      <c r="P235" s="987"/>
      <c r="Q235" s="987"/>
      <c r="R235" s="987"/>
      <c r="S235" s="987"/>
      <c r="T235" s="987"/>
      <c r="U235" s="987"/>
      <c r="V235" s="987"/>
      <c r="W235" s="987"/>
      <c r="X235" s="987"/>
      <c r="Y235" s="987"/>
      <c r="Z235" s="987"/>
      <c r="AA235" s="986"/>
    </row>
    <row r="236" hidden="1">
      <c r="A236" s="436" t="s">
        <v>50</v>
      </c>
      <c r="B236" s="988">
        <v>44270.0</v>
      </c>
      <c r="C236" s="989" t="s">
        <v>4361</v>
      </c>
      <c r="D236" s="434" t="s">
        <v>2268</v>
      </c>
      <c r="E236" s="434" t="s">
        <v>305</v>
      </c>
      <c r="F236" s="434" t="s">
        <v>50</v>
      </c>
      <c r="G236" s="434" t="s">
        <v>200</v>
      </c>
      <c r="H236" s="989" t="s">
        <v>4415</v>
      </c>
      <c r="I236" s="989" t="s">
        <v>4416</v>
      </c>
      <c r="J236" s="987"/>
      <c r="K236" s="987"/>
      <c r="L236" s="987"/>
      <c r="M236" s="987"/>
      <c r="N236" s="987"/>
      <c r="O236" s="987"/>
      <c r="P236" s="987"/>
      <c r="Q236" s="987"/>
      <c r="R236" s="987"/>
      <c r="S236" s="987"/>
      <c r="T236" s="987"/>
      <c r="U236" s="987"/>
      <c r="V236" s="987"/>
      <c r="W236" s="987"/>
      <c r="X236" s="987"/>
      <c r="Y236" s="987"/>
      <c r="Z236" s="987"/>
      <c r="AA236" s="986"/>
    </row>
    <row r="237" hidden="1">
      <c r="A237" s="436" t="s">
        <v>50</v>
      </c>
      <c r="B237" s="988">
        <v>44271.0</v>
      </c>
      <c r="C237" s="989" t="s">
        <v>4033</v>
      </c>
      <c r="D237" s="434" t="s">
        <v>4034</v>
      </c>
      <c r="E237" s="434" t="s">
        <v>436</v>
      </c>
      <c r="F237" s="434" t="s">
        <v>50</v>
      </c>
      <c r="G237" s="989" t="s">
        <v>4220</v>
      </c>
      <c r="H237" s="989" t="s">
        <v>4417</v>
      </c>
      <c r="I237" s="989" t="s">
        <v>4418</v>
      </c>
      <c r="J237" s="987"/>
      <c r="K237" s="987"/>
      <c r="L237" s="987"/>
      <c r="M237" s="987"/>
      <c r="N237" s="987"/>
      <c r="O237" s="987"/>
      <c r="P237" s="987"/>
      <c r="Q237" s="987"/>
      <c r="R237" s="987"/>
      <c r="S237" s="987"/>
      <c r="T237" s="987"/>
      <c r="U237" s="987"/>
      <c r="V237" s="987"/>
      <c r="W237" s="987"/>
      <c r="X237" s="987"/>
      <c r="Y237" s="987"/>
      <c r="Z237" s="987"/>
      <c r="AA237" s="986"/>
    </row>
    <row r="238" hidden="1">
      <c r="A238" s="436" t="s">
        <v>50</v>
      </c>
      <c r="B238" s="988">
        <v>44272.0</v>
      </c>
      <c r="C238" s="989" t="s">
        <v>4419</v>
      </c>
      <c r="D238" s="434" t="s">
        <v>2804</v>
      </c>
      <c r="E238" s="434" t="s">
        <v>305</v>
      </c>
      <c r="F238" s="990">
        <v>1.5111338E7</v>
      </c>
      <c r="G238" s="434" t="s">
        <v>103</v>
      </c>
      <c r="H238" s="989" t="s">
        <v>4420</v>
      </c>
      <c r="I238" s="989" t="s">
        <v>4421</v>
      </c>
      <c r="J238" s="987"/>
      <c r="K238" s="987"/>
      <c r="L238" s="987"/>
      <c r="M238" s="987"/>
      <c r="N238" s="987"/>
      <c r="O238" s="987"/>
      <c r="P238" s="987"/>
      <c r="Q238" s="987"/>
      <c r="R238" s="987"/>
      <c r="S238" s="987"/>
      <c r="T238" s="987"/>
      <c r="U238" s="987"/>
      <c r="V238" s="987"/>
      <c r="W238" s="987"/>
      <c r="X238" s="987"/>
      <c r="Y238" s="987"/>
      <c r="Z238" s="987"/>
      <c r="AA238" s="986"/>
    </row>
    <row r="239" hidden="1">
      <c r="A239" s="436" t="s">
        <v>50</v>
      </c>
      <c r="B239" s="988">
        <v>44273.0</v>
      </c>
      <c r="C239" s="989" t="s">
        <v>4422</v>
      </c>
      <c r="D239" s="434" t="s">
        <v>2659</v>
      </c>
      <c r="E239" s="434" t="s">
        <v>4423</v>
      </c>
      <c r="F239" s="990">
        <v>1.5890357E7</v>
      </c>
      <c r="G239" s="434" t="s">
        <v>348</v>
      </c>
      <c r="H239" s="989" t="s">
        <v>4424</v>
      </c>
      <c r="I239" s="989" t="s">
        <v>4425</v>
      </c>
      <c r="J239" s="987"/>
      <c r="K239" s="987"/>
      <c r="L239" s="987"/>
      <c r="M239" s="987"/>
      <c r="N239" s="987"/>
      <c r="O239" s="987"/>
      <c r="P239" s="987"/>
      <c r="Q239" s="987"/>
      <c r="R239" s="987"/>
      <c r="S239" s="987"/>
      <c r="T239" s="987"/>
      <c r="U239" s="987"/>
      <c r="V239" s="987"/>
      <c r="W239" s="987"/>
      <c r="X239" s="987"/>
      <c r="Y239" s="987"/>
      <c r="Z239" s="987"/>
      <c r="AA239" s="986"/>
    </row>
    <row r="240" hidden="1">
      <c r="A240" s="436" t="s">
        <v>50</v>
      </c>
      <c r="B240" s="988">
        <v>44278.0</v>
      </c>
      <c r="C240" s="989" t="s">
        <v>4426</v>
      </c>
      <c r="D240" s="434" t="s">
        <v>411</v>
      </c>
      <c r="E240" s="434" t="s">
        <v>4427</v>
      </c>
      <c r="F240" s="990">
        <v>1.8030318E7</v>
      </c>
      <c r="G240" s="434" t="s">
        <v>103</v>
      </c>
      <c r="H240" s="989" t="s">
        <v>4428</v>
      </c>
      <c r="I240" s="989" t="s">
        <v>4429</v>
      </c>
      <c r="J240" s="987"/>
      <c r="K240" s="987"/>
      <c r="L240" s="987"/>
      <c r="M240" s="987"/>
      <c r="N240" s="987"/>
      <c r="O240" s="987"/>
      <c r="P240" s="987"/>
      <c r="Q240" s="987"/>
      <c r="R240" s="987"/>
      <c r="S240" s="987"/>
      <c r="T240" s="987"/>
      <c r="U240" s="987"/>
      <c r="V240" s="987"/>
      <c r="W240" s="987"/>
      <c r="X240" s="987"/>
      <c r="Y240" s="987"/>
      <c r="Z240" s="987"/>
      <c r="AA240" s="986"/>
    </row>
    <row r="241" hidden="1">
      <c r="A241" s="436" t="s">
        <v>50</v>
      </c>
      <c r="B241" s="988">
        <v>44278.0</v>
      </c>
      <c r="C241" s="989" t="s">
        <v>4371</v>
      </c>
      <c r="D241" s="434" t="s">
        <v>89</v>
      </c>
      <c r="E241" s="434" t="s">
        <v>269</v>
      </c>
      <c r="F241" s="990">
        <v>1.5830882E7</v>
      </c>
      <c r="G241" s="434" t="s">
        <v>51</v>
      </c>
      <c r="H241" s="989" t="s">
        <v>4430</v>
      </c>
      <c r="I241" s="989" t="s">
        <v>4431</v>
      </c>
      <c r="J241" s="987"/>
      <c r="K241" s="987"/>
      <c r="L241" s="987"/>
      <c r="M241" s="987"/>
      <c r="N241" s="987"/>
      <c r="O241" s="987"/>
      <c r="P241" s="987"/>
      <c r="Q241" s="987"/>
      <c r="R241" s="987"/>
      <c r="S241" s="987"/>
      <c r="T241" s="987"/>
      <c r="U241" s="987"/>
      <c r="V241" s="987"/>
      <c r="W241" s="987"/>
      <c r="X241" s="987"/>
      <c r="Y241" s="987"/>
      <c r="Z241" s="987"/>
      <c r="AA241" s="986"/>
    </row>
    <row r="242" hidden="1">
      <c r="A242" s="436" t="s">
        <v>50</v>
      </c>
      <c r="B242" s="988">
        <v>44278.0</v>
      </c>
      <c r="C242" s="989" t="s">
        <v>4371</v>
      </c>
      <c r="D242" s="434" t="s">
        <v>89</v>
      </c>
      <c r="E242" s="434" t="s">
        <v>269</v>
      </c>
      <c r="F242" s="990">
        <v>1.5830883E7</v>
      </c>
      <c r="G242" s="434" t="s">
        <v>51</v>
      </c>
      <c r="H242" s="989" t="s">
        <v>4432</v>
      </c>
      <c r="I242" s="989" t="s">
        <v>4433</v>
      </c>
      <c r="J242" s="987"/>
      <c r="K242" s="987"/>
      <c r="L242" s="987"/>
      <c r="M242" s="987"/>
      <c r="N242" s="987"/>
      <c r="O242" s="987"/>
      <c r="P242" s="987"/>
      <c r="Q242" s="987"/>
      <c r="R242" s="987"/>
      <c r="S242" s="987"/>
      <c r="T242" s="987"/>
      <c r="U242" s="987"/>
      <c r="V242" s="987"/>
      <c r="W242" s="987"/>
      <c r="X242" s="987"/>
      <c r="Y242" s="987"/>
      <c r="Z242" s="987"/>
      <c r="AA242" s="986"/>
    </row>
    <row r="243" hidden="1">
      <c r="A243" s="436" t="s">
        <v>50</v>
      </c>
      <c r="B243" s="988">
        <v>44278.0</v>
      </c>
      <c r="C243" s="989" t="s">
        <v>4371</v>
      </c>
      <c r="D243" s="434" t="s">
        <v>89</v>
      </c>
      <c r="E243" s="434" t="s">
        <v>269</v>
      </c>
      <c r="F243" s="990">
        <v>1.5830886E7</v>
      </c>
      <c r="G243" s="434" t="s">
        <v>51</v>
      </c>
      <c r="H243" s="989" t="s">
        <v>4434</v>
      </c>
      <c r="I243" s="989" t="s">
        <v>4435</v>
      </c>
      <c r="J243" s="987"/>
      <c r="K243" s="987"/>
      <c r="L243" s="987"/>
      <c r="M243" s="987"/>
      <c r="N243" s="987"/>
      <c r="O243" s="987"/>
      <c r="P243" s="987"/>
      <c r="Q243" s="987"/>
      <c r="R243" s="987"/>
      <c r="S243" s="987"/>
      <c r="T243" s="987"/>
      <c r="U243" s="987"/>
      <c r="V243" s="987"/>
      <c r="W243" s="987"/>
      <c r="X243" s="987"/>
      <c r="Y243" s="987"/>
      <c r="Z243" s="987"/>
      <c r="AA243" s="986"/>
    </row>
    <row r="244" hidden="1">
      <c r="A244" s="436" t="s">
        <v>50</v>
      </c>
      <c r="B244" s="988">
        <v>44279.0</v>
      </c>
      <c r="C244" s="989" t="s">
        <v>4262</v>
      </c>
      <c r="D244" s="434" t="s">
        <v>506</v>
      </c>
      <c r="E244" s="434" t="s">
        <v>4348</v>
      </c>
      <c r="F244" s="990">
        <v>1.7241722E7</v>
      </c>
      <c r="G244" s="434" t="s">
        <v>120</v>
      </c>
      <c r="H244" s="989" t="s">
        <v>4436</v>
      </c>
      <c r="I244" s="989" t="s">
        <v>4437</v>
      </c>
      <c r="J244" s="987"/>
      <c r="K244" s="987"/>
      <c r="L244" s="987"/>
      <c r="M244" s="987"/>
      <c r="N244" s="987"/>
      <c r="O244" s="987"/>
      <c r="P244" s="987"/>
      <c r="Q244" s="987"/>
      <c r="R244" s="987"/>
      <c r="S244" s="987"/>
      <c r="T244" s="987"/>
      <c r="U244" s="987"/>
      <c r="V244" s="987"/>
      <c r="W244" s="987"/>
      <c r="X244" s="987"/>
      <c r="Y244" s="987"/>
      <c r="Z244" s="987"/>
      <c r="AA244" s="986"/>
    </row>
    <row r="245" hidden="1">
      <c r="A245" s="436" t="s">
        <v>50</v>
      </c>
      <c r="B245" s="988">
        <v>44280.0</v>
      </c>
      <c r="C245" s="989" t="s">
        <v>4312</v>
      </c>
      <c r="D245" s="434" t="s">
        <v>1005</v>
      </c>
      <c r="E245" s="434" t="s">
        <v>4438</v>
      </c>
      <c r="F245" s="434" t="s">
        <v>50</v>
      </c>
      <c r="G245" s="989" t="s">
        <v>3353</v>
      </c>
      <c r="H245" s="989" t="s">
        <v>4439</v>
      </c>
      <c r="I245" s="989" t="s">
        <v>4440</v>
      </c>
      <c r="J245" s="987"/>
      <c r="K245" s="987"/>
      <c r="L245" s="987"/>
      <c r="M245" s="987"/>
      <c r="N245" s="987"/>
      <c r="O245" s="987"/>
      <c r="P245" s="987"/>
      <c r="Q245" s="987"/>
      <c r="R245" s="987"/>
      <c r="S245" s="987"/>
      <c r="T245" s="987"/>
      <c r="U245" s="987"/>
      <c r="V245" s="987"/>
      <c r="W245" s="987"/>
      <c r="X245" s="987"/>
      <c r="Y245" s="987"/>
      <c r="Z245" s="987"/>
      <c r="AA245" s="986"/>
    </row>
    <row r="246" hidden="1">
      <c r="A246" s="436" t="s">
        <v>50</v>
      </c>
      <c r="B246" s="988">
        <v>44280.0</v>
      </c>
      <c r="C246" s="989" t="s">
        <v>4441</v>
      </c>
      <c r="D246" s="434" t="s">
        <v>3809</v>
      </c>
      <c r="E246" s="434" t="s">
        <v>3810</v>
      </c>
      <c r="F246" s="990">
        <v>1.3582371E7</v>
      </c>
      <c r="G246" s="434" t="s">
        <v>200</v>
      </c>
      <c r="H246" s="989" t="s">
        <v>4442</v>
      </c>
      <c r="I246" s="989" t="s">
        <v>4443</v>
      </c>
      <c r="J246" s="987"/>
      <c r="K246" s="987"/>
      <c r="L246" s="987"/>
      <c r="M246" s="987"/>
      <c r="N246" s="987"/>
      <c r="O246" s="987"/>
      <c r="P246" s="987"/>
      <c r="Q246" s="987"/>
      <c r="R246" s="987"/>
      <c r="S246" s="987"/>
      <c r="T246" s="987"/>
      <c r="U246" s="987"/>
      <c r="V246" s="987"/>
      <c r="W246" s="987"/>
      <c r="X246" s="987"/>
      <c r="Y246" s="987"/>
      <c r="Z246" s="987"/>
      <c r="AA246" s="986"/>
    </row>
    <row r="247" hidden="1">
      <c r="A247" s="436" t="s">
        <v>50</v>
      </c>
      <c r="B247" s="988">
        <v>44281.0</v>
      </c>
      <c r="C247" s="989" t="s">
        <v>4262</v>
      </c>
      <c r="D247" s="434" t="s">
        <v>506</v>
      </c>
      <c r="E247" s="434" t="s">
        <v>305</v>
      </c>
      <c r="F247" s="990">
        <v>1.7241735E7</v>
      </c>
      <c r="G247" s="434" t="s">
        <v>120</v>
      </c>
      <c r="H247" s="989" t="s">
        <v>4444</v>
      </c>
      <c r="I247" s="989" t="s">
        <v>4445</v>
      </c>
      <c r="J247" s="987"/>
      <c r="K247" s="987"/>
      <c r="L247" s="987"/>
      <c r="M247" s="987"/>
      <c r="N247" s="987"/>
      <c r="O247" s="987"/>
      <c r="P247" s="987"/>
      <c r="Q247" s="987"/>
      <c r="R247" s="987"/>
      <c r="S247" s="987"/>
      <c r="T247" s="987"/>
      <c r="U247" s="987"/>
      <c r="V247" s="987"/>
      <c r="W247" s="987"/>
      <c r="X247" s="987"/>
      <c r="Y247" s="987"/>
      <c r="Z247" s="987"/>
      <c r="AA247" s="986"/>
    </row>
    <row r="248" hidden="1">
      <c r="A248" s="436" t="s">
        <v>50</v>
      </c>
      <c r="B248" s="988">
        <v>44281.0</v>
      </c>
      <c r="C248" s="989" t="s">
        <v>4262</v>
      </c>
      <c r="D248" s="434" t="s">
        <v>506</v>
      </c>
      <c r="E248" s="434" t="s">
        <v>305</v>
      </c>
      <c r="F248" s="990">
        <v>1.724174E7</v>
      </c>
      <c r="G248" s="434" t="s">
        <v>120</v>
      </c>
      <c r="H248" s="989" t="s">
        <v>4446</v>
      </c>
      <c r="I248" s="989" t="s">
        <v>4447</v>
      </c>
      <c r="J248" s="987"/>
      <c r="K248" s="987"/>
      <c r="L248" s="987"/>
      <c r="M248" s="987"/>
      <c r="N248" s="987"/>
      <c r="O248" s="987"/>
      <c r="P248" s="987"/>
      <c r="Q248" s="987"/>
      <c r="R248" s="987"/>
      <c r="S248" s="987"/>
      <c r="T248" s="987"/>
      <c r="U248" s="987"/>
      <c r="V248" s="987"/>
      <c r="W248" s="987"/>
      <c r="X248" s="987"/>
      <c r="Y248" s="987"/>
      <c r="Z248" s="987"/>
      <c r="AA248" s="986"/>
    </row>
    <row r="249" hidden="1">
      <c r="A249" s="436" t="s">
        <v>50</v>
      </c>
      <c r="B249" s="988">
        <v>44281.0</v>
      </c>
      <c r="C249" s="989" t="s">
        <v>4448</v>
      </c>
      <c r="D249" s="434" t="s">
        <v>3413</v>
      </c>
      <c r="E249" s="434" t="s">
        <v>4449</v>
      </c>
      <c r="F249" s="990">
        <v>1.3600311E7</v>
      </c>
      <c r="G249" s="434" t="s">
        <v>200</v>
      </c>
      <c r="H249" s="989" t="s">
        <v>4450</v>
      </c>
      <c r="I249" s="989" t="s">
        <v>4451</v>
      </c>
      <c r="J249" s="987"/>
      <c r="K249" s="987"/>
      <c r="L249" s="987"/>
      <c r="M249" s="987"/>
      <c r="N249" s="987"/>
      <c r="O249" s="987"/>
      <c r="P249" s="987"/>
      <c r="Q249" s="987"/>
      <c r="R249" s="987"/>
      <c r="S249" s="987"/>
      <c r="T249" s="987"/>
      <c r="U249" s="987"/>
      <c r="V249" s="987"/>
      <c r="W249" s="987"/>
      <c r="X249" s="987"/>
      <c r="Y249" s="987"/>
      <c r="Z249" s="987"/>
      <c r="AA249" s="986"/>
    </row>
    <row r="250" hidden="1">
      <c r="A250" s="436" t="s">
        <v>50</v>
      </c>
      <c r="B250" s="988">
        <v>44285.0</v>
      </c>
      <c r="C250" s="989" t="s">
        <v>4312</v>
      </c>
      <c r="D250" s="434" t="s">
        <v>1005</v>
      </c>
      <c r="E250" s="434" t="s">
        <v>4438</v>
      </c>
      <c r="F250" s="434" t="s">
        <v>50</v>
      </c>
      <c r="G250" s="989" t="s">
        <v>3353</v>
      </c>
      <c r="H250" s="989" t="s">
        <v>4452</v>
      </c>
      <c r="I250" s="989" t="s">
        <v>4453</v>
      </c>
      <c r="J250" s="987"/>
      <c r="K250" s="987"/>
      <c r="L250" s="987"/>
      <c r="M250" s="987"/>
      <c r="N250" s="987"/>
      <c r="O250" s="987"/>
      <c r="P250" s="987"/>
      <c r="Q250" s="987"/>
      <c r="R250" s="987"/>
      <c r="S250" s="987"/>
      <c r="T250" s="987"/>
      <c r="U250" s="987"/>
      <c r="V250" s="987"/>
      <c r="W250" s="987"/>
      <c r="X250" s="987"/>
      <c r="Y250" s="987"/>
      <c r="Z250" s="987"/>
      <c r="AA250" s="986"/>
    </row>
    <row r="251" hidden="1">
      <c r="A251" s="436" t="s">
        <v>50</v>
      </c>
      <c r="B251" s="988">
        <v>44287.0</v>
      </c>
      <c r="C251" s="989" t="s">
        <v>4454</v>
      </c>
      <c r="D251" s="434" t="s">
        <v>1173</v>
      </c>
      <c r="E251" s="434" t="s">
        <v>3607</v>
      </c>
      <c r="F251" s="990">
        <v>1.6790752E7</v>
      </c>
      <c r="G251" s="434" t="s">
        <v>42</v>
      </c>
      <c r="H251" s="989" t="s">
        <v>4455</v>
      </c>
      <c r="I251" s="989" t="s">
        <v>4456</v>
      </c>
      <c r="J251" s="987"/>
      <c r="K251" s="987"/>
      <c r="L251" s="987"/>
      <c r="M251" s="987"/>
      <c r="N251" s="987"/>
      <c r="O251" s="987"/>
      <c r="P251" s="987"/>
      <c r="Q251" s="987"/>
      <c r="R251" s="987"/>
      <c r="S251" s="987"/>
      <c r="T251" s="987"/>
      <c r="U251" s="987"/>
      <c r="V251" s="987"/>
      <c r="W251" s="987"/>
      <c r="X251" s="987"/>
      <c r="Y251" s="987"/>
      <c r="Z251" s="987"/>
      <c r="AA251" s="986"/>
    </row>
    <row r="252" hidden="1">
      <c r="A252" s="436" t="s">
        <v>50</v>
      </c>
      <c r="B252" s="988">
        <v>44291.0</v>
      </c>
      <c r="C252" s="989" t="s">
        <v>3311</v>
      </c>
      <c r="D252" s="434" t="s">
        <v>885</v>
      </c>
      <c r="E252" s="434" t="s">
        <v>305</v>
      </c>
      <c r="F252" s="990">
        <v>1.5121922E7</v>
      </c>
      <c r="G252" s="434" t="s">
        <v>120</v>
      </c>
      <c r="H252" s="989" t="s">
        <v>4457</v>
      </c>
      <c r="I252" s="989" t="s">
        <v>4458</v>
      </c>
      <c r="J252" s="987"/>
      <c r="K252" s="987"/>
      <c r="L252" s="987"/>
      <c r="M252" s="987"/>
      <c r="N252" s="987"/>
      <c r="O252" s="987"/>
      <c r="P252" s="987"/>
      <c r="Q252" s="987"/>
      <c r="R252" s="987"/>
      <c r="S252" s="987"/>
      <c r="T252" s="987"/>
      <c r="U252" s="987"/>
      <c r="V252" s="987"/>
      <c r="W252" s="987"/>
      <c r="X252" s="987"/>
      <c r="Y252" s="987"/>
      <c r="Z252" s="987"/>
      <c r="AA252" s="986"/>
    </row>
    <row r="253" hidden="1">
      <c r="A253" s="436" t="s">
        <v>50</v>
      </c>
      <c r="B253" s="988">
        <v>44294.0</v>
      </c>
      <c r="C253" s="989" t="s">
        <v>3311</v>
      </c>
      <c r="D253" s="434" t="s">
        <v>885</v>
      </c>
      <c r="E253" s="434" t="s">
        <v>305</v>
      </c>
      <c r="F253" s="434" t="s">
        <v>50</v>
      </c>
      <c r="G253" s="434" t="s">
        <v>120</v>
      </c>
      <c r="H253" s="989" t="s">
        <v>4459</v>
      </c>
      <c r="I253" s="989" t="s">
        <v>4460</v>
      </c>
      <c r="J253" s="987"/>
      <c r="K253" s="987"/>
      <c r="L253" s="987"/>
      <c r="M253" s="987"/>
      <c r="N253" s="987"/>
      <c r="O253" s="987"/>
      <c r="P253" s="987"/>
      <c r="Q253" s="987"/>
      <c r="R253" s="987"/>
      <c r="S253" s="987"/>
      <c r="T253" s="987"/>
      <c r="U253" s="987"/>
      <c r="V253" s="987"/>
      <c r="W253" s="987"/>
      <c r="X253" s="987"/>
      <c r="Y253" s="987"/>
      <c r="Z253" s="987"/>
      <c r="AA253" s="986"/>
    </row>
    <row r="254" hidden="1">
      <c r="A254" s="436" t="s">
        <v>50</v>
      </c>
      <c r="B254" s="988">
        <v>44294.0</v>
      </c>
      <c r="C254" s="989" t="s">
        <v>4461</v>
      </c>
      <c r="D254" s="434" t="s">
        <v>506</v>
      </c>
      <c r="E254" s="434" t="s">
        <v>305</v>
      </c>
      <c r="F254" s="990">
        <v>1.7241782E7</v>
      </c>
      <c r="G254" s="434" t="s">
        <v>120</v>
      </c>
      <c r="H254" s="989" t="s">
        <v>4462</v>
      </c>
      <c r="I254" s="989" t="s">
        <v>4463</v>
      </c>
      <c r="J254" s="987"/>
      <c r="K254" s="987"/>
      <c r="L254" s="987"/>
      <c r="M254" s="987"/>
      <c r="N254" s="987"/>
      <c r="O254" s="987"/>
      <c r="P254" s="987"/>
      <c r="Q254" s="987"/>
      <c r="R254" s="987"/>
      <c r="S254" s="987"/>
      <c r="T254" s="987"/>
      <c r="U254" s="987"/>
      <c r="V254" s="987"/>
      <c r="W254" s="987"/>
      <c r="X254" s="987"/>
      <c r="Y254" s="987"/>
      <c r="Z254" s="987"/>
      <c r="AA254" s="986"/>
    </row>
    <row r="255" hidden="1">
      <c r="A255" s="436" t="s">
        <v>50</v>
      </c>
      <c r="B255" s="988">
        <v>44295.0</v>
      </c>
      <c r="C255" s="989" t="s">
        <v>4461</v>
      </c>
      <c r="D255" s="434" t="s">
        <v>506</v>
      </c>
      <c r="E255" s="434" t="s">
        <v>305</v>
      </c>
      <c r="F255" s="434" t="s">
        <v>3932</v>
      </c>
      <c r="G255" s="434" t="s">
        <v>120</v>
      </c>
      <c r="H255" s="989" t="s">
        <v>4464</v>
      </c>
      <c r="I255" s="989" t="s">
        <v>4465</v>
      </c>
      <c r="J255" s="987"/>
      <c r="K255" s="987"/>
      <c r="L255" s="987"/>
      <c r="M255" s="987"/>
      <c r="N255" s="987"/>
      <c r="O255" s="987"/>
      <c r="P255" s="987"/>
      <c r="Q255" s="987"/>
      <c r="R255" s="987"/>
      <c r="S255" s="987"/>
      <c r="T255" s="987"/>
      <c r="U255" s="987"/>
      <c r="V255" s="987"/>
      <c r="W255" s="987"/>
      <c r="X255" s="987"/>
      <c r="Y255" s="987"/>
      <c r="Z255" s="987"/>
      <c r="AA255" s="986"/>
    </row>
    <row r="256" hidden="1">
      <c r="A256" s="436" t="s">
        <v>50</v>
      </c>
      <c r="B256" s="988">
        <v>44299.0</v>
      </c>
      <c r="C256" s="989" t="s">
        <v>4466</v>
      </c>
      <c r="D256" s="434" t="s">
        <v>4095</v>
      </c>
      <c r="E256" s="434" t="s">
        <v>383</v>
      </c>
      <c r="F256" s="434" t="s">
        <v>4467</v>
      </c>
      <c r="G256" s="434" t="s">
        <v>120</v>
      </c>
      <c r="H256" s="989" t="s">
        <v>4468</v>
      </c>
      <c r="I256" s="989" t="s">
        <v>4469</v>
      </c>
      <c r="J256" s="987"/>
      <c r="K256" s="987"/>
      <c r="L256" s="987"/>
      <c r="M256" s="987"/>
      <c r="N256" s="987"/>
      <c r="O256" s="987"/>
      <c r="P256" s="987"/>
      <c r="Q256" s="987"/>
      <c r="R256" s="987"/>
      <c r="S256" s="987"/>
      <c r="T256" s="987"/>
      <c r="U256" s="987"/>
      <c r="V256" s="987"/>
      <c r="W256" s="987"/>
      <c r="X256" s="987"/>
      <c r="Y256" s="987"/>
      <c r="Z256" s="987"/>
      <c r="AA256" s="986"/>
    </row>
    <row r="257" hidden="1">
      <c r="A257" s="436" t="s">
        <v>50</v>
      </c>
      <c r="B257" s="988">
        <v>44308.0</v>
      </c>
      <c r="C257" s="989" t="s">
        <v>3311</v>
      </c>
      <c r="D257" s="434" t="s">
        <v>885</v>
      </c>
      <c r="E257" s="434" t="s">
        <v>305</v>
      </c>
      <c r="F257" s="434" t="s">
        <v>4068</v>
      </c>
      <c r="G257" s="434" t="s">
        <v>120</v>
      </c>
      <c r="H257" s="989" t="s">
        <v>4470</v>
      </c>
      <c r="I257" s="989" t="s">
        <v>4471</v>
      </c>
      <c r="J257" s="987"/>
      <c r="K257" s="987"/>
      <c r="L257" s="987"/>
      <c r="M257" s="987"/>
      <c r="N257" s="987"/>
      <c r="O257" s="987"/>
      <c r="P257" s="987"/>
      <c r="Q257" s="987"/>
      <c r="R257" s="987"/>
      <c r="S257" s="987"/>
      <c r="T257" s="987"/>
      <c r="U257" s="987"/>
      <c r="V257" s="987"/>
      <c r="W257" s="987"/>
      <c r="X257" s="987"/>
      <c r="Y257" s="987"/>
      <c r="Z257" s="987"/>
      <c r="AA257" s="986"/>
    </row>
    <row r="258" hidden="1">
      <c r="A258" s="436" t="s">
        <v>50</v>
      </c>
      <c r="B258" s="988">
        <v>44322.0</v>
      </c>
      <c r="C258" s="989" t="s">
        <v>3311</v>
      </c>
      <c r="D258" s="434" t="s">
        <v>885</v>
      </c>
      <c r="E258" s="434" t="s">
        <v>305</v>
      </c>
      <c r="F258" s="434" t="s">
        <v>4472</v>
      </c>
      <c r="G258" s="434" t="s">
        <v>120</v>
      </c>
      <c r="H258" s="989" t="s">
        <v>4473</v>
      </c>
      <c r="I258" s="989" t="s">
        <v>4474</v>
      </c>
      <c r="J258" s="987"/>
      <c r="K258" s="987"/>
      <c r="L258" s="987"/>
      <c r="M258" s="987"/>
      <c r="N258" s="987"/>
      <c r="O258" s="987"/>
      <c r="P258" s="987"/>
      <c r="Q258" s="987"/>
      <c r="R258" s="987"/>
      <c r="S258" s="987"/>
      <c r="T258" s="987"/>
      <c r="U258" s="987"/>
      <c r="V258" s="987"/>
      <c r="W258" s="987"/>
      <c r="X258" s="987"/>
      <c r="Y258" s="987"/>
      <c r="Z258" s="987"/>
      <c r="AA258" s="986"/>
    </row>
    <row r="259" hidden="1">
      <c r="A259" s="436" t="s">
        <v>50</v>
      </c>
      <c r="B259" s="988">
        <v>44323.0</v>
      </c>
      <c r="C259" s="989" t="s">
        <v>3311</v>
      </c>
      <c r="D259" s="434" t="s">
        <v>885</v>
      </c>
      <c r="E259" s="434" t="s">
        <v>305</v>
      </c>
      <c r="F259" s="434" t="s">
        <v>4067</v>
      </c>
      <c r="G259" s="434" t="s">
        <v>120</v>
      </c>
      <c r="H259" s="989" t="s">
        <v>4475</v>
      </c>
      <c r="I259" s="989" t="s">
        <v>4476</v>
      </c>
      <c r="J259" s="987"/>
      <c r="K259" s="987"/>
      <c r="L259" s="987"/>
      <c r="M259" s="987"/>
      <c r="N259" s="987"/>
      <c r="O259" s="987"/>
      <c r="P259" s="987"/>
      <c r="Q259" s="987"/>
      <c r="R259" s="987"/>
      <c r="S259" s="987"/>
      <c r="T259" s="987"/>
      <c r="U259" s="987"/>
      <c r="V259" s="987"/>
      <c r="W259" s="987"/>
      <c r="X259" s="987"/>
      <c r="Y259" s="987"/>
      <c r="Z259" s="987"/>
      <c r="AA259" s="986"/>
    </row>
    <row r="260" hidden="1">
      <c r="A260" s="436" t="s">
        <v>50</v>
      </c>
      <c r="B260" s="988">
        <v>44323.0</v>
      </c>
      <c r="C260" s="989" t="s">
        <v>3311</v>
      </c>
      <c r="D260" s="434" t="s">
        <v>885</v>
      </c>
      <c r="E260" s="434" t="s">
        <v>305</v>
      </c>
      <c r="F260" s="434" t="s">
        <v>3932</v>
      </c>
      <c r="G260" s="434" t="s">
        <v>120</v>
      </c>
      <c r="H260" s="989" t="s">
        <v>4477</v>
      </c>
      <c r="I260" s="989" t="s">
        <v>4478</v>
      </c>
      <c r="J260" s="987"/>
      <c r="K260" s="987"/>
      <c r="L260" s="987"/>
      <c r="M260" s="987"/>
      <c r="N260" s="987"/>
      <c r="O260" s="987"/>
      <c r="P260" s="987"/>
      <c r="Q260" s="987"/>
      <c r="R260" s="987"/>
      <c r="S260" s="987"/>
      <c r="T260" s="987"/>
      <c r="U260" s="987"/>
      <c r="V260" s="987"/>
      <c r="W260" s="987"/>
      <c r="X260" s="987"/>
      <c r="Y260" s="987"/>
      <c r="Z260" s="987"/>
      <c r="AA260" s="986"/>
    </row>
    <row r="261" hidden="1">
      <c r="A261" s="436" t="s">
        <v>50</v>
      </c>
      <c r="B261" s="988">
        <v>44328.0</v>
      </c>
      <c r="C261" s="989" t="s">
        <v>4316</v>
      </c>
      <c r="D261" s="434" t="s">
        <v>2522</v>
      </c>
      <c r="E261" s="434" t="s">
        <v>3817</v>
      </c>
      <c r="F261" s="990">
        <v>1.597747E7</v>
      </c>
      <c r="G261" s="434" t="s">
        <v>120</v>
      </c>
      <c r="H261" s="989" t="s">
        <v>4479</v>
      </c>
      <c r="I261" s="989" t="s">
        <v>4480</v>
      </c>
      <c r="J261" s="987"/>
      <c r="K261" s="987"/>
      <c r="L261" s="987"/>
      <c r="M261" s="987"/>
      <c r="N261" s="987"/>
      <c r="O261" s="987"/>
      <c r="P261" s="987"/>
      <c r="Q261" s="987"/>
      <c r="R261" s="987"/>
      <c r="S261" s="987"/>
      <c r="T261" s="987"/>
      <c r="U261" s="987"/>
      <c r="V261" s="987"/>
      <c r="W261" s="987"/>
      <c r="X261" s="987"/>
      <c r="Y261" s="987"/>
      <c r="Z261" s="987"/>
      <c r="AA261" s="986"/>
    </row>
    <row r="262" hidden="1">
      <c r="A262" s="436" t="s">
        <v>50</v>
      </c>
      <c r="B262" s="988">
        <v>44334.0</v>
      </c>
      <c r="C262" s="989" t="s">
        <v>3311</v>
      </c>
      <c r="D262" s="434" t="s">
        <v>885</v>
      </c>
      <c r="E262" s="434" t="s">
        <v>305</v>
      </c>
      <c r="F262" s="434" t="s">
        <v>50</v>
      </c>
      <c r="G262" s="434" t="s">
        <v>120</v>
      </c>
      <c r="H262" s="989" t="s">
        <v>4459</v>
      </c>
      <c r="I262" s="989" t="s">
        <v>4481</v>
      </c>
      <c r="J262" s="987"/>
      <c r="K262" s="987"/>
      <c r="L262" s="987"/>
      <c r="M262" s="987"/>
      <c r="N262" s="987"/>
      <c r="O262" s="987"/>
      <c r="P262" s="987"/>
      <c r="Q262" s="987"/>
      <c r="R262" s="987"/>
      <c r="S262" s="987"/>
      <c r="T262" s="987"/>
      <c r="U262" s="987"/>
      <c r="V262" s="987"/>
      <c r="W262" s="987"/>
      <c r="X262" s="987"/>
      <c r="Y262" s="987"/>
      <c r="Z262" s="987"/>
      <c r="AA262" s="986"/>
    </row>
    <row r="263" hidden="1">
      <c r="A263" s="436" t="s">
        <v>50</v>
      </c>
      <c r="B263" s="988">
        <v>44335.0</v>
      </c>
      <c r="C263" s="989" t="s">
        <v>4461</v>
      </c>
      <c r="D263" s="434" t="s">
        <v>506</v>
      </c>
      <c r="E263" s="434" t="s">
        <v>305</v>
      </c>
      <c r="F263" s="434" t="s">
        <v>50</v>
      </c>
      <c r="G263" s="434" t="s">
        <v>120</v>
      </c>
      <c r="H263" s="989" t="s">
        <v>4482</v>
      </c>
      <c r="I263" s="989" t="s">
        <v>4483</v>
      </c>
      <c r="J263" s="987"/>
      <c r="K263" s="987"/>
      <c r="L263" s="987"/>
      <c r="M263" s="987"/>
      <c r="N263" s="987"/>
      <c r="O263" s="987"/>
      <c r="P263" s="987"/>
      <c r="Q263" s="987"/>
      <c r="R263" s="987"/>
      <c r="S263" s="987"/>
      <c r="T263" s="987"/>
      <c r="U263" s="987"/>
      <c r="V263" s="987"/>
      <c r="W263" s="987"/>
      <c r="X263" s="987"/>
      <c r="Y263" s="987"/>
      <c r="Z263" s="987"/>
      <c r="AA263" s="986"/>
    </row>
    <row r="264" hidden="1">
      <c r="A264" s="436" t="s">
        <v>50</v>
      </c>
      <c r="B264" s="988">
        <v>44336.0</v>
      </c>
      <c r="C264" s="989" t="s">
        <v>4419</v>
      </c>
      <c r="D264" s="434" t="s">
        <v>2804</v>
      </c>
      <c r="E264" s="434" t="s">
        <v>305</v>
      </c>
      <c r="F264" s="990">
        <v>1.5111338E7</v>
      </c>
      <c r="G264" s="434" t="s">
        <v>348</v>
      </c>
      <c r="H264" s="989" t="s">
        <v>4484</v>
      </c>
      <c r="I264" s="989" t="s">
        <v>4485</v>
      </c>
      <c r="J264" s="987"/>
      <c r="K264" s="987"/>
      <c r="L264" s="987"/>
      <c r="M264" s="987"/>
      <c r="N264" s="987"/>
      <c r="O264" s="987"/>
      <c r="P264" s="987"/>
      <c r="Q264" s="987"/>
      <c r="R264" s="987"/>
      <c r="S264" s="987"/>
      <c r="T264" s="987"/>
      <c r="U264" s="987"/>
      <c r="V264" s="987"/>
      <c r="W264" s="987"/>
      <c r="X264" s="987"/>
      <c r="Y264" s="987"/>
      <c r="Z264" s="987"/>
      <c r="AA264" s="986"/>
    </row>
    <row r="265" hidden="1">
      <c r="A265" s="436" t="s">
        <v>50</v>
      </c>
      <c r="B265" s="988">
        <v>44349.0</v>
      </c>
      <c r="C265" s="989" t="s">
        <v>4486</v>
      </c>
      <c r="D265" s="434" t="s">
        <v>393</v>
      </c>
      <c r="E265" s="434" t="s">
        <v>394</v>
      </c>
      <c r="F265" s="990">
        <v>1.881006E7</v>
      </c>
      <c r="G265" s="434" t="s">
        <v>200</v>
      </c>
      <c r="H265" s="989" t="s">
        <v>4487</v>
      </c>
      <c r="I265" s="989" t="s">
        <v>4488</v>
      </c>
      <c r="J265" s="987"/>
      <c r="K265" s="987"/>
      <c r="L265" s="987"/>
      <c r="M265" s="987"/>
      <c r="N265" s="987"/>
      <c r="O265" s="987"/>
      <c r="P265" s="987"/>
      <c r="Q265" s="987"/>
      <c r="R265" s="987"/>
      <c r="S265" s="987"/>
      <c r="T265" s="987"/>
      <c r="U265" s="987"/>
      <c r="V265" s="987"/>
      <c r="W265" s="987"/>
      <c r="X265" s="987"/>
      <c r="Y265" s="987"/>
      <c r="Z265" s="987"/>
      <c r="AA265" s="986"/>
    </row>
    <row r="266" hidden="1">
      <c r="A266" s="436" t="s">
        <v>50</v>
      </c>
      <c r="B266" s="988">
        <v>44354.0</v>
      </c>
      <c r="C266" s="989" t="s">
        <v>4489</v>
      </c>
      <c r="D266" s="434" t="s">
        <v>1737</v>
      </c>
      <c r="E266" s="434" t="s">
        <v>4490</v>
      </c>
      <c r="F266" s="434" t="s">
        <v>50</v>
      </c>
      <c r="G266" s="989" t="s">
        <v>4491</v>
      </c>
      <c r="H266" s="994"/>
      <c r="I266" s="989" t="s">
        <v>4492</v>
      </c>
      <c r="J266" s="987"/>
      <c r="K266" s="987"/>
      <c r="L266" s="987"/>
      <c r="M266" s="987"/>
      <c r="N266" s="987"/>
      <c r="O266" s="987"/>
      <c r="P266" s="987"/>
      <c r="Q266" s="987"/>
      <c r="R266" s="987"/>
      <c r="S266" s="987"/>
      <c r="T266" s="987"/>
      <c r="U266" s="987"/>
      <c r="V266" s="987"/>
      <c r="W266" s="987"/>
      <c r="X266" s="987"/>
      <c r="Y266" s="987"/>
      <c r="Z266" s="987"/>
      <c r="AA266" s="986"/>
    </row>
    <row r="267" hidden="1">
      <c r="A267" s="436" t="s">
        <v>50</v>
      </c>
      <c r="B267" s="988">
        <v>44356.0</v>
      </c>
      <c r="C267" s="989" t="s">
        <v>4493</v>
      </c>
      <c r="D267" s="434" t="s">
        <v>2021</v>
      </c>
      <c r="E267" s="434" t="s">
        <v>4176</v>
      </c>
      <c r="F267" s="990">
        <v>1.636217E7</v>
      </c>
      <c r="G267" s="434" t="s">
        <v>51</v>
      </c>
      <c r="H267" s="989" t="s">
        <v>4494</v>
      </c>
      <c r="I267" s="989" t="s">
        <v>4495</v>
      </c>
      <c r="J267" s="987"/>
      <c r="K267" s="987"/>
      <c r="L267" s="987"/>
      <c r="M267" s="987"/>
      <c r="N267" s="987"/>
      <c r="O267" s="987"/>
      <c r="P267" s="987"/>
      <c r="Q267" s="987"/>
      <c r="R267" s="987"/>
      <c r="S267" s="987"/>
      <c r="T267" s="987"/>
      <c r="U267" s="987"/>
      <c r="V267" s="987"/>
      <c r="W267" s="987"/>
      <c r="X267" s="987"/>
      <c r="Y267" s="987"/>
      <c r="Z267" s="987"/>
      <c r="AA267" s="986"/>
    </row>
    <row r="268" hidden="1">
      <c r="A268" s="436" t="s">
        <v>50</v>
      </c>
      <c r="B268" s="988">
        <v>44356.0</v>
      </c>
      <c r="C268" s="989" t="s">
        <v>4493</v>
      </c>
      <c r="D268" s="434" t="s">
        <v>2021</v>
      </c>
      <c r="E268" s="434" t="s">
        <v>4176</v>
      </c>
      <c r="F268" s="990">
        <v>1.6362171E7</v>
      </c>
      <c r="G268" s="434" t="s">
        <v>51</v>
      </c>
      <c r="H268" s="989" t="s">
        <v>4494</v>
      </c>
      <c r="I268" s="989" t="s">
        <v>4495</v>
      </c>
      <c r="J268" s="987"/>
      <c r="K268" s="987"/>
      <c r="L268" s="987"/>
      <c r="M268" s="987"/>
      <c r="N268" s="987"/>
      <c r="O268" s="987"/>
      <c r="P268" s="987"/>
      <c r="Q268" s="987"/>
      <c r="R268" s="987"/>
      <c r="S268" s="987"/>
      <c r="T268" s="987"/>
      <c r="U268" s="987"/>
      <c r="V268" s="987"/>
      <c r="W268" s="987"/>
      <c r="X268" s="987"/>
      <c r="Y268" s="987"/>
      <c r="Z268" s="987"/>
      <c r="AA268" s="986"/>
    </row>
    <row r="269" hidden="1">
      <c r="A269" s="436" t="s">
        <v>50</v>
      </c>
      <c r="B269" s="988">
        <v>44365.0</v>
      </c>
      <c r="C269" s="989" t="s">
        <v>4461</v>
      </c>
      <c r="D269" s="434" t="s">
        <v>506</v>
      </c>
      <c r="E269" s="434" t="s">
        <v>305</v>
      </c>
      <c r="F269" s="990">
        <v>1.7241872E7</v>
      </c>
      <c r="G269" s="434" t="s">
        <v>120</v>
      </c>
      <c r="H269" s="989" t="s">
        <v>4482</v>
      </c>
      <c r="I269" s="989" t="s">
        <v>4496</v>
      </c>
      <c r="J269" s="987"/>
      <c r="K269" s="987"/>
      <c r="L269" s="987"/>
      <c r="M269" s="987"/>
      <c r="N269" s="987"/>
      <c r="O269" s="987"/>
      <c r="P269" s="987"/>
      <c r="Q269" s="987"/>
      <c r="R269" s="987"/>
      <c r="S269" s="987"/>
      <c r="T269" s="987"/>
      <c r="U269" s="987"/>
      <c r="V269" s="987"/>
      <c r="W269" s="987"/>
      <c r="X269" s="987"/>
      <c r="Y269" s="987"/>
      <c r="Z269" s="987"/>
      <c r="AA269" s="986"/>
    </row>
    <row r="270" hidden="1">
      <c r="A270" s="436" t="s">
        <v>50</v>
      </c>
      <c r="B270" s="988">
        <v>44368.0</v>
      </c>
      <c r="C270" s="989" t="s">
        <v>4497</v>
      </c>
      <c r="D270" s="434" t="s">
        <v>465</v>
      </c>
      <c r="E270" s="434" t="s">
        <v>3821</v>
      </c>
      <c r="F270" s="990">
        <v>1.5840364E7</v>
      </c>
      <c r="G270" s="434" t="s">
        <v>51</v>
      </c>
      <c r="H270" s="989" t="s">
        <v>4498</v>
      </c>
      <c r="I270" s="989" t="s">
        <v>4499</v>
      </c>
      <c r="J270" s="987"/>
      <c r="K270" s="987"/>
      <c r="L270" s="987"/>
      <c r="M270" s="987"/>
      <c r="N270" s="987"/>
      <c r="O270" s="987"/>
      <c r="P270" s="987"/>
      <c r="Q270" s="987"/>
      <c r="R270" s="987"/>
      <c r="S270" s="987"/>
      <c r="T270" s="987"/>
      <c r="U270" s="987"/>
      <c r="V270" s="987"/>
      <c r="W270" s="987"/>
      <c r="X270" s="987"/>
      <c r="Y270" s="987"/>
      <c r="Z270" s="987"/>
      <c r="AA270" s="986"/>
    </row>
    <row r="271" hidden="1">
      <c r="A271" s="436" t="s">
        <v>50</v>
      </c>
      <c r="B271" s="988">
        <v>44372.0</v>
      </c>
      <c r="C271" s="989" t="s">
        <v>4500</v>
      </c>
      <c r="D271" s="434" t="s">
        <v>367</v>
      </c>
      <c r="E271" s="434" t="s">
        <v>305</v>
      </c>
      <c r="F271" s="990">
        <v>1.4882257E7</v>
      </c>
      <c r="G271" s="434" t="s">
        <v>120</v>
      </c>
      <c r="H271" s="989" t="s">
        <v>4501</v>
      </c>
      <c r="I271" s="989" t="s">
        <v>4502</v>
      </c>
      <c r="J271" s="987"/>
      <c r="K271" s="987"/>
      <c r="L271" s="987"/>
      <c r="M271" s="987"/>
      <c r="N271" s="987"/>
      <c r="O271" s="987"/>
      <c r="P271" s="987"/>
      <c r="Q271" s="987"/>
      <c r="R271" s="987"/>
      <c r="S271" s="987"/>
      <c r="T271" s="987"/>
      <c r="U271" s="987"/>
      <c r="V271" s="987"/>
      <c r="W271" s="987"/>
      <c r="X271" s="987"/>
      <c r="Y271" s="987"/>
      <c r="Z271" s="987"/>
      <c r="AA271" s="986"/>
    </row>
    <row r="272" hidden="1">
      <c r="A272" s="436" t="s">
        <v>50</v>
      </c>
      <c r="B272" s="988">
        <v>44375.0</v>
      </c>
      <c r="C272" s="989" t="s">
        <v>4503</v>
      </c>
      <c r="D272" s="434" t="s">
        <v>3809</v>
      </c>
      <c r="E272" s="434" t="s">
        <v>3810</v>
      </c>
      <c r="F272" s="990">
        <v>1.3582429E7</v>
      </c>
      <c r="G272" s="434" t="s">
        <v>200</v>
      </c>
      <c r="H272" s="989" t="s">
        <v>4504</v>
      </c>
      <c r="I272" s="989" t="s">
        <v>4505</v>
      </c>
      <c r="J272" s="987"/>
      <c r="K272" s="987"/>
      <c r="L272" s="987"/>
      <c r="M272" s="987"/>
      <c r="N272" s="987"/>
      <c r="O272" s="987"/>
      <c r="P272" s="987"/>
      <c r="Q272" s="987"/>
      <c r="R272" s="987"/>
      <c r="S272" s="987"/>
      <c r="T272" s="987"/>
      <c r="U272" s="987"/>
      <c r="V272" s="987"/>
      <c r="W272" s="987"/>
      <c r="X272" s="987"/>
      <c r="Y272" s="987"/>
      <c r="Z272" s="987"/>
      <c r="AA272" s="986"/>
    </row>
    <row r="273" hidden="1">
      <c r="A273" s="436" t="s">
        <v>50</v>
      </c>
      <c r="B273" s="988">
        <v>44376.0</v>
      </c>
      <c r="C273" s="989" t="s">
        <v>4389</v>
      </c>
      <c r="D273" s="434" t="s">
        <v>918</v>
      </c>
      <c r="E273" s="434" t="s">
        <v>281</v>
      </c>
      <c r="F273" s="990">
        <v>1.6351119E7</v>
      </c>
      <c r="G273" s="434" t="s">
        <v>32</v>
      </c>
      <c r="H273" s="989" t="s">
        <v>4506</v>
      </c>
      <c r="I273" s="989" t="s">
        <v>4507</v>
      </c>
      <c r="J273" s="987"/>
      <c r="K273" s="987"/>
      <c r="L273" s="987"/>
      <c r="M273" s="987"/>
      <c r="N273" s="987"/>
      <c r="O273" s="987"/>
      <c r="P273" s="987"/>
      <c r="Q273" s="987"/>
      <c r="R273" s="987"/>
      <c r="S273" s="987"/>
      <c r="T273" s="987"/>
      <c r="U273" s="987"/>
      <c r="V273" s="987"/>
      <c r="W273" s="987"/>
      <c r="X273" s="987"/>
      <c r="Y273" s="987"/>
      <c r="Z273" s="987"/>
      <c r="AA273" s="986"/>
    </row>
    <row r="274" hidden="1">
      <c r="A274" s="436" t="s">
        <v>50</v>
      </c>
      <c r="B274" s="988">
        <v>44379.0</v>
      </c>
      <c r="C274" s="989" t="s">
        <v>4508</v>
      </c>
      <c r="D274" s="434" t="s">
        <v>910</v>
      </c>
      <c r="E274" s="434" t="s">
        <v>698</v>
      </c>
      <c r="F274" s="990">
        <v>1.597142E7</v>
      </c>
      <c r="G274" s="434" t="s">
        <v>120</v>
      </c>
      <c r="H274" s="989" t="s">
        <v>4509</v>
      </c>
      <c r="I274" s="989" t="s">
        <v>4510</v>
      </c>
      <c r="J274" s="987"/>
      <c r="K274" s="987"/>
      <c r="L274" s="987"/>
      <c r="M274" s="987"/>
      <c r="N274" s="987"/>
      <c r="O274" s="987"/>
      <c r="P274" s="987"/>
      <c r="Q274" s="987"/>
      <c r="R274" s="987"/>
      <c r="S274" s="987"/>
      <c r="T274" s="987"/>
      <c r="U274" s="987"/>
      <c r="V274" s="987"/>
      <c r="W274" s="987"/>
      <c r="X274" s="987"/>
      <c r="Y274" s="987"/>
      <c r="Z274" s="987"/>
      <c r="AA274" s="986"/>
    </row>
    <row r="275" hidden="1">
      <c r="A275" s="436" t="s">
        <v>50</v>
      </c>
      <c r="B275" s="988">
        <v>44384.0</v>
      </c>
      <c r="C275" s="989" t="s">
        <v>4422</v>
      </c>
      <c r="D275" s="434" t="s">
        <v>2659</v>
      </c>
      <c r="E275" s="434" t="s">
        <v>4423</v>
      </c>
      <c r="F275" s="990">
        <v>1.589036E7</v>
      </c>
      <c r="G275" s="434" t="s">
        <v>348</v>
      </c>
      <c r="H275" s="989" t="s">
        <v>4511</v>
      </c>
      <c r="I275" s="989" t="s">
        <v>4512</v>
      </c>
      <c r="J275" s="987"/>
      <c r="K275" s="987"/>
      <c r="L275" s="987"/>
      <c r="M275" s="987"/>
      <c r="N275" s="987"/>
      <c r="O275" s="987"/>
      <c r="P275" s="987"/>
      <c r="Q275" s="987"/>
      <c r="R275" s="987"/>
      <c r="S275" s="987"/>
      <c r="T275" s="987"/>
      <c r="U275" s="987"/>
      <c r="V275" s="987"/>
      <c r="W275" s="987"/>
      <c r="X275" s="987"/>
      <c r="Y275" s="987"/>
      <c r="Z275" s="987"/>
      <c r="AA275" s="986"/>
    </row>
    <row r="276" hidden="1">
      <c r="A276" s="436" t="s">
        <v>50</v>
      </c>
      <c r="B276" s="988">
        <v>44385.0</v>
      </c>
      <c r="C276" s="989" t="s">
        <v>2803</v>
      </c>
      <c r="D276" s="434" t="s">
        <v>2804</v>
      </c>
      <c r="E276" s="434" t="s">
        <v>305</v>
      </c>
      <c r="F276" s="434" t="s">
        <v>50</v>
      </c>
      <c r="G276" s="434" t="s">
        <v>103</v>
      </c>
      <c r="H276" s="989" t="s">
        <v>4513</v>
      </c>
      <c r="I276" s="989" t="s">
        <v>4514</v>
      </c>
      <c r="J276" s="987"/>
      <c r="K276" s="987"/>
      <c r="L276" s="987"/>
      <c r="M276" s="987"/>
      <c r="N276" s="987"/>
      <c r="O276" s="987"/>
      <c r="P276" s="987"/>
      <c r="Q276" s="987"/>
      <c r="R276" s="987"/>
      <c r="S276" s="987"/>
      <c r="T276" s="987"/>
      <c r="U276" s="987"/>
      <c r="V276" s="987"/>
      <c r="W276" s="987"/>
      <c r="X276" s="987"/>
      <c r="Y276" s="987"/>
      <c r="Z276" s="987"/>
      <c r="AA276" s="986"/>
    </row>
    <row r="277" hidden="1">
      <c r="A277" s="436" t="s">
        <v>50</v>
      </c>
      <c r="B277" s="988">
        <v>44390.0</v>
      </c>
      <c r="C277" s="989" t="s">
        <v>4500</v>
      </c>
      <c r="D277" s="434" t="s">
        <v>367</v>
      </c>
      <c r="E277" s="434" t="s">
        <v>281</v>
      </c>
      <c r="F277" s="434" t="s">
        <v>50</v>
      </c>
      <c r="G277" s="434" t="s">
        <v>120</v>
      </c>
      <c r="H277" s="989" t="s">
        <v>4515</v>
      </c>
      <c r="I277" s="989" t="s">
        <v>4516</v>
      </c>
      <c r="J277" s="987"/>
      <c r="K277" s="987"/>
      <c r="L277" s="987"/>
      <c r="M277" s="987"/>
      <c r="N277" s="987"/>
      <c r="O277" s="987"/>
      <c r="P277" s="987"/>
      <c r="Q277" s="987"/>
      <c r="R277" s="987"/>
      <c r="S277" s="987"/>
      <c r="T277" s="987"/>
      <c r="U277" s="987"/>
      <c r="V277" s="987"/>
      <c r="W277" s="987"/>
      <c r="X277" s="987"/>
      <c r="Y277" s="987"/>
      <c r="Z277" s="987"/>
      <c r="AA277" s="986"/>
    </row>
    <row r="278" hidden="1">
      <c r="A278" s="436" t="s">
        <v>50</v>
      </c>
      <c r="B278" s="988">
        <v>44391.0</v>
      </c>
      <c r="C278" s="989" t="s">
        <v>2803</v>
      </c>
      <c r="D278" s="434" t="s">
        <v>2804</v>
      </c>
      <c r="E278" s="434" t="s">
        <v>453</v>
      </c>
      <c r="F278" s="434" t="s">
        <v>50</v>
      </c>
      <c r="G278" s="434" t="s">
        <v>103</v>
      </c>
      <c r="H278" s="989" t="s">
        <v>4517</v>
      </c>
      <c r="I278" s="989" t="s">
        <v>4518</v>
      </c>
      <c r="J278" s="987"/>
      <c r="K278" s="987"/>
      <c r="L278" s="987"/>
      <c r="M278" s="987"/>
      <c r="N278" s="987"/>
      <c r="O278" s="987"/>
      <c r="P278" s="987"/>
      <c r="Q278" s="987"/>
      <c r="R278" s="987"/>
      <c r="S278" s="987"/>
      <c r="T278" s="987"/>
      <c r="U278" s="987"/>
      <c r="V278" s="987"/>
      <c r="W278" s="987"/>
      <c r="X278" s="987"/>
      <c r="Y278" s="987"/>
      <c r="Z278" s="987"/>
      <c r="AA278" s="986"/>
    </row>
    <row r="279" hidden="1">
      <c r="A279" s="436" t="s">
        <v>50</v>
      </c>
      <c r="B279" s="988">
        <v>44391.0</v>
      </c>
      <c r="C279" s="989" t="s">
        <v>4389</v>
      </c>
      <c r="D279" s="434" t="s">
        <v>918</v>
      </c>
      <c r="E279" s="434" t="s">
        <v>4519</v>
      </c>
      <c r="F279" s="434" t="s">
        <v>50</v>
      </c>
      <c r="G279" s="434" t="s">
        <v>32</v>
      </c>
      <c r="H279" s="989" t="s">
        <v>4520</v>
      </c>
      <c r="I279" s="989" t="s">
        <v>4521</v>
      </c>
      <c r="J279" s="987"/>
      <c r="K279" s="987"/>
      <c r="L279" s="987"/>
      <c r="M279" s="987"/>
      <c r="N279" s="987"/>
      <c r="O279" s="987"/>
      <c r="P279" s="987"/>
      <c r="Q279" s="987"/>
      <c r="R279" s="987"/>
      <c r="S279" s="987"/>
      <c r="T279" s="987"/>
      <c r="U279" s="987"/>
      <c r="V279" s="987"/>
      <c r="W279" s="987"/>
      <c r="X279" s="987"/>
      <c r="Y279" s="987"/>
      <c r="Z279" s="987"/>
      <c r="AA279" s="986"/>
    </row>
    <row r="280" hidden="1">
      <c r="A280" s="436" t="s">
        <v>50</v>
      </c>
      <c r="B280" s="988">
        <v>44405.0</v>
      </c>
      <c r="C280" s="989" t="s">
        <v>4522</v>
      </c>
      <c r="D280" s="434" t="s">
        <v>4523</v>
      </c>
      <c r="E280" s="434" t="s">
        <v>338</v>
      </c>
      <c r="F280" s="990">
        <v>1.367052E7</v>
      </c>
      <c r="G280" s="434" t="s">
        <v>51</v>
      </c>
      <c r="H280" s="989" t="s">
        <v>4524</v>
      </c>
      <c r="I280" s="989" t="s">
        <v>4525</v>
      </c>
      <c r="J280" s="987"/>
      <c r="K280" s="987"/>
      <c r="L280" s="987"/>
      <c r="M280" s="987"/>
      <c r="N280" s="987"/>
      <c r="O280" s="987"/>
      <c r="P280" s="987"/>
      <c r="Q280" s="987"/>
      <c r="R280" s="987"/>
      <c r="S280" s="987"/>
      <c r="T280" s="987"/>
      <c r="U280" s="987"/>
      <c r="V280" s="987"/>
      <c r="W280" s="987"/>
      <c r="X280" s="987"/>
      <c r="Y280" s="987"/>
      <c r="Z280" s="987"/>
      <c r="AA280" s="986"/>
    </row>
    <row r="281" hidden="1">
      <c r="A281" s="436" t="s">
        <v>50</v>
      </c>
      <c r="B281" s="988">
        <v>44407.0</v>
      </c>
      <c r="C281" s="989" t="s">
        <v>4526</v>
      </c>
      <c r="D281" s="434" t="s">
        <v>48</v>
      </c>
      <c r="E281" s="434" t="s">
        <v>305</v>
      </c>
      <c r="F281" s="434" t="s">
        <v>50</v>
      </c>
      <c r="G281" s="434" t="s">
        <v>51</v>
      </c>
      <c r="H281" s="989" t="s">
        <v>4527</v>
      </c>
      <c r="I281" s="989" t="s">
        <v>4528</v>
      </c>
      <c r="J281" s="987"/>
      <c r="K281" s="987"/>
      <c r="L281" s="987"/>
      <c r="M281" s="987"/>
      <c r="N281" s="987"/>
      <c r="O281" s="987"/>
      <c r="P281" s="987"/>
      <c r="Q281" s="987"/>
      <c r="R281" s="987"/>
      <c r="S281" s="987"/>
      <c r="T281" s="987"/>
      <c r="U281" s="987"/>
      <c r="V281" s="987"/>
      <c r="W281" s="987"/>
      <c r="X281" s="987"/>
      <c r="Y281" s="987"/>
      <c r="Z281" s="987"/>
      <c r="AA281" s="986"/>
    </row>
    <row r="282" hidden="1">
      <c r="A282" s="436" t="s">
        <v>50</v>
      </c>
      <c r="B282" s="988">
        <v>44407.0</v>
      </c>
      <c r="C282" s="989" t="s">
        <v>4526</v>
      </c>
      <c r="D282" s="434" t="s">
        <v>48</v>
      </c>
      <c r="E282" s="434" t="s">
        <v>305</v>
      </c>
      <c r="F282" s="990">
        <v>1.4691896E7</v>
      </c>
      <c r="G282" s="434" t="s">
        <v>51</v>
      </c>
      <c r="H282" s="989" t="s">
        <v>4529</v>
      </c>
      <c r="I282" s="989" t="s">
        <v>4530</v>
      </c>
      <c r="J282" s="987"/>
      <c r="K282" s="987"/>
      <c r="L282" s="987"/>
      <c r="M282" s="987"/>
      <c r="N282" s="987"/>
      <c r="O282" s="987"/>
      <c r="P282" s="987"/>
      <c r="Q282" s="987"/>
      <c r="R282" s="987"/>
      <c r="S282" s="987"/>
      <c r="T282" s="987"/>
      <c r="U282" s="987"/>
      <c r="V282" s="987"/>
      <c r="W282" s="987"/>
      <c r="X282" s="987"/>
      <c r="Y282" s="987"/>
      <c r="Z282" s="987"/>
      <c r="AA282" s="986"/>
    </row>
    <row r="283" hidden="1">
      <c r="A283" s="436" t="s">
        <v>50</v>
      </c>
      <c r="B283" s="988">
        <v>44410.0</v>
      </c>
      <c r="C283" s="989" t="s">
        <v>3311</v>
      </c>
      <c r="D283" s="434" t="s">
        <v>885</v>
      </c>
      <c r="E283" s="434" t="s">
        <v>49</v>
      </c>
      <c r="F283" s="434" t="s">
        <v>50</v>
      </c>
      <c r="G283" s="434" t="s">
        <v>120</v>
      </c>
      <c r="H283" s="989" t="s">
        <v>4531</v>
      </c>
      <c r="I283" s="989" t="s">
        <v>4532</v>
      </c>
      <c r="J283" s="987"/>
      <c r="K283" s="987"/>
      <c r="L283" s="987"/>
      <c r="M283" s="987"/>
      <c r="N283" s="987"/>
      <c r="O283" s="987"/>
      <c r="P283" s="987"/>
      <c r="Q283" s="987"/>
      <c r="R283" s="987"/>
      <c r="S283" s="987"/>
      <c r="T283" s="987"/>
      <c r="U283" s="987"/>
      <c r="V283" s="987"/>
      <c r="W283" s="987"/>
      <c r="X283" s="987"/>
      <c r="Y283" s="987"/>
      <c r="Z283" s="987"/>
      <c r="AA283" s="986"/>
    </row>
    <row r="284" hidden="1">
      <c r="A284" s="436" t="s">
        <v>50</v>
      </c>
      <c r="B284" s="988">
        <v>44428.0</v>
      </c>
      <c r="C284" s="989" t="s">
        <v>4533</v>
      </c>
      <c r="D284" s="434" t="s">
        <v>2021</v>
      </c>
      <c r="E284" s="434" t="s">
        <v>4176</v>
      </c>
      <c r="F284" s="434" t="s">
        <v>50</v>
      </c>
      <c r="G284" s="434" t="s">
        <v>51</v>
      </c>
      <c r="H284" s="989" t="s">
        <v>4534</v>
      </c>
      <c r="I284" s="989" t="s">
        <v>4535</v>
      </c>
      <c r="J284" s="987"/>
      <c r="K284" s="987"/>
      <c r="L284" s="987"/>
      <c r="M284" s="987"/>
      <c r="N284" s="987"/>
      <c r="O284" s="987"/>
      <c r="P284" s="987"/>
      <c r="Q284" s="987"/>
      <c r="R284" s="987"/>
      <c r="S284" s="987"/>
      <c r="T284" s="987"/>
      <c r="U284" s="987"/>
      <c r="V284" s="987"/>
      <c r="W284" s="987"/>
      <c r="X284" s="987"/>
      <c r="Y284" s="987"/>
      <c r="Z284" s="987"/>
      <c r="AA284" s="986"/>
    </row>
    <row r="285" hidden="1">
      <c r="A285" s="436" t="s">
        <v>50</v>
      </c>
      <c r="B285" s="988">
        <v>44433.0</v>
      </c>
      <c r="C285" s="989" t="s">
        <v>4526</v>
      </c>
      <c r="D285" s="434" t="s">
        <v>48</v>
      </c>
      <c r="E285" s="434" t="s">
        <v>305</v>
      </c>
      <c r="F285" s="990">
        <v>1.4691897E7</v>
      </c>
      <c r="G285" s="434" t="s">
        <v>51</v>
      </c>
      <c r="H285" s="989" t="s">
        <v>4536</v>
      </c>
      <c r="I285" s="989" t="s">
        <v>4537</v>
      </c>
      <c r="J285" s="987"/>
      <c r="K285" s="987"/>
      <c r="L285" s="987"/>
      <c r="M285" s="987"/>
      <c r="N285" s="987"/>
      <c r="O285" s="987"/>
      <c r="P285" s="987"/>
      <c r="Q285" s="987"/>
      <c r="R285" s="987"/>
      <c r="S285" s="987"/>
      <c r="T285" s="987"/>
      <c r="U285" s="987"/>
      <c r="V285" s="987"/>
      <c r="W285" s="987"/>
      <c r="X285" s="987"/>
      <c r="Y285" s="987"/>
      <c r="Z285" s="987"/>
      <c r="AA285" s="986"/>
    </row>
    <row r="286" hidden="1">
      <c r="A286" s="436" t="s">
        <v>50</v>
      </c>
      <c r="B286" s="988">
        <v>44445.0</v>
      </c>
      <c r="C286" s="989" t="s">
        <v>4461</v>
      </c>
      <c r="D286" s="434" t="s">
        <v>506</v>
      </c>
      <c r="E286" s="434" t="s">
        <v>4538</v>
      </c>
      <c r="F286" s="990">
        <v>1724943.0</v>
      </c>
      <c r="G286" s="434" t="s">
        <v>120</v>
      </c>
      <c r="H286" s="989" t="s">
        <v>4539</v>
      </c>
      <c r="I286" s="989" t="s">
        <v>4540</v>
      </c>
      <c r="J286" s="987"/>
      <c r="K286" s="987"/>
      <c r="L286" s="987"/>
      <c r="M286" s="987"/>
      <c r="N286" s="987"/>
      <c r="O286" s="987"/>
      <c r="P286" s="987"/>
      <c r="Q286" s="987"/>
      <c r="R286" s="987"/>
      <c r="S286" s="987"/>
      <c r="T286" s="987"/>
      <c r="U286" s="987"/>
      <c r="V286" s="987"/>
      <c r="W286" s="987"/>
      <c r="X286" s="987"/>
      <c r="Y286" s="987"/>
      <c r="Z286" s="987"/>
      <c r="AA286" s="986"/>
    </row>
    <row r="287" hidden="1">
      <c r="A287" s="436" t="s">
        <v>50</v>
      </c>
      <c r="B287" s="988">
        <v>44136.0</v>
      </c>
      <c r="C287" s="989" t="s">
        <v>4541</v>
      </c>
      <c r="D287" s="434" t="s">
        <v>475</v>
      </c>
      <c r="E287" s="434" t="s">
        <v>4542</v>
      </c>
      <c r="F287" s="434" t="s">
        <v>50</v>
      </c>
      <c r="G287" s="992"/>
      <c r="H287" s="989" t="s">
        <v>4543</v>
      </c>
      <c r="I287" s="989" t="s">
        <v>4544</v>
      </c>
      <c r="J287" s="987"/>
      <c r="K287" s="987"/>
      <c r="L287" s="987"/>
      <c r="M287" s="987"/>
      <c r="N287" s="987"/>
      <c r="O287" s="987"/>
      <c r="P287" s="987"/>
      <c r="Q287" s="987"/>
      <c r="R287" s="987"/>
      <c r="S287" s="987"/>
      <c r="T287" s="987"/>
      <c r="U287" s="987"/>
      <c r="V287" s="987"/>
      <c r="W287" s="987"/>
      <c r="X287" s="987"/>
      <c r="Y287" s="987"/>
      <c r="Z287" s="987"/>
      <c r="AA287" s="986"/>
    </row>
    <row r="288" hidden="1">
      <c r="A288" s="436" t="s">
        <v>50</v>
      </c>
      <c r="B288" s="988">
        <v>43840.0</v>
      </c>
      <c r="C288" s="989" t="s">
        <v>4545</v>
      </c>
      <c r="D288" s="434" t="s">
        <v>48</v>
      </c>
      <c r="E288" s="434" t="s">
        <v>305</v>
      </c>
      <c r="F288" s="990">
        <v>1.4691738E7</v>
      </c>
      <c r="G288" s="434" t="s">
        <v>51</v>
      </c>
      <c r="H288" s="989" t="s">
        <v>4546</v>
      </c>
      <c r="I288" s="989" t="s">
        <v>4547</v>
      </c>
      <c r="J288" s="987"/>
      <c r="K288" s="987"/>
      <c r="L288" s="987"/>
      <c r="M288" s="987"/>
      <c r="N288" s="987"/>
      <c r="O288" s="987"/>
      <c r="P288" s="987"/>
      <c r="Q288" s="987"/>
      <c r="R288" s="987"/>
      <c r="S288" s="987"/>
      <c r="T288" s="987"/>
      <c r="U288" s="987"/>
      <c r="V288" s="987"/>
      <c r="W288" s="987"/>
      <c r="X288" s="987"/>
      <c r="Y288" s="987"/>
      <c r="Z288" s="987"/>
      <c r="AA288" s="986"/>
    </row>
    <row r="289" hidden="1">
      <c r="A289" s="436" t="s">
        <v>50</v>
      </c>
      <c r="B289" s="988">
        <v>44341.0</v>
      </c>
      <c r="C289" s="989" t="s">
        <v>3996</v>
      </c>
      <c r="D289" s="434" t="s">
        <v>3885</v>
      </c>
      <c r="E289" s="434" t="s">
        <v>269</v>
      </c>
      <c r="F289" s="990">
        <v>1.6880235E7</v>
      </c>
      <c r="G289" s="434" t="s">
        <v>51</v>
      </c>
      <c r="H289" s="989" t="s">
        <v>4548</v>
      </c>
      <c r="I289" s="989" t="s">
        <v>4549</v>
      </c>
      <c r="J289" s="987"/>
      <c r="K289" s="987"/>
      <c r="L289" s="987"/>
      <c r="M289" s="987"/>
      <c r="N289" s="987"/>
      <c r="O289" s="987"/>
      <c r="P289" s="987"/>
      <c r="Q289" s="987"/>
      <c r="R289" s="987"/>
      <c r="S289" s="987"/>
      <c r="T289" s="987"/>
      <c r="U289" s="987"/>
      <c r="V289" s="987"/>
      <c r="W289" s="987"/>
      <c r="X289" s="987"/>
      <c r="Y289" s="987"/>
      <c r="Z289" s="987"/>
      <c r="AA289" s="986"/>
    </row>
    <row r="290" hidden="1">
      <c r="A290" s="436" t="s">
        <v>50</v>
      </c>
      <c r="B290" s="988">
        <v>44455.0</v>
      </c>
      <c r="C290" s="989" t="s">
        <v>3311</v>
      </c>
      <c r="D290" s="434" t="s">
        <v>4550</v>
      </c>
      <c r="E290" s="434" t="s">
        <v>305</v>
      </c>
      <c r="F290" s="434" t="s">
        <v>50</v>
      </c>
      <c r="G290" s="434" t="s">
        <v>32</v>
      </c>
      <c r="H290" s="989" t="s">
        <v>4551</v>
      </c>
      <c r="I290" s="989" t="s">
        <v>4552</v>
      </c>
      <c r="J290" s="987"/>
      <c r="K290" s="987"/>
      <c r="L290" s="987"/>
      <c r="M290" s="987"/>
      <c r="N290" s="987"/>
      <c r="O290" s="987"/>
      <c r="P290" s="987"/>
      <c r="Q290" s="987"/>
      <c r="R290" s="987"/>
      <c r="S290" s="987"/>
      <c r="T290" s="987"/>
      <c r="U290" s="987"/>
      <c r="V290" s="987"/>
      <c r="W290" s="987"/>
      <c r="X290" s="987"/>
      <c r="Y290" s="987"/>
      <c r="Z290" s="987"/>
      <c r="AA290" s="986"/>
    </row>
    <row r="291" hidden="1">
      <c r="A291" s="436" t="s">
        <v>50</v>
      </c>
      <c r="B291" s="988">
        <v>44365.0</v>
      </c>
      <c r="C291" s="989" t="s">
        <v>4500</v>
      </c>
      <c r="D291" s="434" t="s">
        <v>367</v>
      </c>
      <c r="E291" s="434" t="s">
        <v>281</v>
      </c>
      <c r="F291" s="434" t="s">
        <v>50</v>
      </c>
      <c r="G291" s="434" t="s">
        <v>120</v>
      </c>
      <c r="H291" s="989" t="s">
        <v>4553</v>
      </c>
      <c r="I291" s="989" t="s">
        <v>4554</v>
      </c>
      <c r="J291" s="987"/>
      <c r="K291" s="987"/>
      <c r="L291" s="987"/>
      <c r="M291" s="987"/>
      <c r="N291" s="987"/>
      <c r="O291" s="987"/>
      <c r="P291" s="987"/>
      <c r="Q291" s="987"/>
      <c r="R291" s="987"/>
      <c r="S291" s="987"/>
      <c r="T291" s="987"/>
      <c r="U291" s="987"/>
      <c r="V291" s="987"/>
      <c r="W291" s="987"/>
      <c r="X291" s="987"/>
      <c r="Y291" s="987"/>
      <c r="Z291" s="987"/>
      <c r="AA291" s="986"/>
    </row>
    <row r="292" hidden="1">
      <c r="A292" s="436" t="s">
        <v>50</v>
      </c>
      <c r="B292" s="988">
        <v>44440.0</v>
      </c>
      <c r="C292" s="989" t="s">
        <v>4555</v>
      </c>
      <c r="D292" s="434" t="s">
        <v>918</v>
      </c>
      <c r="E292" s="434" t="s">
        <v>4519</v>
      </c>
      <c r="F292" s="990">
        <v>1.635114E7</v>
      </c>
      <c r="G292" s="434" t="s">
        <v>32</v>
      </c>
      <c r="H292" s="989" t="s">
        <v>4556</v>
      </c>
      <c r="I292" s="989" t="s">
        <v>4557</v>
      </c>
      <c r="J292" s="987"/>
      <c r="K292" s="987"/>
      <c r="L292" s="987"/>
      <c r="M292" s="987"/>
      <c r="N292" s="987"/>
      <c r="O292" s="987"/>
      <c r="P292" s="987"/>
      <c r="Q292" s="987"/>
      <c r="R292" s="987"/>
      <c r="S292" s="987"/>
      <c r="T292" s="987"/>
      <c r="U292" s="987"/>
      <c r="V292" s="987"/>
      <c r="W292" s="987"/>
      <c r="X292" s="987"/>
      <c r="Y292" s="987"/>
      <c r="Z292" s="987"/>
      <c r="AA292" s="986"/>
    </row>
    <row r="293" hidden="1">
      <c r="A293" s="436" t="s">
        <v>50</v>
      </c>
      <c r="B293" s="988">
        <v>44441.0</v>
      </c>
      <c r="C293" s="989" t="s">
        <v>4555</v>
      </c>
      <c r="D293" s="434" t="s">
        <v>918</v>
      </c>
      <c r="E293" s="434" t="s">
        <v>4519</v>
      </c>
      <c r="F293" s="990">
        <v>1.6351154E7</v>
      </c>
      <c r="G293" s="434" t="s">
        <v>32</v>
      </c>
      <c r="H293" s="989" t="s">
        <v>4558</v>
      </c>
      <c r="I293" s="989" t="s">
        <v>4557</v>
      </c>
      <c r="J293" s="987"/>
      <c r="K293" s="987"/>
      <c r="L293" s="987"/>
      <c r="M293" s="987"/>
      <c r="N293" s="987"/>
      <c r="O293" s="987"/>
      <c r="P293" s="987"/>
      <c r="Q293" s="987"/>
      <c r="R293" s="987"/>
      <c r="S293" s="987"/>
      <c r="T293" s="987"/>
      <c r="U293" s="987"/>
      <c r="V293" s="987"/>
      <c r="W293" s="987"/>
      <c r="X293" s="987"/>
      <c r="Y293" s="987"/>
      <c r="Z293" s="987"/>
      <c r="AA293" s="986"/>
    </row>
    <row r="294" hidden="1">
      <c r="A294" s="995">
        <v>2.0</v>
      </c>
      <c r="B294" s="988">
        <v>42835.0</v>
      </c>
      <c r="C294" s="989" t="s">
        <v>4559</v>
      </c>
      <c r="D294" s="434" t="s">
        <v>133</v>
      </c>
      <c r="E294" s="434" t="s">
        <v>4187</v>
      </c>
      <c r="F294" s="434" t="s">
        <v>50</v>
      </c>
      <c r="G294" s="434" t="s">
        <v>3857</v>
      </c>
      <c r="H294" s="989" t="s">
        <v>4560</v>
      </c>
      <c r="I294" s="989" t="s">
        <v>4561</v>
      </c>
      <c r="J294" s="987"/>
      <c r="K294" s="436" t="s">
        <v>4562</v>
      </c>
      <c r="L294" s="436" t="s">
        <v>4563</v>
      </c>
      <c r="M294" s="436" t="s">
        <v>4564</v>
      </c>
      <c r="N294" s="987"/>
      <c r="O294" s="987"/>
      <c r="P294" s="987"/>
      <c r="Q294" s="987"/>
      <c r="R294" s="987"/>
      <c r="S294" s="436" t="s">
        <v>174</v>
      </c>
      <c r="T294" s="995">
        <v>44130.0</v>
      </c>
      <c r="U294" s="987"/>
      <c r="V294" s="987"/>
      <c r="W294" s="436" t="s">
        <v>150</v>
      </c>
      <c r="X294" s="987"/>
      <c r="Y294" s="987"/>
      <c r="Z294" s="987"/>
      <c r="AA294" s="986"/>
    </row>
    <row r="295" hidden="1">
      <c r="A295" s="995">
        <v>3.0</v>
      </c>
      <c r="B295" s="988">
        <v>42970.0</v>
      </c>
      <c r="C295" s="989" t="s">
        <v>4565</v>
      </c>
      <c r="D295" s="434" t="s">
        <v>4566</v>
      </c>
      <c r="E295" s="434" t="s">
        <v>466</v>
      </c>
      <c r="F295" s="434" t="s">
        <v>50</v>
      </c>
      <c r="G295" s="989" t="s">
        <v>4567</v>
      </c>
      <c r="H295" s="989" t="s">
        <v>4568</v>
      </c>
      <c r="I295" s="989" t="s">
        <v>4569</v>
      </c>
      <c r="J295" s="987"/>
      <c r="K295" s="436" t="s">
        <v>4570</v>
      </c>
      <c r="L295" s="436" t="s">
        <v>4563</v>
      </c>
      <c r="M295" s="436" t="s">
        <v>4571</v>
      </c>
      <c r="N295" s="987"/>
      <c r="O295" s="436" t="s">
        <v>4572</v>
      </c>
      <c r="P295" s="995">
        <v>43784.0</v>
      </c>
      <c r="Q295" s="987"/>
      <c r="R295" s="987"/>
      <c r="S295" s="436" t="s">
        <v>174</v>
      </c>
      <c r="T295" s="995">
        <v>44130.0</v>
      </c>
      <c r="U295" s="987"/>
      <c r="V295" s="987"/>
      <c r="W295" s="987"/>
      <c r="X295" s="987"/>
      <c r="Y295" s="987"/>
      <c r="Z295" s="987"/>
      <c r="AA295" s="986"/>
    </row>
    <row r="296" hidden="1">
      <c r="A296" s="995">
        <v>4.0</v>
      </c>
      <c r="B296" s="991">
        <v>43096.0</v>
      </c>
      <c r="C296" s="989" t="s">
        <v>4573</v>
      </c>
      <c r="D296" s="434" t="s">
        <v>2664</v>
      </c>
      <c r="E296" s="434" t="s">
        <v>305</v>
      </c>
      <c r="F296" s="434" t="s">
        <v>50</v>
      </c>
      <c r="G296" s="989" t="s">
        <v>4574</v>
      </c>
      <c r="H296" s="989" t="s">
        <v>4575</v>
      </c>
      <c r="I296" s="989" t="s">
        <v>4576</v>
      </c>
      <c r="J296" s="987"/>
      <c r="K296" s="987"/>
      <c r="L296" s="987"/>
      <c r="M296" s="987"/>
      <c r="N296" s="987"/>
      <c r="O296" s="987"/>
      <c r="P296" s="987"/>
      <c r="Q296" s="987"/>
      <c r="R296" s="987"/>
      <c r="S296" s="987"/>
      <c r="T296" s="987"/>
      <c r="U296" s="436" t="s">
        <v>62</v>
      </c>
      <c r="V296" s="995">
        <v>43108.0</v>
      </c>
      <c r="W296" s="987"/>
      <c r="X296" s="987"/>
      <c r="Y296" s="987"/>
      <c r="Z296" s="987"/>
      <c r="AA296" s="986"/>
    </row>
    <row r="297" hidden="1">
      <c r="A297" s="995">
        <v>5.0</v>
      </c>
      <c r="B297" s="988">
        <v>43159.0</v>
      </c>
      <c r="C297" s="989" t="s">
        <v>3799</v>
      </c>
      <c r="D297" s="434" t="s">
        <v>1634</v>
      </c>
      <c r="E297" s="434" t="s">
        <v>559</v>
      </c>
      <c r="F297" s="434" t="s">
        <v>50</v>
      </c>
      <c r="G297" s="992"/>
      <c r="H297" s="989" t="s">
        <v>4577</v>
      </c>
      <c r="I297" s="989" t="s">
        <v>4578</v>
      </c>
      <c r="J297" s="987"/>
      <c r="K297" s="436" t="s">
        <v>4579</v>
      </c>
      <c r="L297" s="436" t="s">
        <v>4580</v>
      </c>
      <c r="M297" s="436" t="s">
        <v>4581</v>
      </c>
      <c r="N297" s="987"/>
      <c r="O297" s="987"/>
      <c r="P297" s="987"/>
      <c r="Q297" s="987"/>
      <c r="R297" s="987"/>
      <c r="S297" s="436" t="s">
        <v>174</v>
      </c>
      <c r="T297" s="995">
        <v>44221.0</v>
      </c>
      <c r="U297" s="987"/>
      <c r="V297" s="995">
        <v>43487.0</v>
      </c>
      <c r="W297" s="987"/>
      <c r="X297" s="987"/>
      <c r="Y297" s="987"/>
      <c r="Z297" s="987"/>
      <c r="AA297" s="986"/>
    </row>
    <row r="298" hidden="1">
      <c r="A298" s="995">
        <v>6.0</v>
      </c>
      <c r="B298" s="988">
        <v>43290.0</v>
      </c>
      <c r="C298" s="989" t="s">
        <v>3805</v>
      </c>
      <c r="D298" s="434" t="s">
        <v>3792</v>
      </c>
      <c r="E298" s="434" t="s">
        <v>559</v>
      </c>
      <c r="F298" s="434" t="s">
        <v>50</v>
      </c>
      <c r="G298" s="992"/>
      <c r="H298" s="989" t="s">
        <v>3183</v>
      </c>
      <c r="I298" s="989" t="s">
        <v>4582</v>
      </c>
      <c r="J298" s="987"/>
      <c r="K298" s="987"/>
      <c r="L298" s="987"/>
      <c r="M298" s="987"/>
      <c r="N298" s="987"/>
      <c r="O298" s="987"/>
      <c r="P298" s="987"/>
      <c r="Q298" s="987"/>
      <c r="R298" s="987"/>
      <c r="S298" s="987"/>
      <c r="T298" s="987"/>
      <c r="U298" s="436" t="s">
        <v>62</v>
      </c>
      <c r="V298" s="995">
        <v>44251.0</v>
      </c>
      <c r="W298" s="436" t="s">
        <v>150</v>
      </c>
      <c r="X298" s="987"/>
      <c r="Y298" s="987"/>
      <c r="Z298" s="987"/>
      <c r="AA298" s="986"/>
    </row>
    <row r="299" hidden="1">
      <c r="A299" s="995">
        <v>8.0</v>
      </c>
      <c r="B299" s="988">
        <v>43336.0</v>
      </c>
      <c r="C299" s="989" t="s">
        <v>4583</v>
      </c>
      <c r="D299" s="434" t="s">
        <v>4584</v>
      </c>
      <c r="E299" s="434" t="s">
        <v>4585</v>
      </c>
      <c r="F299" s="990">
        <v>1.5070018E7</v>
      </c>
      <c r="G299" s="989" t="s">
        <v>3831</v>
      </c>
      <c r="H299" s="989" t="s">
        <v>4586</v>
      </c>
      <c r="I299" s="989" t="s">
        <v>4587</v>
      </c>
      <c r="J299" s="987"/>
      <c r="K299" s="984" t="s">
        <v>4588</v>
      </c>
      <c r="L299" s="436" t="s">
        <v>491</v>
      </c>
      <c r="M299" s="436" t="s">
        <v>4589</v>
      </c>
      <c r="N299" s="987"/>
      <c r="O299" s="436" t="s">
        <v>62</v>
      </c>
      <c r="P299" s="995">
        <v>45195.0</v>
      </c>
      <c r="Q299" s="987"/>
      <c r="R299" s="987"/>
      <c r="S299" s="987"/>
      <c r="T299" s="987"/>
      <c r="U299" s="987"/>
      <c r="V299" s="987"/>
      <c r="W299" s="987"/>
      <c r="X299" s="987"/>
      <c r="Y299" s="987"/>
      <c r="Z299" s="987"/>
      <c r="AA299" s="986"/>
    </row>
    <row r="300" hidden="1">
      <c r="A300" s="995">
        <v>9.0</v>
      </c>
      <c r="B300" s="991">
        <v>43392.0</v>
      </c>
      <c r="C300" s="989" t="s">
        <v>4590</v>
      </c>
      <c r="D300" s="434" t="s">
        <v>4136</v>
      </c>
      <c r="E300" s="434" t="s">
        <v>3978</v>
      </c>
      <c r="F300" s="990">
        <v>1.3690693E7</v>
      </c>
      <c r="G300" s="989" t="s">
        <v>4591</v>
      </c>
      <c r="H300" s="989" t="s">
        <v>4592</v>
      </c>
      <c r="I300" s="989" t="s">
        <v>4593</v>
      </c>
      <c r="J300" s="987"/>
      <c r="K300" s="436" t="s">
        <v>4594</v>
      </c>
      <c r="L300" s="436" t="s">
        <v>4595</v>
      </c>
      <c r="M300" s="436" t="s">
        <v>4596</v>
      </c>
      <c r="N300" s="987"/>
      <c r="O300" s="987"/>
      <c r="P300" s="987"/>
      <c r="Q300" s="987"/>
      <c r="R300" s="987"/>
      <c r="S300" s="987"/>
      <c r="T300" s="987"/>
      <c r="U300" s="987"/>
      <c r="V300" s="987"/>
      <c r="W300" s="987"/>
      <c r="X300" s="987"/>
      <c r="Y300" s="987"/>
      <c r="Z300" s="987"/>
      <c r="AA300" s="986"/>
    </row>
    <row r="301" hidden="1">
      <c r="A301" s="995">
        <v>11.0</v>
      </c>
      <c r="B301" s="988">
        <v>43411.0</v>
      </c>
      <c r="C301" s="989" t="s">
        <v>4597</v>
      </c>
      <c r="D301" s="434" t="s">
        <v>4076</v>
      </c>
      <c r="E301" s="434" t="s">
        <v>4077</v>
      </c>
      <c r="F301" s="990">
        <v>1.7260306E7</v>
      </c>
      <c r="G301" s="989" t="s">
        <v>4598</v>
      </c>
      <c r="H301" s="989" t="s">
        <v>4599</v>
      </c>
      <c r="I301" s="989" t="s">
        <v>4600</v>
      </c>
      <c r="J301" s="987"/>
      <c r="K301" s="987"/>
      <c r="L301" s="987"/>
      <c r="M301" s="987"/>
      <c r="N301" s="987"/>
      <c r="O301" s="987"/>
      <c r="P301" s="987"/>
      <c r="Q301" s="987"/>
      <c r="R301" s="987"/>
      <c r="S301" s="987"/>
      <c r="T301" s="987"/>
      <c r="U301" s="436" t="s">
        <v>62</v>
      </c>
      <c r="V301" s="995">
        <v>44434.0</v>
      </c>
      <c r="W301" s="987"/>
      <c r="X301" s="987"/>
      <c r="Y301" s="987"/>
      <c r="Z301" s="987"/>
      <c r="AA301" s="986"/>
    </row>
    <row r="302" hidden="1">
      <c r="A302" s="995">
        <v>15.0</v>
      </c>
      <c r="B302" s="996">
        <v>43496.0</v>
      </c>
      <c r="C302" s="984" t="s">
        <v>4601</v>
      </c>
      <c r="D302" s="436" t="s">
        <v>4602</v>
      </c>
      <c r="E302" s="436" t="s">
        <v>50</v>
      </c>
      <c r="F302" s="436" t="s">
        <v>50</v>
      </c>
      <c r="G302" s="984" t="s">
        <v>4603</v>
      </c>
      <c r="H302" s="984" t="s">
        <v>4604</v>
      </c>
      <c r="I302" s="997" t="s">
        <v>4605</v>
      </c>
      <c r="J302" s="987"/>
      <c r="K302" s="987"/>
      <c r="L302" s="987"/>
      <c r="M302" s="987"/>
      <c r="N302" s="987"/>
      <c r="O302" s="987"/>
      <c r="P302" s="987"/>
      <c r="Q302" s="987"/>
      <c r="R302" s="987"/>
      <c r="S302" s="987"/>
      <c r="T302" s="987"/>
      <c r="U302" s="987"/>
      <c r="V302" s="987"/>
      <c r="W302" s="987"/>
      <c r="X302" s="987"/>
      <c r="Y302" s="987"/>
      <c r="Z302" s="987"/>
      <c r="AA302" s="986"/>
    </row>
    <row r="303" hidden="1">
      <c r="A303" s="995">
        <v>17.0</v>
      </c>
      <c r="B303" s="996">
        <v>43516.0</v>
      </c>
      <c r="C303" s="984" t="s">
        <v>4606</v>
      </c>
      <c r="D303" s="436" t="s">
        <v>119</v>
      </c>
      <c r="E303" s="436" t="s">
        <v>305</v>
      </c>
      <c r="F303" s="436" t="s">
        <v>50</v>
      </c>
      <c r="G303" s="984" t="s">
        <v>4607</v>
      </c>
      <c r="H303" s="984" t="s">
        <v>4608</v>
      </c>
      <c r="I303" s="997" t="s">
        <v>4609</v>
      </c>
      <c r="J303" s="987"/>
      <c r="K303" s="436" t="s">
        <v>4610</v>
      </c>
      <c r="L303" s="987"/>
      <c r="M303" s="987"/>
      <c r="N303" s="987"/>
      <c r="O303" s="987"/>
      <c r="P303" s="987"/>
      <c r="Q303" s="987"/>
      <c r="R303" s="987"/>
      <c r="S303" s="987"/>
      <c r="T303" s="987"/>
      <c r="U303" s="987"/>
      <c r="V303" s="987"/>
      <c r="W303" s="987"/>
      <c r="X303" s="987"/>
      <c r="Y303" s="987"/>
      <c r="Z303" s="987"/>
      <c r="AA303" s="986"/>
    </row>
    <row r="304" hidden="1">
      <c r="A304" s="995">
        <v>19.0</v>
      </c>
      <c r="B304" s="996">
        <v>43529.0</v>
      </c>
      <c r="C304" s="984" t="s">
        <v>4611</v>
      </c>
      <c r="D304" s="436" t="s">
        <v>4612</v>
      </c>
      <c r="E304" s="984" t="s">
        <v>4613</v>
      </c>
      <c r="F304" s="436" t="s">
        <v>50</v>
      </c>
      <c r="G304" s="436" t="s">
        <v>3857</v>
      </c>
      <c r="H304" s="984" t="s">
        <v>4614</v>
      </c>
      <c r="I304" s="997" t="s">
        <v>4615</v>
      </c>
      <c r="J304" s="987"/>
      <c r="K304" s="436" t="s">
        <v>4616</v>
      </c>
      <c r="L304" s="984" t="s">
        <v>4617</v>
      </c>
      <c r="M304" s="987"/>
      <c r="N304" s="987"/>
      <c r="O304" s="987"/>
      <c r="P304" s="987"/>
      <c r="Q304" s="987"/>
      <c r="R304" s="987"/>
      <c r="S304" s="436" t="s">
        <v>174</v>
      </c>
      <c r="T304" s="995">
        <v>44430.0</v>
      </c>
      <c r="U304" s="987"/>
      <c r="V304" s="987"/>
      <c r="W304" s="436" t="s">
        <v>150</v>
      </c>
      <c r="X304" s="987"/>
      <c r="Y304" s="987"/>
      <c r="Z304" s="987"/>
      <c r="AA304" s="986"/>
    </row>
    <row r="305" hidden="1">
      <c r="A305" s="995">
        <v>21.0</v>
      </c>
      <c r="B305" s="996">
        <v>43538.0</v>
      </c>
      <c r="C305" s="984" t="s">
        <v>4618</v>
      </c>
      <c r="D305" s="436" t="s">
        <v>2522</v>
      </c>
      <c r="E305" s="436" t="s">
        <v>3817</v>
      </c>
      <c r="F305" s="995">
        <v>1.595467E7</v>
      </c>
      <c r="G305" s="984" t="s">
        <v>4619</v>
      </c>
      <c r="H305" s="998" t="str">
        <f>+3.3V_RECの電圧が1.5Vしか
 出ていない。
 +3.3V_REC使用IC：503、504、505、
 515</f>
        <v>#ERROR!</v>
      </c>
      <c r="I305" s="999" t="s">
        <v>4620</v>
      </c>
      <c r="J305" s="987"/>
      <c r="K305" s="987"/>
      <c r="L305" s="987"/>
      <c r="M305" s="987"/>
      <c r="N305" s="987"/>
      <c r="O305" s="987"/>
      <c r="P305" s="987"/>
      <c r="Q305" s="987"/>
      <c r="R305" s="987"/>
      <c r="S305" s="987"/>
      <c r="T305" s="987"/>
      <c r="U305" s="987"/>
      <c r="V305" s="987"/>
      <c r="W305" s="987"/>
      <c r="X305" s="987"/>
      <c r="Y305" s="987"/>
      <c r="Z305" s="987"/>
      <c r="AA305" s="986"/>
    </row>
    <row r="306" hidden="1">
      <c r="A306" s="995">
        <v>22.0</v>
      </c>
      <c r="B306" s="996">
        <v>43565.0</v>
      </c>
      <c r="C306" s="984" t="s">
        <v>4621</v>
      </c>
      <c r="D306" s="436" t="s">
        <v>506</v>
      </c>
      <c r="E306" s="436" t="s">
        <v>305</v>
      </c>
      <c r="F306" s="436" t="s">
        <v>50</v>
      </c>
      <c r="G306" s="436" t="s">
        <v>32</v>
      </c>
      <c r="H306" s="984" t="s">
        <v>4622</v>
      </c>
      <c r="I306" s="999" t="s">
        <v>4623</v>
      </c>
      <c r="J306" s="987"/>
      <c r="K306" s="436" t="s">
        <v>3079</v>
      </c>
      <c r="L306" s="987"/>
      <c r="M306" s="987"/>
      <c r="N306" s="987"/>
      <c r="O306" s="987"/>
      <c r="P306" s="987"/>
      <c r="Q306" s="987"/>
      <c r="R306" s="987"/>
      <c r="S306" s="987"/>
      <c r="T306" s="987"/>
      <c r="U306" s="987"/>
      <c r="V306" s="987"/>
      <c r="W306" s="987"/>
      <c r="X306" s="987"/>
      <c r="Y306" s="987"/>
      <c r="Z306" s="987"/>
      <c r="AA306" s="986"/>
    </row>
    <row r="307" hidden="1">
      <c r="A307" s="995">
        <v>23.0</v>
      </c>
      <c r="B307" s="988">
        <v>43581.0</v>
      </c>
      <c r="C307" s="989" t="s">
        <v>4624</v>
      </c>
      <c r="D307" s="434" t="s">
        <v>3345</v>
      </c>
      <c r="E307" s="434" t="s">
        <v>3346</v>
      </c>
      <c r="F307" s="434" t="s">
        <v>50</v>
      </c>
      <c r="G307" s="989" t="s">
        <v>3347</v>
      </c>
      <c r="H307" s="989" t="s">
        <v>3348</v>
      </c>
      <c r="I307" s="989" t="s">
        <v>4625</v>
      </c>
      <c r="J307" s="987"/>
      <c r="K307" s="436" t="s">
        <v>3350</v>
      </c>
      <c r="L307" s="436" t="s">
        <v>138</v>
      </c>
      <c r="M307" s="984" t="s">
        <v>4626</v>
      </c>
      <c r="N307" s="987"/>
      <c r="O307" s="436" t="s">
        <v>62</v>
      </c>
      <c r="P307" s="995">
        <v>44690.0</v>
      </c>
      <c r="Q307" s="987"/>
      <c r="R307" s="987"/>
      <c r="S307" s="987"/>
      <c r="T307" s="987"/>
      <c r="U307" s="987"/>
      <c r="V307" s="987"/>
      <c r="W307" s="987"/>
      <c r="X307" s="987"/>
      <c r="Y307" s="987"/>
      <c r="Z307" s="987"/>
      <c r="AA307" s="986"/>
    </row>
    <row r="308" hidden="1">
      <c r="A308" s="995">
        <v>25.0</v>
      </c>
      <c r="B308" s="988">
        <v>43601.0</v>
      </c>
      <c r="C308" s="989" t="s">
        <v>4624</v>
      </c>
      <c r="D308" s="434" t="s">
        <v>3345</v>
      </c>
      <c r="E308" s="434" t="s">
        <v>3346</v>
      </c>
      <c r="F308" s="434" t="s">
        <v>50</v>
      </c>
      <c r="G308" s="989" t="s">
        <v>3347</v>
      </c>
      <c r="H308" s="989" t="s">
        <v>3348</v>
      </c>
      <c r="I308" s="989" t="s">
        <v>4625</v>
      </c>
      <c r="J308" s="987"/>
      <c r="K308" s="436" t="s">
        <v>3350</v>
      </c>
      <c r="L308" s="436" t="s">
        <v>138</v>
      </c>
      <c r="M308" s="984" t="s">
        <v>4626</v>
      </c>
      <c r="N308" s="987"/>
      <c r="O308" s="436" t="s">
        <v>62</v>
      </c>
      <c r="P308" s="995">
        <v>44690.0</v>
      </c>
      <c r="Q308" s="987"/>
      <c r="R308" s="987"/>
      <c r="S308" s="987"/>
      <c r="T308" s="987"/>
      <c r="U308" s="987"/>
      <c r="V308" s="987"/>
      <c r="W308" s="987"/>
      <c r="X308" s="987"/>
      <c r="Y308" s="987"/>
      <c r="Z308" s="987"/>
      <c r="AA308" s="986"/>
    </row>
    <row r="309" hidden="1">
      <c r="A309" s="995">
        <v>26.0</v>
      </c>
      <c r="B309" s="996">
        <v>43606.0</v>
      </c>
      <c r="C309" s="984" t="s">
        <v>4627</v>
      </c>
      <c r="D309" s="436" t="s">
        <v>4628</v>
      </c>
      <c r="E309" s="436" t="s">
        <v>4629</v>
      </c>
      <c r="F309" s="436" t="s">
        <v>50</v>
      </c>
      <c r="G309" s="984" t="s">
        <v>3347</v>
      </c>
      <c r="H309" s="984" t="s">
        <v>4630</v>
      </c>
      <c r="I309" s="1000" t="s">
        <v>4631</v>
      </c>
      <c r="J309" s="987"/>
      <c r="K309" s="987"/>
      <c r="L309" s="987"/>
      <c r="M309" s="987"/>
      <c r="N309" s="987"/>
      <c r="O309" s="987"/>
      <c r="P309" s="987"/>
      <c r="Q309" s="987"/>
      <c r="R309" s="987"/>
      <c r="S309" s="987"/>
      <c r="T309" s="987"/>
      <c r="U309" s="987"/>
      <c r="V309" s="987"/>
      <c r="W309" s="987"/>
      <c r="X309" s="987"/>
      <c r="Y309" s="987"/>
      <c r="Z309" s="987"/>
      <c r="AA309" s="986"/>
    </row>
    <row r="310" hidden="1">
      <c r="A310" s="995">
        <v>27.0</v>
      </c>
      <c r="B310" s="996">
        <v>43606.0</v>
      </c>
      <c r="C310" s="984" t="s">
        <v>4627</v>
      </c>
      <c r="D310" s="436" t="s">
        <v>4628</v>
      </c>
      <c r="E310" s="436" t="s">
        <v>4629</v>
      </c>
      <c r="F310" s="436" t="s">
        <v>50</v>
      </c>
      <c r="G310" s="984" t="s">
        <v>3347</v>
      </c>
      <c r="H310" s="984" t="s">
        <v>4630</v>
      </c>
      <c r="I310" s="1001" t="s">
        <v>4632</v>
      </c>
      <c r="J310" s="987"/>
      <c r="K310" s="987"/>
      <c r="L310" s="987"/>
      <c r="M310" s="987"/>
      <c r="N310" s="987"/>
      <c r="O310" s="987"/>
      <c r="P310" s="987"/>
      <c r="Q310" s="987"/>
      <c r="R310" s="987"/>
      <c r="S310" s="987"/>
      <c r="T310" s="987"/>
      <c r="U310" s="987"/>
      <c r="V310" s="987"/>
      <c r="W310" s="987"/>
      <c r="X310" s="987"/>
      <c r="Y310" s="987"/>
      <c r="Z310" s="987"/>
      <c r="AA310" s="986"/>
    </row>
    <row r="311" hidden="1">
      <c r="A311" s="995">
        <v>28.0</v>
      </c>
      <c r="B311" s="996">
        <v>43606.0</v>
      </c>
      <c r="C311" s="984" t="s">
        <v>4627</v>
      </c>
      <c r="D311" s="436" t="s">
        <v>4628</v>
      </c>
      <c r="E311" s="436" t="s">
        <v>4629</v>
      </c>
      <c r="F311" s="436" t="s">
        <v>50</v>
      </c>
      <c r="G311" s="984" t="s">
        <v>3347</v>
      </c>
      <c r="H311" s="984" t="s">
        <v>4630</v>
      </c>
      <c r="I311" s="997" t="s">
        <v>4632</v>
      </c>
      <c r="J311" s="987"/>
      <c r="K311" s="987"/>
      <c r="L311" s="987"/>
      <c r="M311" s="987"/>
      <c r="N311" s="987"/>
      <c r="O311" s="987"/>
      <c r="P311" s="987"/>
      <c r="Q311" s="987"/>
      <c r="R311" s="987"/>
      <c r="S311" s="987"/>
      <c r="T311" s="987"/>
      <c r="U311" s="987"/>
      <c r="V311" s="987"/>
      <c r="W311" s="987"/>
      <c r="X311" s="987"/>
      <c r="Y311" s="987"/>
      <c r="Z311" s="987"/>
      <c r="AA311" s="986"/>
    </row>
    <row r="312" hidden="1">
      <c r="A312" s="995">
        <v>31.0</v>
      </c>
      <c r="B312" s="988">
        <v>43665.0</v>
      </c>
      <c r="C312" s="989" t="s">
        <v>4633</v>
      </c>
      <c r="D312" s="434" t="s">
        <v>3923</v>
      </c>
      <c r="E312" s="434" t="s">
        <v>305</v>
      </c>
      <c r="F312" s="434" t="s">
        <v>50</v>
      </c>
      <c r="G312" s="989" t="s">
        <v>4634</v>
      </c>
      <c r="H312" s="989" t="s">
        <v>4635</v>
      </c>
      <c r="I312" s="989" t="s">
        <v>4636</v>
      </c>
      <c r="J312" s="987"/>
      <c r="K312" s="987"/>
      <c r="L312" s="436" t="s">
        <v>138</v>
      </c>
      <c r="M312" s="436" t="s">
        <v>4637</v>
      </c>
      <c r="N312" s="987"/>
      <c r="O312" s="987"/>
      <c r="P312" s="987"/>
      <c r="Q312" s="987"/>
      <c r="R312" s="987"/>
      <c r="S312" s="436" t="s">
        <v>150</v>
      </c>
      <c r="T312" s="995">
        <v>44463.0</v>
      </c>
      <c r="U312" s="436" t="s">
        <v>62</v>
      </c>
      <c r="V312" s="995">
        <v>44466.0</v>
      </c>
      <c r="W312" s="987"/>
      <c r="X312" s="987"/>
      <c r="Y312" s="987"/>
      <c r="Z312" s="987"/>
      <c r="AA312" s="986"/>
    </row>
    <row r="313" hidden="1">
      <c r="A313" s="995">
        <v>32.0</v>
      </c>
      <c r="B313" s="1002">
        <v>43699.0</v>
      </c>
      <c r="C313" s="1003" t="s">
        <v>4638</v>
      </c>
      <c r="D313" s="1004" t="s">
        <v>4639</v>
      </c>
      <c r="E313" s="1004" t="s">
        <v>310</v>
      </c>
      <c r="F313" s="1005">
        <v>1.4590936E7</v>
      </c>
      <c r="G313" s="1004" t="s">
        <v>348</v>
      </c>
      <c r="H313" s="1003" t="s">
        <v>4640</v>
      </c>
      <c r="I313" s="997" t="s">
        <v>4641</v>
      </c>
      <c r="J313" s="987"/>
      <c r="K313" s="987"/>
      <c r="L313" s="987"/>
      <c r="M313" s="436" t="s">
        <v>4642</v>
      </c>
      <c r="N313" s="987"/>
      <c r="O313" s="987"/>
      <c r="P313" s="987"/>
      <c r="Q313" s="987"/>
      <c r="R313" s="987"/>
      <c r="S313" s="987"/>
      <c r="T313" s="987"/>
      <c r="U313" s="987"/>
      <c r="V313" s="987"/>
      <c r="W313" s="987"/>
      <c r="X313" s="987"/>
      <c r="Y313" s="987"/>
      <c r="Z313" s="987"/>
      <c r="AA313" s="986"/>
    </row>
    <row r="314" hidden="1">
      <c r="A314" s="995">
        <v>37.0</v>
      </c>
      <c r="B314" s="991">
        <v>43809.0</v>
      </c>
      <c r="C314" s="989" t="s">
        <v>4643</v>
      </c>
      <c r="D314" s="434" t="s">
        <v>367</v>
      </c>
      <c r="E314" s="434" t="s">
        <v>305</v>
      </c>
      <c r="F314" s="434" t="s">
        <v>50</v>
      </c>
      <c r="G314" s="989" t="s">
        <v>4644</v>
      </c>
      <c r="H314" s="989" t="s">
        <v>4645</v>
      </c>
      <c r="I314" s="989" t="s">
        <v>4646</v>
      </c>
      <c r="J314" s="987"/>
      <c r="K314" s="436" t="s">
        <v>123</v>
      </c>
      <c r="L314" s="436" t="s">
        <v>4647</v>
      </c>
      <c r="M314" s="436" t="s">
        <v>4648</v>
      </c>
      <c r="N314" s="987"/>
      <c r="O314" s="987"/>
      <c r="P314" s="987"/>
      <c r="Q314" s="987"/>
      <c r="R314" s="987"/>
      <c r="S314" s="987"/>
      <c r="T314" s="987"/>
      <c r="U314" s="987"/>
      <c r="V314" s="987"/>
      <c r="W314" s="987"/>
      <c r="X314" s="987"/>
      <c r="Y314" s="987"/>
      <c r="Z314" s="987"/>
      <c r="AA314" s="986"/>
    </row>
    <row r="315" hidden="1">
      <c r="A315" s="995">
        <v>38.0</v>
      </c>
      <c r="B315" s="1006">
        <v>43812.0</v>
      </c>
      <c r="C315" s="984" t="s">
        <v>4649</v>
      </c>
      <c r="D315" s="436" t="s">
        <v>89</v>
      </c>
      <c r="E315" s="436" t="s">
        <v>269</v>
      </c>
      <c r="F315" s="995">
        <v>1.5830679E7</v>
      </c>
      <c r="G315" s="436" t="s">
        <v>51</v>
      </c>
      <c r="H315" s="984" t="s">
        <v>4650</v>
      </c>
      <c r="I315" s="997" t="s">
        <v>4651</v>
      </c>
      <c r="J315" s="987"/>
      <c r="K315" s="987"/>
      <c r="L315" s="987"/>
      <c r="M315" s="987"/>
      <c r="N315" s="987"/>
      <c r="O315" s="987"/>
      <c r="P315" s="987"/>
      <c r="Q315" s="987"/>
      <c r="R315" s="987"/>
      <c r="S315" s="987"/>
      <c r="T315" s="987"/>
      <c r="U315" s="987"/>
      <c r="V315" s="987"/>
      <c r="W315" s="987"/>
      <c r="X315" s="987"/>
      <c r="Y315" s="987"/>
      <c r="Z315" s="987"/>
      <c r="AA315" s="986"/>
    </row>
    <row r="316" hidden="1">
      <c r="A316" s="995">
        <v>39.0</v>
      </c>
      <c r="B316" s="1006">
        <v>43818.0</v>
      </c>
      <c r="C316" s="984" t="s">
        <v>4649</v>
      </c>
      <c r="D316" s="436" t="s">
        <v>89</v>
      </c>
      <c r="E316" s="436" t="s">
        <v>269</v>
      </c>
      <c r="F316" s="995">
        <v>1.5830688E7</v>
      </c>
      <c r="G316" s="436" t="s">
        <v>51</v>
      </c>
      <c r="H316" s="984" t="s">
        <v>4652</v>
      </c>
      <c r="I316" s="997" t="s">
        <v>4653</v>
      </c>
      <c r="J316" s="987"/>
      <c r="K316" s="436" t="s">
        <v>4654</v>
      </c>
      <c r="L316" s="436" t="s">
        <v>2997</v>
      </c>
      <c r="M316" s="436" t="s">
        <v>4655</v>
      </c>
      <c r="N316" s="987"/>
      <c r="O316" s="987"/>
      <c r="P316" s="987"/>
      <c r="Q316" s="987"/>
      <c r="R316" s="987"/>
      <c r="S316" s="436" t="s">
        <v>174</v>
      </c>
      <c r="T316" s="995">
        <v>44327.0</v>
      </c>
      <c r="U316" s="987"/>
      <c r="V316" s="987"/>
      <c r="W316" s="436" t="s">
        <v>150</v>
      </c>
      <c r="X316" s="987"/>
      <c r="Y316" s="987"/>
      <c r="Z316" s="987"/>
      <c r="AA316" s="986"/>
    </row>
    <row r="317" hidden="1">
      <c r="A317" s="995">
        <v>40.0</v>
      </c>
      <c r="B317" s="988">
        <v>43857.0</v>
      </c>
      <c r="C317" s="989" t="s">
        <v>4656</v>
      </c>
      <c r="D317" s="434" t="s">
        <v>4136</v>
      </c>
      <c r="E317" s="434" t="s">
        <v>3978</v>
      </c>
      <c r="F317" s="990">
        <v>1.3690733E7</v>
      </c>
      <c r="G317" s="989" t="s">
        <v>4591</v>
      </c>
      <c r="H317" s="989" t="s">
        <v>4657</v>
      </c>
      <c r="I317" s="989" t="s">
        <v>4658</v>
      </c>
      <c r="J317" s="987"/>
      <c r="K317" s="987"/>
      <c r="L317" s="987"/>
      <c r="M317" s="987"/>
      <c r="N317" s="987"/>
      <c r="O317" s="987"/>
      <c r="P317" s="987"/>
      <c r="Q317" s="987"/>
      <c r="R317" s="987"/>
      <c r="S317" s="987"/>
      <c r="T317" s="987"/>
      <c r="U317" s="987"/>
      <c r="V317" s="987"/>
      <c r="W317" s="987"/>
      <c r="X317" s="987"/>
      <c r="Y317" s="987"/>
      <c r="Z317" s="987"/>
      <c r="AA317" s="986"/>
    </row>
    <row r="318" hidden="1">
      <c r="A318" s="995">
        <v>41.0</v>
      </c>
      <c r="B318" s="996">
        <v>43858.0</v>
      </c>
      <c r="C318" s="984" t="s">
        <v>4659</v>
      </c>
      <c r="D318" s="436" t="s">
        <v>4660</v>
      </c>
      <c r="E318" s="436" t="s">
        <v>4661</v>
      </c>
      <c r="F318" s="436" t="s">
        <v>50</v>
      </c>
      <c r="G318" s="984" t="s">
        <v>4662</v>
      </c>
      <c r="H318" s="984" t="s">
        <v>4663</v>
      </c>
      <c r="I318" s="997" t="s">
        <v>4664</v>
      </c>
      <c r="J318" s="987"/>
      <c r="K318" s="987"/>
      <c r="L318" s="987"/>
      <c r="M318" s="987"/>
      <c r="N318" s="987"/>
      <c r="O318" s="987"/>
      <c r="P318" s="987"/>
      <c r="Q318" s="987"/>
      <c r="R318" s="987"/>
      <c r="S318" s="987"/>
      <c r="T318" s="987"/>
      <c r="U318" s="987"/>
      <c r="V318" s="987"/>
      <c r="W318" s="987"/>
      <c r="X318" s="987"/>
      <c r="Y318" s="987"/>
      <c r="Z318" s="987"/>
      <c r="AA318" s="986"/>
    </row>
    <row r="319" hidden="1">
      <c r="A319" s="995">
        <v>43.0</v>
      </c>
      <c r="B319" s="996">
        <v>43881.0</v>
      </c>
      <c r="C319" s="984" t="s">
        <v>4665</v>
      </c>
      <c r="D319" s="436" t="s">
        <v>48</v>
      </c>
      <c r="E319" s="436" t="s">
        <v>305</v>
      </c>
      <c r="F319" s="995">
        <v>1.4691746E7</v>
      </c>
      <c r="G319" s="436" t="s">
        <v>51</v>
      </c>
      <c r="H319" s="984" t="s">
        <v>4666</v>
      </c>
      <c r="I319" s="997" t="s">
        <v>4605</v>
      </c>
      <c r="J319" s="987"/>
      <c r="K319" s="987"/>
      <c r="L319" s="987"/>
      <c r="M319" s="987"/>
      <c r="N319" s="987"/>
      <c r="O319" s="987"/>
      <c r="P319" s="987"/>
      <c r="Q319" s="987"/>
      <c r="R319" s="987"/>
      <c r="S319" s="987"/>
      <c r="T319" s="987"/>
      <c r="U319" s="987"/>
      <c r="V319" s="987"/>
      <c r="W319" s="987"/>
      <c r="X319" s="987"/>
      <c r="Y319" s="987"/>
      <c r="Z319" s="987"/>
      <c r="AA319" s="986"/>
    </row>
    <row r="320" hidden="1">
      <c r="A320" s="995">
        <v>42.0</v>
      </c>
      <c r="B320" s="988">
        <v>43879.0</v>
      </c>
      <c r="C320" s="989" t="s">
        <v>4667</v>
      </c>
      <c r="D320" s="434" t="s">
        <v>3942</v>
      </c>
      <c r="E320" s="434" t="s">
        <v>305</v>
      </c>
      <c r="F320" s="434" t="s">
        <v>50</v>
      </c>
      <c r="G320" s="434" t="s">
        <v>200</v>
      </c>
      <c r="H320" s="989" t="s">
        <v>4668</v>
      </c>
      <c r="I320" s="989" t="s">
        <v>4669</v>
      </c>
      <c r="J320" s="987"/>
      <c r="K320" s="436" t="s">
        <v>4670</v>
      </c>
      <c r="L320" s="436" t="s">
        <v>4671</v>
      </c>
      <c r="M320" s="436" t="s">
        <v>4672</v>
      </c>
      <c r="N320" s="987"/>
      <c r="O320" s="987"/>
      <c r="P320" s="987"/>
      <c r="Q320" s="987"/>
      <c r="R320" s="987"/>
      <c r="S320" s="436" t="s">
        <v>62</v>
      </c>
      <c r="T320" s="995">
        <v>44446.0</v>
      </c>
      <c r="U320" s="436" t="s">
        <v>62</v>
      </c>
      <c r="V320" s="987"/>
      <c r="W320" s="987"/>
      <c r="X320" s="987"/>
      <c r="Y320" s="987"/>
      <c r="Z320" s="987"/>
      <c r="AA320" s="986"/>
    </row>
    <row r="321" hidden="1">
      <c r="A321" s="995">
        <v>47.0</v>
      </c>
      <c r="B321" s="996">
        <v>43970.0</v>
      </c>
      <c r="C321" s="984" t="s">
        <v>4673</v>
      </c>
      <c r="D321" s="436" t="s">
        <v>3668</v>
      </c>
      <c r="E321" s="436" t="s">
        <v>3669</v>
      </c>
      <c r="F321" s="995">
        <v>1.8600538E7</v>
      </c>
      <c r="G321" s="436" t="s">
        <v>112</v>
      </c>
      <c r="H321" s="984" t="s">
        <v>4674</v>
      </c>
      <c r="I321" s="997" t="s">
        <v>4675</v>
      </c>
      <c r="J321" s="987"/>
      <c r="K321" s="436" t="s">
        <v>4676</v>
      </c>
      <c r="L321" s="436" t="s">
        <v>4677</v>
      </c>
      <c r="M321" s="984" t="s">
        <v>4678</v>
      </c>
      <c r="N321" s="987"/>
      <c r="O321" s="987"/>
      <c r="P321" s="987"/>
      <c r="Q321" s="987"/>
      <c r="R321" s="987"/>
      <c r="S321" s="987"/>
      <c r="T321" s="987"/>
      <c r="U321" s="987"/>
      <c r="V321" s="987"/>
      <c r="W321" s="987"/>
      <c r="X321" s="987"/>
      <c r="Y321" s="987"/>
      <c r="Z321" s="987"/>
      <c r="AA321" s="986"/>
    </row>
    <row r="322" hidden="1">
      <c r="A322" s="995">
        <v>52.0</v>
      </c>
      <c r="B322" s="996">
        <v>43994.0</v>
      </c>
      <c r="C322" s="984" t="s">
        <v>4673</v>
      </c>
      <c r="D322" s="436" t="s">
        <v>3668</v>
      </c>
      <c r="E322" s="436" t="s">
        <v>3669</v>
      </c>
      <c r="F322" s="995">
        <v>1.8600516E7</v>
      </c>
      <c r="G322" s="436" t="s">
        <v>112</v>
      </c>
      <c r="H322" s="984" t="s">
        <v>4679</v>
      </c>
      <c r="I322" s="997" t="s">
        <v>4680</v>
      </c>
      <c r="J322" s="987"/>
      <c r="K322" s="987"/>
      <c r="L322" s="987"/>
      <c r="M322" s="987"/>
      <c r="N322" s="987"/>
      <c r="O322" s="987"/>
      <c r="P322" s="987"/>
      <c r="Q322" s="987"/>
      <c r="R322" s="987"/>
      <c r="S322" s="987"/>
      <c r="T322" s="987"/>
      <c r="U322" s="987"/>
      <c r="V322" s="987"/>
      <c r="W322" s="987"/>
      <c r="X322" s="987"/>
      <c r="Y322" s="987"/>
      <c r="Z322" s="987"/>
      <c r="AA322" s="986"/>
    </row>
    <row r="323" hidden="1">
      <c r="A323" s="995">
        <v>55.0</v>
      </c>
      <c r="B323" s="996">
        <v>44028.0</v>
      </c>
      <c r="C323" s="984" t="s">
        <v>4681</v>
      </c>
      <c r="D323" s="436" t="s">
        <v>119</v>
      </c>
      <c r="E323" s="436" t="s">
        <v>305</v>
      </c>
      <c r="F323" s="995">
        <v>1.3714936E7</v>
      </c>
      <c r="G323" s="984" t="s">
        <v>4682</v>
      </c>
      <c r="H323" s="984" t="s">
        <v>4683</v>
      </c>
      <c r="I323" s="997" t="s">
        <v>4684</v>
      </c>
      <c r="J323" s="987"/>
      <c r="K323" s="436" t="s">
        <v>4610</v>
      </c>
      <c r="L323" s="987"/>
      <c r="M323" s="987"/>
      <c r="N323" s="987"/>
      <c r="O323" s="987"/>
      <c r="P323" s="987"/>
      <c r="Q323" s="987"/>
      <c r="R323" s="987"/>
      <c r="S323" s="987"/>
      <c r="T323" s="987"/>
      <c r="U323" s="987"/>
      <c r="V323" s="987"/>
      <c r="W323" s="987"/>
      <c r="X323" s="987"/>
      <c r="Y323" s="987"/>
      <c r="Z323" s="987"/>
      <c r="AA323" s="986"/>
    </row>
    <row r="324" hidden="1">
      <c r="A324" s="995">
        <v>59.0</v>
      </c>
      <c r="B324" s="996">
        <v>44041.0</v>
      </c>
      <c r="C324" s="984" t="s">
        <v>4685</v>
      </c>
      <c r="D324" s="436" t="s">
        <v>4019</v>
      </c>
      <c r="E324" s="436" t="s">
        <v>4020</v>
      </c>
      <c r="F324" s="995">
        <v>1.5280093E7</v>
      </c>
      <c r="G324" s="436" t="s">
        <v>348</v>
      </c>
      <c r="H324" s="984" t="s">
        <v>4686</v>
      </c>
      <c r="I324" s="997" t="s">
        <v>4687</v>
      </c>
      <c r="J324" s="987"/>
      <c r="K324" s="436" t="s">
        <v>4688</v>
      </c>
      <c r="L324" s="436" t="s">
        <v>3133</v>
      </c>
      <c r="M324" s="436" t="s">
        <v>4689</v>
      </c>
      <c r="N324" s="987"/>
      <c r="O324" s="987"/>
      <c r="P324" s="987"/>
      <c r="Q324" s="987"/>
      <c r="R324" s="987"/>
      <c r="S324" s="436" t="s">
        <v>174</v>
      </c>
      <c r="T324" s="995">
        <v>44274.0</v>
      </c>
      <c r="U324" s="987"/>
      <c r="V324" s="987"/>
      <c r="W324" s="436" t="s">
        <v>150</v>
      </c>
      <c r="X324" s="987"/>
      <c r="Y324" s="987"/>
      <c r="Z324" s="987"/>
      <c r="AA324" s="986"/>
    </row>
    <row r="325" hidden="1">
      <c r="A325" s="995">
        <v>60.0</v>
      </c>
      <c r="B325" s="996">
        <v>44062.0</v>
      </c>
      <c r="C325" s="997" t="s">
        <v>4690</v>
      </c>
      <c r="D325" s="436" t="s">
        <v>48</v>
      </c>
      <c r="E325" s="436" t="s">
        <v>305</v>
      </c>
      <c r="F325" s="436" t="s">
        <v>50</v>
      </c>
      <c r="G325" s="984" t="s">
        <v>4691</v>
      </c>
      <c r="H325" s="984" t="s">
        <v>4692</v>
      </c>
      <c r="I325" s="997" t="s">
        <v>4693</v>
      </c>
      <c r="J325" s="987"/>
      <c r="K325" s="987"/>
      <c r="L325" s="987"/>
      <c r="M325" s="987"/>
      <c r="N325" s="987"/>
      <c r="O325" s="987"/>
      <c r="P325" s="987"/>
      <c r="Q325" s="987"/>
      <c r="R325" s="987"/>
      <c r="S325" s="987"/>
      <c r="T325" s="987"/>
      <c r="U325" s="987"/>
      <c r="V325" s="987"/>
      <c r="W325" s="987"/>
      <c r="X325" s="987"/>
      <c r="Y325" s="987"/>
      <c r="Z325" s="987"/>
      <c r="AA325" s="986"/>
    </row>
    <row r="326" hidden="1">
      <c r="A326" s="995">
        <v>61.0</v>
      </c>
      <c r="B326" s="996">
        <v>44064.0</v>
      </c>
      <c r="C326" s="984" t="s">
        <v>3300</v>
      </c>
      <c r="D326" s="436" t="s">
        <v>4694</v>
      </c>
      <c r="E326" s="436" t="s">
        <v>4695</v>
      </c>
      <c r="F326" s="995">
        <v>1.7620178E7</v>
      </c>
      <c r="G326" s="436" t="s">
        <v>120</v>
      </c>
      <c r="H326" s="984" t="s">
        <v>4696</v>
      </c>
      <c r="I326" s="989" t="s">
        <v>4697</v>
      </c>
      <c r="J326" s="987"/>
      <c r="K326" s="436" t="s">
        <v>4698</v>
      </c>
      <c r="L326" s="436" t="s">
        <v>491</v>
      </c>
      <c r="M326" s="436" t="s">
        <v>4699</v>
      </c>
      <c r="N326" s="987"/>
      <c r="O326" s="987"/>
      <c r="P326" s="987"/>
      <c r="Q326" s="987"/>
      <c r="R326" s="987"/>
      <c r="S326" s="987"/>
      <c r="T326" s="987"/>
      <c r="U326" s="987"/>
      <c r="V326" s="987"/>
      <c r="W326" s="987"/>
      <c r="X326" s="987"/>
      <c r="Y326" s="987"/>
      <c r="Z326" s="987"/>
      <c r="AA326" s="986"/>
    </row>
    <row r="327" hidden="1">
      <c r="A327" s="995">
        <v>68.0</v>
      </c>
      <c r="B327" s="1006">
        <v>44127.0</v>
      </c>
      <c r="C327" s="1007" t="s">
        <v>4700</v>
      </c>
      <c r="D327" s="1008" t="s">
        <v>2664</v>
      </c>
      <c r="E327" s="436" t="s">
        <v>305</v>
      </c>
      <c r="F327" s="995">
        <v>1.6590464E7</v>
      </c>
      <c r="G327" s="984" t="s">
        <v>4701</v>
      </c>
      <c r="H327" s="984" t="s">
        <v>4702</v>
      </c>
      <c r="I327" s="997" t="s">
        <v>4703</v>
      </c>
      <c r="J327" s="987"/>
      <c r="K327" s="987"/>
      <c r="L327" s="987"/>
      <c r="M327" s="987"/>
      <c r="N327" s="987"/>
      <c r="O327" s="987"/>
      <c r="P327" s="987"/>
      <c r="Q327" s="987"/>
      <c r="R327" s="987"/>
      <c r="S327" s="987"/>
      <c r="T327" s="987"/>
      <c r="U327" s="987"/>
      <c r="V327" s="987"/>
      <c r="W327" s="987"/>
      <c r="X327" s="987"/>
      <c r="Y327" s="987"/>
      <c r="Z327" s="987"/>
      <c r="AA327" s="986"/>
    </row>
    <row r="328" hidden="1">
      <c r="A328" s="995">
        <v>71.0</v>
      </c>
      <c r="B328" s="991">
        <v>44153.0</v>
      </c>
      <c r="C328" s="989" t="s">
        <v>4704</v>
      </c>
      <c r="D328" s="434" t="s">
        <v>857</v>
      </c>
      <c r="E328" s="434" t="s">
        <v>50</v>
      </c>
      <c r="F328" s="434" t="s">
        <v>50</v>
      </c>
      <c r="G328" s="989" t="s">
        <v>4705</v>
      </c>
      <c r="H328" s="989" t="s">
        <v>4706</v>
      </c>
      <c r="I328" s="989" t="s">
        <v>4707</v>
      </c>
      <c r="J328" s="987"/>
      <c r="K328" s="987"/>
      <c r="L328" s="987"/>
      <c r="M328" s="987"/>
      <c r="N328" s="987"/>
      <c r="O328" s="987"/>
      <c r="P328" s="987"/>
      <c r="Q328" s="987"/>
      <c r="R328" s="987"/>
      <c r="S328" s="987"/>
      <c r="T328" s="987"/>
      <c r="U328" s="436" t="s">
        <v>62</v>
      </c>
      <c r="V328" s="995">
        <v>44693.0</v>
      </c>
      <c r="W328" s="987"/>
      <c r="X328" s="987"/>
      <c r="Y328" s="987"/>
      <c r="Z328" s="987"/>
      <c r="AA328" s="986"/>
    </row>
    <row r="329" hidden="1">
      <c r="A329" s="995">
        <v>75.0</v>
      </c>
      <c r="B329" s="996">
        <v>44167.0</v>
      </c>
      <c r="C329" s="1007" t="s">
        <v>4708</v>
      </c>
      <c r="D329" s="1008" t="s">
        <v>1568</v>
      </c>
      <c r="E329" s="436" t="s">
        <v>305</v>
      </c>
      <c r="F329" s="995">
        <v>1.6270214E7</v>
      </c>
      <c r="G329" s="984" t="s">
        <v>4701</v>
      </c>
      <c r="H329" s="984" t="s">
        <v>4709</v>
      </c>
      <c r="I329" s="997" t="s">
        <v>4710</v>
      </c>
      <c r="J329" s="987"/>
      <c r="K329" s="987"/>
      <c r="L329" s="987"/>
      <c r="M329" s="987"/>
      <c r="N329" s="987"/>
      <c r="O329" s="987"/>
      <c r="P329" s="987"/>
      <c r="Q329" s="987"/>
      <c r="R329" s="987"/>
      <c r="S329" s="987"/>
      <c r="T329" s="987"/>
      <c r="U329" s="987"/>
      <c r="V329" s="987"/>
      <c r="W329" s="436" t="s">
        <v>62</v>
      </c>
      <c r="X329" s="995">
        <v>44463.0</v>
      </c>
      <c r="Y329" s="987"/>
      <c r="Z329" s="987"/>
      <c r="AA329" s="986"/>
    </row>
    <row r="330" hidden="1">
      <c r="A330" s="995">
        <v>76.0</v>
      </c>
      <c r="B330" s="991">
        <v>44175.0</v>
      </c>
      <c r="C330" s="989" t="s">
        <v>4711</v>
      </c>
      <c r="D330" s="434" t="s">
        <v>3942</v>
      </c>
      <c r="E330" s="434" t="s">
        <v>305</v>
      </c>
      <c r="F330" s="434" t="s">
        <v>50</v>
      </c>
      <c r="G330" s="434" t="s">
        <v>200</v>
      </c>
      <c r="H330" s="989" t="s">
        <v>4712</v>
      </c>
      <c r="I330" s="989" t="s">
        <v>4713</v>
      </c>
      <c r="J330" s="987"/>
      <c r="K330" s="436" t="s">
        <v>4670</v>
      </c>
      <c r="L330" s="436" t="s">
        <v>4714</v>
      </c>
      <c r="M330" s="436" t="s">
        <v>4715</v>
      </c>
      <c r="N330" s="987"/>
      <c r="O330" s="987"/>
      <c r="P330" s="987"/>
      <c r="Q330" s="987"/>
      <c r="R330" s="987"/>
      <c r="S330" s="987"/>
      <c r="T330" s="987"/>
      <c r="U330" s="436" t="s">
        <v>62</v>
      </c>
      <c r="V330" s="987"/>
      <c r="W330" s="987"/>
      <c r="X330" s="987"/>
      <c r="Y330" s="987"/>
      <c r="Z330" s="987"/>
      <c r="AA330" s="986"/>
    </row>
    <row r="331" hidden="1">
      <c r="A331" s="995">
        <v>80.0</v>
      </c>
      <c r="B331" s="1002">
        <v>44235.0</v>
      </c>
      <c r="C331" s="1003" t="s">
        <v>4665</v>
      </c>
      <c r="D331" s="1004" t="s">
        <v>48</v>
      </c>
      <c r="E331" s="1004" t="s">
        <v>305</v>
      </c>
      <c r="F331" s="1005">
        <v>1.4691758E7</v>
      </c>
      <c r="G331" s="1004" t="s">
        <v>51</v>
      </c>
      <c r="H331" s="1003" t="s">
        <v>4716</v>
      </c>
      <c r="I331" s="997" t="s">
        <v>4717</v>
      </c>
      <c r="J331" s="987"/>
      <c r="K331" s="987"/>
      <c r="L331" s="987"/>
      <c r="M331" s="987"/>
      <c r="N331" s="987"/>
      <c r="O331" s="987"/>
      <c r="P331" s="987"/>
      <c r="Q331" s="987"/>
      <c r="R331" s="987"/>
      <c r="S331" s="987"/>
      <c r="T331" s="987"/>
      <c r="U331" s="987"/>
      <c r="V331" s="987"/>
      <c r="W331" s="436" t="s">
        <v>62</v>
      </c>
      <c r="X331" s="995">
        <v>44463.0</v>
      </c>
      <c r="Y331" s="987"/>
      <c r="Z331" s="987"/>
      <c r="AA331" s="986"/>
    </row>
    <row r="332" hidden="1">
      <c r="A332" s="995">
        <v>81.0</v>
      </c>
      <c r="B332" s="988">
        <v>44242.0</v>
      </c>
      <c r="C332" s="989" t="s">
        <v>4718</v>
      </c>
      <c r="D332" s="434" t="s">
        <v>2316</v>
      </c>
      <c r="E332" s="434" t="s">
        <v>4519</v>
      </c>
      <c r="F332" s="990">
        <v>1.8310023E7</v>
      </c>
      <c r="G332" s="434" t="s">
        <v>348</v>
      </c>
      <c r="H332" s="989" t="s">
        <v>4719</v>
      </c>
      <c r="I332" s="989" t="s">
        <v>4720</v>
      </c>
      <c r="J332" s="987"/>
      <c r="K332" s="436" t="s">
        <v>2319</v>
      </c>
      <c r="L332" s="436" t="s">
        <v>4721</v>
      </c>
      <c r="M332" s="436" t="s">
        <v>280</v>
      </c>
      <c r="N332" s="987"/>
      <c r="O332" s="987"/>
      <c r="P332" s="995">
        <v>44455.0</v>
      </c>
      <c r="Q332" s="987"/>
      <c r="R332" s="987"/>
      <c r="S332" s="987"/>
      <c r="T332" s="987"/>
      <c r="U332" s="436" t="s">
        <v>62</v>
      </c>
      <c r="V332" s="995">
        <v>44455.0</v>
      </c>
      <c r="W332" s="987"/>
      <c r="X332" s="987"/>
      <c r="Y332" s="987"/>
      <c r="Z332" s="987"/>
      <c r="AA332" s="986"/>
    </row>
    <row r="333" hidden="1">
      <c r="A333" s="995">
        <v>83.0</v>
      </c>
      <c r="B333" s="996">
        <v>44244.0</v>
      </c>
      <c r="C333" s="984" t="s">
        <v>4722</v>
      </c>
      <c r="D333" s="436" t="s">
        <v>3326</v>
      </c>
      <c r="E333" s="436" t="s">
        <v>305</v>
      </c>
      <c r="F333" s="436" t="s">
        <v>50</v>
      </c>
      <c r="G333" s="436" t="s">
        <v>51</v>
      </c>
      <c r="H333" s="984" t="s">
        <v>4723</v>
      </c>
      <c r="I333" s="997" t="s">
        <v>4724</v>
      </c>
      <c r="J333" s="987"/>
      <c r="K333" s="436" t="s">
        <v>4725</v>
      </c>
      <c r="L333" s="436" t="s">
        <v>3121</v>
      </c>
      <c r="M333" s="436" t="s">
        <v>4726</v>
      </c>
      <c r="N333" s="987"/>
      <c r="O333" s="987"/>
      <c r="P333" s="987"/>
      <c r="Q333" s="987"/>
      <c r="R333" s="987"/>
      <c r="S333" s="987"/>
      <c r="T333" s="987"/>
      <c r="U333" s="987"/>
      <c r="V333" s="987"/>
      <c r="W333" s="436" t="s">
        <v>150</v>
      </c>
      <c r="X333" s="987"/>
      <c r="Y333" s="987"/>
      <c r="Z333" s="987"/>
      <c r="AA333" s="986"/>
    </row>
    <row r="334" hidden="1">
      <c r="A334" s="995">
        <v>84.0</v>
      </c>
      <c r="B334" s="988">
        <v>44246.0</v>
      </c>
      <c r="C334" s="989" t="s">
        <v>4328</v>
      </c>
      <c r="D334" s="434" t="s">
        <v>309</v>
      </c>
      <c r="E334" s="434" t="s">
        <v>310</v>
      </c>
      <c r="F334" s="990">
        <v>1.8030305E7</v>
      </c>
      <c r="G334" s="434" t="s">
        <v>32</v>
      </c>
      <c r="H334" s="989" t="s">
        <v>4727</v>
      </c>
      <c r="I334" s="989" t="s">
        <v>4728</v>
      </c>
      <c r="J334" s="987"/>
      <c r="K334" s="987"/>
      <c r="L334" s="987"/>
      <c r="M334" s="987"/>
      <c r="N334" s="987"/>
      <c r="O334" s="987"/>
      <c r="P334" s="987"/>
      <c r="Q334" s="987"/>
      <c r="R334" s="987"/>
      <c r="S334" s="987"/>
      <c r="T334" s="987"/>
      <c r="U334" s="436" t="s">
        <v>62</v>
      </c>
      <c r="V334" s="995">
        <v>44389.0</v>
      </c>
      <c r="W334" s="987"/>
      <c r="X334" s="987"/>
      <c r="Y334" s="987"/>
      <c r="Z334" s="987"/>
      <c r="AA334" s="986"/>
    </row>
    <row r="335" hidden="1">
      <c r="A335" s="995">
        <v>85.0</v>
      </c>
      <c r="B335" s="988">
        <v>44256.0</v>
      </c>
      <c r="C335" s="989" t="s">
        <v>4328</v>
      </c>
      <c r="D335" s="434" t="s">
        <v>309</v>
      </c>
      <c r="E335" s="434" t="s">
        <v>310</v>
      </c>
      <c r="F335" s="990">
        <v>1.8030308E7</v>
      </c>
      <c r="G335" s="434" t="s">
        <v>348</v>
      </c>
      <c r="H335" s="989" t="s">
        <v>4729</v>
      </c>
      <c r="I335" s="989" t="s">
        <v>4730</v>
      </c>
      <c r="J335" s="987"/>
      <c r="K335" s="436" t="s">
        <v>4579</v>
      </c>
      <c r="L335" s="436" t="s">
        <v>164</v>
      </c>
      <c r="M335" s="436" t="s">
        <v>4731</v>
      </c>
      <c r="N335" s="987"/>
      <c r="O335" s="987"/>
      <c r="P335" s="987"/>
      <c r="Q335" s="987"/>
      <c r="R335" s="987"/>
      <c r="S335" s="436" t="s">
        <v>174</v>
      </c>
      <c r="T335" s="995">
        <v>44263.0</v>
      </c>
      <c r="U335" s="436" t="s">
        <v>62</v>
      </c>
      <c r="V335" s="995">
        <v>44553.0</v>
      </c>
      <c r="W335" s="987"/>
      <c r="X335" s="987"/>
      <c r="Y335" s="987"/>
      <c r="Z335" s="987"/>
      <c r="AA335" s="986"/>
    </row>
    <row r="336" hidden="1">
      <c r="A336" s="995">
        <v>87.0</v>
      </c>
      <c r="B336" s="996">
        <v>44259.0</v>
      </c>
      <c r="C336" s="984" t="s">
        <v>4621</v>
      </c>
      <c r="D336" s="436" t="s">
        <v>506</v>
      </c>
      <c r="E336" s="436" t="s">
        <v>4072</v>
      </c>
      <c r="F336" s="436" t="s">
        <v>50</v>
      </c>
      <c r="G336" s="436" t="s">
        <v>120</v>
      </c>
      <c r="H336" s="984" t="s">
        <v>4732</v>
      </c>
      <c r="I336" s="997" t="s">
        <v>4733</v>
      </c>
      <c r="J336" s="987"/>
      <c r="K336" s="436" t="s">
        <v>3461</v>
      </c>
      <c r="L336" s="436" t="s">
        <v>4734</v>
      </c>
      <c r="M336" s="987"/>
      <c r="N336" s="987"/>
      <c r="O336" s="987"/>
      <c r="P336" s="987"/>
      <c r="Q336" s="987"/>
      <c r="R336" s="987"/>
      <c r="S336" s="987"/>
      <c r="T336" s="987"/>
      <c r="U336" s="987"/>
      <c r="V336" s="987"/>
      <c r="W336" s="987"/>
      <c r="X336" s="987"/>
      <c r="Y336" s="987"/>
      <c r="Z336" s="987"/>
      <c r="AA336" s="986"/>
    </row>
    <row r="337" hidden="1">
      <c r="A337" s="995">
        <v>88.0</v>
      </c>
      <c r="B337" s="988">
        <v>44260.0</v>
      </c>
      <c r="C337" s="989" t="s">
        <v>4711</v>
      </c>
      <c r="D337" s="434" t="s">
        <v>3942</v>
      </c>
      <c r="E337" s="434" t="s">
        <v>305</v>
      </c>
      <c r="F337" s="434" t="s">
        <v>50</v>
      </c>
      <c r="G337" s="434" t="s">
        <v>200</v>
      </c>
      <c r="H337" s="989" t="s">
        <v>4735</v>
      </c>
      <c r="I337" s="989" t="s">
        <v>4736</v>
      </c>
      <c r="J337" s="987"/>
      <c r="K337" s="987"/>
      <c r="L337" s="987"/>
      <c r="M337" s="987"/>
      <c r="N337" s="987"/>
      <c r="O337" s="987"/>
      <c r="P337" s="987"/>
      <c r="Q337" s="987"/>
      <c r="R337" s="987"/>
      <c r="S337" s="987"/>
      <c r="T337" s="987"/>
      <c r="U337" s="436" t="s">
        <v>62</v>
      </c>
      <c r="V337" s="1009">
        <v>44449.0</v>
      </c>
      <c r="W337" s="987"/>
      <c r="X337" s="987"/>
      <c r="Y337" s="987"/>
      <c r="Z337" s="987"/>
      <c r="AA337" s="986"/>
    </row>
    <row r="338" hidden="1">
      <c r="A338" s="995">
        <v>89.0</v>
      </c>
      <c r="B338" s="996">
        <v>44267.0</v>
      </c>
      <c r="C338" s="984" t="s">
        <v>4737</v>
      </c>
      <c r="D338" s="436" t="s">
        <v>198</v>
      </c>
      <c r="E338" s="436" t="s">
        <v>4117</v>
      </c>
      <c r="F338" s="436" t="s">
        <v>50</v>
      </c>
      <c r="G338" s="984" t="s">
        <v>4662</v>
      </c>
      <c r="H338" s="984" t="s">
        <v>4738</v>
      </c>
      <c r="I338" s="989" t="s">
        <v>4739</v>
      </c>
      <c r="J338" s="987"/>
      <c r="K338" s="987"/>
      <c r="L338" s="987"/>
      <c r="M338" s="987"/>
      <c r="N338" s="987"/>
      <c r="O338" s="987"/>
      <c r="P338" s="987"/>
      <c r="Q338" s="987"/>
      <c r="R338" s="987"/>
      <c r="S338" s="987"/>
      <c r="T338" s="987"/>
      <c r="U338" s="987"/>
      <c r="V338" s="987"/>
      <c r="W338" s="987"/>
      <c r="X338" s="987"/>
      <c r="Y338" s="987"/>
      <c r="Z338" s="987"/>
      <c r="AA338" s="986"/>
    </row>
    <row r="339" hidden="1">
      <c r="A339" s="995">
        <v>90.0</v>
      </c>
      <c r="B339" s="988">
        <v>44270.0</v>
      </c>
      <c r="C339" s="989" t="s">
        <v>4371</v>
      </c>
      <c r="D339" s="434" t="s">
        <v>89</v>
      </c>
      <c r="E339" s="434" t="s">
        <v>269</v>
      </c>
      <c r="F339" s="990">
        <v>1.5830859E7</v>
      </c>
      <c r="G339" s="434" t="s">
        <v>51</v>
      </c>
      <c r="H339" s="989" t="s">
        <v>4740</v>
      </c>
      <c r="I339" s="989" t="s">
        <v>4741</v>
      </c>
      <c r="J339" s="987"/>
      <c r="K339" s="436" t="s">
        <v>4654</v>
      </c>
      <c r="L339" s="436" t="s">
        <v>1297</v>
      </c>
      <c r="M339" s="436" t="s">
        <v>610</v>
      </c>
      <c r="N339" s="987"/>
      <c r="O339" s="436" t="s">
        <v>62</v>
      </c>
      <c r="P339" s="987"/>
      <c r="Q339" s="987"/>
      <c r="R339" s="987"/>
      <c r="S339" s="987"/>
      <c r="T339" s="987"/>
      <c r="U339" s="436" t="s">
        <v>62</v>
      </c>
      <c r="V339" s="995">
        <v>44704.0</v>
      </c>
      <c r="W339" s="987"/>
      <c r="X339" s="987"/>
      <c r="Y339" s="987"/>
      <c r="Z339" s="987"/>
      <c r="AA339" s="986"/>
    </row>
    <row r="340" hidden="1">
      <c r="A340" s="995">
        <v>91.0</v>
      </c>
      <c r="B340" s="988">
        <v>44273.0</v>
      </c>
      <c r="C340" s="989" t="s">
        <v>4742</v>
      </c>
      <c r="D340" s="434" t="s">
        <v>596</v>
      </c>
      <c r="E340" s="434" t="s">
        <v>305</v>
      </c>
      <c r="F340" s="990">
        <v>1.407204E7</v>
      </c>
      <c r="G340" s="434" t="s">
        <v>51</v>
      </c>
      <c r="H340" s="989" t="s">
        <v>4743</v>
      </c>
      <c r="I340" s="989" t="s">
        <v>4744</v>
      </c>
      <c r="J340" s="987"/>
      <c r="K340" s="436" t="s">
        <v>599</v>
      </c>
      <c r="L340" s="436" t="s">
        <v>4745</v>
      </c>
      <c r="M340" s="436" t="s">
        <v>4746</v>
      </c>
      <c r="N340" s="987"/>
      <c r="O340" s="436" t="s">
        <v>62</v>
      </c>
      <c r="P340" s="995">
        <v>44203.0</v>
      </c>
      <c r="Q340" s="987"/>
      <c r="R340" s="987"/>
      <c r="S340" s="987"/>
      <c r="T340" s="987"/>
      <c r="U340" s="436" t="s">
        <v>62</v>
      </c>
      <c r="V340" s="995">
        <v>44959.0</v>
      </c>
      <c r="W340" s="987"/>
      <c r="X340" s="987"/>
      <c r="Y340" s="987"/>
      <c r="Z340" s="987"/>
      <c r="AA340" s="986"/>
    </row>
    <row r="341" hidden="1">
      <c r="A341" s="995">
        <v>92.0</v>
      </c>
      <c r="B341" s="988">
        <v>44273.0</v>
      </c>
      <c r="C341" s="989" t="s">
        <v>4747</v>
      </c>
      <c r="D341" s="434" t="s">
        <v>3326</v>
      </c>
      <c r="E341" s="434" t="s">
        <v>50</v>
      </c>
      <c r="F341" s="990">
        <v>1.3521329E7</v>
      </c>
      <c r="G341" s="434" t="s">
        <v>51</v>
      </c>
      <c r="H341" s="989" t="s">
        <v>4748</v>
      </c>
      <c r="I341" s="989" t="s">
        <v>4749</v>
      </c>
      <c r="J341" s="987"/>
      <c r="K341" s="436" t="s">
        <v>3329</v>
      </c>
      <c r="L341" s="987"/>
      <c r="M341" s="436" t="s">
        <v>4750</v>
      </c>
      <c r="N341" s="987"/>
      <c r="O341" s="436" t="s">
        <v>62</v>
      </c>
      <c r="P341" s="995">
        <v>44515.0</v>
      </c>
      <c r="Q341" s="987"/>
      <c r="R341" s="987"/>
      <c r="S341" s="987"/>
      <c r="T341" s="987"/>
      <c r="U341" s="987"/>
      <c r="V341" s="987"/>
      <c r="W341" s="987"/>
      <c r="X341" s="987"/>
      <c r="Y341" s="987"/>
      <c r="Z341" s="987"/>
      <c r="AA341" s="986"/>
    </row>
    <row r="342" hidden="1">
      <c r="A342" s="995">
        <v>93.0</v>
      </c>
      <c r="B342" s="988">
        <v>44273.0</v>
      </c>
      <c r="C342" s="989" t="s">
        <v>4747</v>
      </c>
      <c r="D342" s="434" t="s">
        <v>3326</v>
      </c>
      <c r="E342" s="434" t="s">
        <v>50</v>
      </c>
      <c r="F342" s="990">
        <v>1.352133E7</v>
      </c>
      <c r="G342" s="434" t="s">
        <v>51</v>
      </c>
      <c r="H342" s="989" t="s">
        <v>4751</v>
      </c>
      <c r="I342" s="989" t="s">
        <v>4752</v>
      </c>
      <c r="J342" s="987"/>
      <c r="K342" s="436" t="s">
        <v>3329</v>
      </c>
      <c r="L342" s="987"/>
      <c r="M342" s="987"/>
      <c r="N342" s="987"/>
      <c r="O342" s="436" t="s">
        <v>62</v>
      </c>
      <c r="P342" s="995">
        <v>44518.0</v>
      </c>
      <c r="Q342" s="987"/>
      <c r="R342" s="987"/>
      <c r="S342" s="987"/>
      <c r="T342" s="987"/>
      <c r="U342" s="436" t="s">
        <v>62</v>
      </c>
      <c r="V342" s="995">
        <v>44518.0</v>
      </c>
      <c r="W342" s="987"/>
      <c r="X342" s="987"/>
      <c r="Y342" s="987"/>
      <c r="Z342" s="987"/>
      <c r="AA342" s="986"/>
    </row>
    <row r="343" hidden="1">
      <c r="A343" s="995">
        <v>95.0</v>
      </c>
      <c r="B343" s="988">
        <v>44280.0</v>
      </c>
      <c r="C343" s="989" t="s">
        <v>4753</v>
      </c>
      <c r="D343" s="434" t="s">
        <v>814</v>
      </c>
      <c r="E343" s="434" t="s">
        <v>559</v>
      </c>
      <c r="F343" s="990">
        <v>1.8020135E7</v>
      </c>
      <c r="G343" s="434" t="s">
        <v>32</v>
      </c>
      <c r="H343" s="989" t="s">
        <v>4754</v>
      </c>
      <c r="I343" s="989" t="s">
        <v>4755</v>
      </c>
      <c r="J343" s="987"/>
      <c r="K343" s="987"/>
      <c r="L343" s="987"/>
      <c r="M343" s="987"/>
      <c r="N343" s="987"/>
      <c r="O343" s="436" t="s">
        <v>62</v>
      </c>
      <c r="P343" s="995">
        <v>44512.0</v>
      </c>
      <c r="Q343" s="987"/>
      <c r="R343" s="987"/>
      <c r="S343" s="987"/>
      <c r="T343" s="987"/>
      <c r="U343" s="987"/>
      <c r="V343" s="987"/>
      <c r="W343" s="987"/>
      <c r="X343" s="987"/>
      <c r="Y343" s="987"/>
      <c r="Z343" s="987"/>
      <c r="AA343" s="986"/>
    </row>
    <row r="344" hidden="1">
      <c r="A344" s="995">
        <v>98.0</v>
      </c>
      <c r="B344" s="996">
        <v>44292.0</v>
      </c>
      <c r="C344" s="984" t="s">
        <v>4756</v>
      </c>
      <c r="D344" s="436" t="s">
        <v>411</v>
      </c>
      <c r="E344" s="436" t="s">
        <v>3802</v>
      </c>
      <c r="F344" s="995">
        <v>1.7140352E7</v>
      </c>
      <c r="G344" s="436" t="s">
        <v>348</v>
      </c>
      <c r="H344" s="984" t="s">
        <v>4757</v>
      </c>
      <c r="I344" s="989" t="s">
        <v>4758</v>
      </c>
      <c r="J344" s="987"/>
      <c r="K344" s="987"/>
      <c r="L344" s="987"/>
      <c r="M344" s="987"/>
      <c r="N344" s="987"/>
      <c r="O344" s="987"/>
      <c r="P344" s="987"/>
      <c r="Q344" s="987"/>
      <c r="R344" s="987"/>
      <c r="S344" s="987"/>
      <c r="T344" s="987"/>
      <c r="U344" s="987"/>
      <c r="V344" s="987"/>
      <c r="W344" s="987"/>
      <c r="X344" s="987"/>
      <c r="Y344" s="987"/>
      <c r="Z344" s="987"/>
      <c r="AA344" s="986"/>
    </row>
    <row r="345" hidden="1">
      <c r="A345" s="995">
        <v>99.0</v>
      </c>
      <c r="B345" s="988">
        <v>44295.0</v>
      </c>
      <c r="C345" s="989" t="s">
        <v>4461</v>
      </c>
      <c r="D345" s="434" t="s">
        <v>506</v>
      </c>
      <c r="E345" s="434" t="s">
        <v>305</v>
      </c>
      <c r="F345" s="434" t="s">
        <v>4067</v>
      </c>
      <c r="G345" s="434" t="s">
        <v>120</v>
      </c>
      <c r="H345" s="989" t="s">
        <v>4464</v>
      </c>
      <c r="I345" s="989" t="s">
        <v>4759</v>
      </c>
      <c r="J345" s="987"/>
      <c r="K345" s="436" t="s">
        <v>3079</v>
      </c>
      <c r="L345" s="436" t="s">
        <v>3190</v>
      </c>
      <c r="M345" s="436" t="s">
        <v>3191</v>
      </c>
      <c r="N345" s="987"/>
      <c r="O345" s="987"/>
      <c r="P345" s="987"/>
      <c r="Q345" s="987"/>
      <c r="R345" s="987"/>
      <c r="S345" s="436" t="s">
        <v>62</v>
      </c>
      <c r="T345" s="995">
        <v>44510.0</v>
      </c>
      <c r="U345" s="987"/>
      <c r="V345" s="987"/>
      <c r="W345" s="987"/>
      <c r="X345" s="987"/>
      <c r="Y345" s="987"/>
      <c r="Z345" s="987"/>
      <c r="AA345" s="986"/>
    </row>
    <row r="346" hidden="1">
      <c r="A346" s="995">
        <v>100.0</v>
      </c>
      <c r="B346" s="988">
        <v>44298.0</v>
      </c>
      <c r="C346" s="989" t="s">
        <v>4312</v>
      </c>
      <c r="D346" s="434" t="s">
        <v>1005</v>
      </c>
      <c r="E346" s="434" t="s">
        <v>4760</v>
      </c>
      <c r="F346" s="434" t="s">
        <v>50</v>
      </c>
      <c r="G346" s="434" t="s">
        <v>32</v>
      </c>
      <c r="H346" s="989" t="s">
        <v>4761</v>
      </c>
      <c r="I346" s="993" t="s">
        <v>4762</v>
      </c>
      <c r="J346" s="987"/>
      <c r="K346" s="987"/>
      <c r="L346" s="987"/>
      <c r="M346" s="987"/>
      <c r="N346" s="987"/>
      <c r="O346" s="987"/>
      <c r="P346" s="987"/>
      <c r="Q346" s="987"/>
      <c r="R346" s="987"/>
      <c r="S346" s="987"/>
      <c r="T346" s="987"/>
      <c r="U346" s="987"/>
      <c r="V346" s="987"/>
      <c r="W346" s="987"/>
      <c r="X346" s="987"/>
      <c r="Y346" s="987"/>
      <c r="Z346" s="987"/>
      <c r="AA346" s="986"/>
    </row>
    <row r="347" hidden="1">
      <c r="A347" s="995">
        <v>101.0</v>
      </c>
      <c r="B347" s="988">
        <v>44300.0</v>
      </c>
      <c r="C347" s="989" t="s">
        <v>4763</v>
      </c>
      <c r="D347" s="434" t="s">
        <v>367</v>
      </c>
      <c r="E347" s="434" t="s">
        <v>305</v>
      </c>
      <c r="F347" s="434" t="s">
        <v>50</v>
      </c>
      <c r="G347" s="434" t="s">
        <v>120</v>
      </c>
      <c r="H347" s="989" t="s">
        <v>4764</v>
      </c>
      <c r="I347" s="989" t="s">
        <v>4765</v>
      </c>
      <c r="J347" s="987"/>
      <c r="K347" s="436" t="s">
        <v>123</v>
      </c>
      <c r="L347" s="436" t="s">
        <v>659</v>
      </c>
      <c r="M347" s="987"/>
      <c r="N347" s="987"/>
      <c r="O347" s="987"/>
      <c r="P347" s="987"/>
      <c r="Q347" s="987"/>
      <c r="R347" s="987"/>
      <c r="S347" s="987"/>
      <c r="T347" s="987"/>
      <c r="U347" s="987"/>
      <c r="V347" s="987"/>
      <c r="W347" s="987"/>
      <c r="X347" s="987"/>
      <c r="Y347" s="987"/>
      <c r="Z347" s="987"/>
      <c r="AA347" s="986"/>
    </row>
    <row r="348" hidden="1">
      <c r="A348" s="995">
        <v>102.0</v>
      </c>
      <c r="B348" s="988">
        <v>44301.0</v>
      </c>
      <c r="C348" s="989" t="s">
        <v>4753</v>
      </c>
      <c r="D348" s="434" t="s">
        <v>814</v>
      </c>
      <c r="E348" s="434" t="s">
        <v>559</v>
      </c>
      <c r="F348" s="990">
        <v>1.8020142E7</v>
      </c>
      <c r="G348" s="434" t="s">
        <v>32</v>
      </c>
      <c r="H348" s="989" t="s">
        <v>4766</v>
      </c>
      <c r="I348" s="989" t="s">
        <v>4767</v>
      </c>
      <c r="J348" s="987"/>
      <c r="K348" s="436" t="s">
        <v>817</v>
      </c>
      <c r="L348" s="987"/>
      <c r="M348" s="987"/>
      <c r="N348" s="987"/>
      <c r="O348" s="436" t="s">
        <v>62</v>
      </c>
      <c r="P348" s="995">
        <v>44504.0</v>
      </c>
      <c r="Q348" s="987"/>
      <c r="R348" s="987"/>
      <c r="S348" s="987"/>
      <c r="T348" s="987"/>
      <c r="U348" s="436" t="s">
        <v>62</v>
      </c>
      <c r="V348" s="995">
        <v>44508.0</v>
      </c>
      <c r="W348" s="987"/>
      <c r="X348" s="987"/>
      <c r="Y348" s="987"/>
      <c r="Z348" s="987"/>
      <c r="AA348" s="986"/>
    </row>
    <row r="349" hidden="1">
      <c r="A349" s="995">
        <v>103.0</v>
      </c>
      <c r="B349" s="996">
        <v>44302.0</v>
      </c>
      <c r="C349" s="984" t="s">
        <v>4768</v>
      </c>
      <c r="D349" s="436" t="s">
        <v>3326</v>
      </c>
      <c r="E349" s="436" t="s">
        <v>305</v>
      </c>
      <c r="F349" s="995">
        <v>1.352134E7</v>
      </c>
      <c r="G349" s="436" t="s">
        <v>51</v>
      </c>
      <c r="H349" s="984" t="s">
        <v>4769</v>
      </c>
      <c r="I349" s="997" t="s">
        <v>4770</v>
      </c>
      <c r="J349" s="987"/>
      <c r="K349" s="436" t="s">
        <v>4725</v>
      </c>
      <c r="L349" s="436" t="s">
        <v>3121</v>
      </c>
      <c r="M349" s="436" t="s">
        <v>4726</v>
      </c>
      <c r="N349" s="987"/>
      <c r="O349" s="987"/>
      <c r="P349" s="987"/>
      <c r="Q349" s="987"/>
      <c r="R349" s="987"/>
      <c r="S349" s="436" t="s">
        <v>150</v>
      </c>
      <c r="T349" s="995">
        <v>44337.0</v>
      </c>
      <c r="U349" s="987"/>
      <c r="V349" s="987"/>
      <c r="W349" s="436" t="s">
        <v>150</v>
      </c>
      <c r="X349" s="987"/>
      <c r="Y349" s="987"/>
      <c r="Z349" s="987"/>
      <c r="AA349" s="986"/>
    </row>
    <row r="350" hidden="1">
      <c r="A350" s="995">
        <v>105.0</v>
      </c>
      <c r="B350" s="996">
        <v>44322.0</v>
      </c>
      <c r="C350" s="984" t="s">
        <v>4771</v>
      </c>
      <c r="D350" s="436" t="s">
        <v>1394</v>
      </c>
      <c r="E350" s="436" t="s">
        <v>305</v>
      </c>
      <c r="F350" s="995">
        <v>1.817003E7</v>
      </c>
      <c r="G350" s="984" t="s">
        <v>4662</v>
      </c>
      <c r="H350" s="998" t="str">
        <f>+3.3V ショート</f>
        <v>#ERROR!</v>
      </c>
      <c r="I350" s="997" t="s">
        <v>4772</v>
      </c>
      <c r="J350" s="987"/>
      <c r="K350" s="987"/>
      <c r="L350" s="987"/>
      <c r="M350" s="987"/>
      <c r="N350" s="987"/>
      <c r="O350" s="987"/>
      <c r="P350" s="987"/>
      <c r="Q350" s="987"/>
      <c r="R350" s="987"/>
      <c r="S350" s="987"/>
      <c r="T350" s="987"/>
      <c r="U350" s="987"/>
      <c r="V350" s="987"/>
      <c r="W350" s="987"/>
      <c r="X350" s="987"/>
      <c r="Y350" s="987"/>
      <c r="Z350" s="987"/>
      <c r="AA350" s="986"/>
    </row>
    <row r="351" hidden="1">
      <c r="A351" s="995">
        <v>107.0</v>
      </c>
      <c r="B351" s="988">
        <v>44333.0</v>
      </c>
      <c r="C351" s="989" t="s">
        <v>4461</v>
      </c>
      <c r="D351" s="434" t="s">
        <v>506</v>
      </c>
      <c r="E351" s="434" t="s">
        <v>305</v>
      </c>
      <c r="F351" s="990">
        <v>1.7241841E7</v>
      </c>
      <c r="G351" s="434" t="s">
        <v>120</v>
      </c>
      <c r="H351" s="989" t="s">
        <v>4773</v>
      </c>
      <c r="I351" s="989" t="s">
        <v>4774</v>
      </c>
      <c r="J351" s="987"/>
      <c r="K351" s="436" t="s">
        <v>3079</v>
      </c>
      <c r="L351" s="436" t="s">
        <v>3190</v>
      </c>
      <c r="M351" s="436" t="s">
        <v>3191</v>
      </c>
      <c r="N351" s="987"/>
      <c r="O351" s="987"/>
      <c r="P351" s="987"/>
      <c r="Q351" s="987"/>
      <c r="R351" s="987"/>
      <c r="S351" s="436" t="s">
        <v>62</v>
      </c>
      <c r="T351" s="995">
        <v>44510.0</v>
      </c>
      <c r="U351" s="987"/>
      <c r="V351" s="987"/>
      <c r="W351" s="987"/>
      <c r="X351" s="987"/>
      <c r="Y351" s="987"/>
      <c r="Z351" s="987"/>
      <c r="AA351" s="986"/>
    </row>
    <row r="352" hidden="1">
      <c r="A352" s="995">
        <v>108.0</v>
      </c>
      <c r="B352" s="988">
        <v>44330.0</v>
      </c>
      <c r="C352" s="989" t="s">
        <v>4461</v>
      </c>
      <c r="D352" s="434" t="s">
        <v>506</v>
      </c>
      <c r="E352" s="434" t="s">
        <v>305</v>
      </c>
      <c r="F352" s="990">
        <v>1.7241835E7</v>
      </c>
      <c r="G352" s="434" t="s">
        <v>120</v>
      </c>
      <c r="H352" s="989" t="s">
        <v>4775</v>
      </c>
      <c r="I352" s="989" t="s">
        <v>4776</v>
      </c>
      <c r="J352" s="987"/>
      <c r="K352" s="436" t="s">
        <v>3079</v>
      </c>
      <c r="L352" s="436" t="s">
        <v>3190</v>
      </c>
      <c r="M352" s="436" t="s">
        <v>3191</v>
      </c>
      <c r="N352" s="987"/>
      <c r="O352" s="987"/>
      <c r="P352" s="987"/>
      <c r="Q352" s="987"/>
      <c r="R352" s="987"/>
      <c r="S352" s="436" t="s">
        <v>62</v>
      </c>
      <c r="T352" s="995">
        <v>44510.0</v>
      </c>
      <c r="U352" s="987"/>
      <c r="V352" s="987"/>
      <c r="W352" s="987"/>
      <c r="X352" s="987"/>
      <c r="Y352" s="987"/>
      <c r="Z352" s="987"/>
      <c r="AA352" s="986"/>
    </row>
    <row r="353" hidden="1">
      <c r="A353" s="995">
        <v>109.0</v>
      </c>
      <c r="B353" s="996">
        <v>44334.0</v>
      </c>
      <c r="C353" s="984" t="s">
        <v>4461</v>
      </c>
      <c r="D353" s="436" t="s">
        <v>506</v>
      </c>
      <c r="E353" s="436" t="s">
        <v>305</v>
      </c>
      <c r="F353" s="995">
        <v>1.7241856E7</v>
      </c>
      <c r="G353" s="436" t="s">
        <v>120</v>
      </c>
      <c r="H353" s="984" t="s">
        <v>4777</v>
      </c>
      <c r="I353" s="997" t="s">
        <v>4778</v>
      </c>
      <c r="J353" s="987"/>
      <c r="K353" s="436" t="s">
        <v>3079</v>
      </c>
      <c r="L353" s="436" t="s">
        <v>3190</v>
      </c>
      <c r="M353" s="436" t="s">
        <v>3191</v>
      </c>
      <c r="N353" s="987"/>
      <c r="O353" s="987"/>
      <c r="P353" s="987"/>
      <c r="Q353" s="987"/>
      <c r="R353" s="987"/>
      <c r="S353" s="987"/>
      <c r="T353" s="987"/>
      <c r="U353" s="987"/>
      <c r="V353" s="987"/>
      <c r="W353" s="987"/>
      <c r="X353" s="987"/>
      <c r="Y353" s="987"/>
      <c r="Z353" s="987"/>
      <c r="AA353" s="986"/>
    </row>
    <row r="354" hidden="1">
      <c r="A354" s="995">
        <v>110.0</v>
      </c>
      <c r="B354" s="988">
        <v>44334.0</v>
      </c>
      <c r="C354" s="989" t="s">
        <v>4461</v>
      </c>
      <c r="D354" s="434" t="s">
        <v>506</v>
      </c>
      <c r="E354" s="434" t="s">
        <v>4072</v>
      </c>
      <c r="F354" s="434" t="s">
        <v>50</v>
      </c>
      <c r="G354" s="434" t="s">
        <v>120</v>
      </c>
      <c r="H354" s="989" t="s">
        <v>4779</v>
      </c>
      <c r="I354" s="989" t="s">
        <v>4780</v>
      </c>
      <c r="J354" s="987"/>
      <c r="K354" s="436" t="s">
        <v>3461</v>
      </c>
      <c r="L354" s="436" t="s">
        <v>4781</v>
      </c>
      <c r="M354" s="987"/>
      <c r="N354" s="987"/>
      <c r="O354" s="987"/>
      <c r="P354" s="987"/>
      <c r="Q354" s="987"/>
      <c r="R354" s="987"/>
      <c r="S354" s="987"/>
      <c r="T354" s="987"/>
      <c r="U354" s="987"/>
      <c r="V354" s="987"/>
      <c r="W354" s="987"/>
      <c r="X354" s="987"/>
      <c r="Y354" s="987"/>
      <c r="Z354" s="987"/>
      <c r="AA354" s="986"/>
    </row>
    <row r="355" hidden="1">
      <c r="A355" s="995">
        <v>111.0</v>
      </c>
      <c r="B355" s="988">
        <v>44335.0</v>
      </c>
      <c r="C355" s="989" t="s">
        <v>4782</v>
      </c>
      <c r="D355" s="434" t="s">
        <v>2035</v>
      </c>
      <c r="E355" s="434" t="s">
        <v>269</v>
      </c>
      <c r="F355" s="990">
        <v>1.6600539E7</v>
      </c>
      <c r="G355" s="434" t="s">
        <v>51</v>
      </c>
      <c r="H355" s="989" t="s">
        <v>4783</v>
      </c>
      <c r="I355" s="989" t="s">
        <v>4784</v>
      </c>
      <c r="J355" s="987"/>
      <c r="K355" s="436" t="s">
        <v>2038</v>
      </c>
      <c r="L355" s="436" t="s">
        <v>1297</v>
      </c>
      <c r="M355" s="436" t="s">
        <v>610</v>
      </c>
      <c r="N355" s="987"/>
      <c r="O355" s="987"/>
      <c r="P355" s="987"/>
      <c r="Q355" s="987"/>
      <c r="R355" s="987"/>
      <c r="S355" s="436" t="s">
        <v>62</v>
      </c>
      <c r="T355" s="995">
        <v>44407.0</v>
      </c>
      <c r="U355" s="987"/>
      <c r="V355" s="995">
        <v>44441.0</v>
      </c>
      <c r="W355" s="987"/>
      <c r="X355" s="987"/>
      <c r="Y355" s="987"/>
      <c r="Z355" s="987"/>
      <c r="AA355" s="986"/>
    </row>
    <row r="356" hidden="1">
      <c r="A356" s="995">
        <v>112.0</v>
      </c>
      <c r="B356" s="988">
        <v>44335.0</v>
      </c>
      <c r="C356" s="989" t="s">
        <v>4782</v>
      </c>
      <c r="D356" s="434" t="s">
        <v>2035</v>
      </c>
      <c r="E356" s="434" t="s">
        <v>269</v>
      </c>
      <c r="F356" s="990">
        <v>1.660054E7</v>
      </c>
      <c r="G356" s="434" t="s">
        <v>51</v>
      </c>
      <c r="H356" s="989" t="s">
        <v>4785</v>
      </c>
      <c r="I356" s="993" t="s">
        <v>4786</v>
      </c>
      <c r="J356" s="987"/>
      <c r="K356" s="436" t="s">
        <v>2038</v>
      </c>
      <c r="L356" s="436" t="s">
        <v>1557</v>
      </c>
      <c r="M356" s="436" t="s">
        <v>610</v>
      </c>
      <c r="N356" s="987"/>
      <c r="O356" s="987"/>
      <c r="P356" s="987"/>
      <c r="Q356" s="987"/>
      <c r="R356" s="987"/>
      <c r="S356" s="436" t="s">
        <v>150</v>
      </c>
      <c r="T356" s="995">
        <v>44407.0</v>
      </c>
      <c r="U356" s="987"/>
      <c r="V356" s="987"/>
      <c r="W356" s="987"/>
      <c r="X356" s="987"/>
      <c r="Y356" s="987"/>
      <c r="Z356" s="987"/>
      <c r="AA356" s="986"/>
    </row>
    <row r="357" hidden="1">
      <c r="A357" s="995">
        <v>114.0</v>
      </c>
      <c r="B357" s="988">
        <v>44336.0</v>
      </c>
      <c r="C357" s="989" t="s">
        <v>4787</v>
      </c>
      <c r="D357" s="434" t="s">
        <v>530</v>
      </c>
      <c r="E357" s="434" t="s">
        <v>50</v>
      </c>
      <c r="F357" s="990">
        <v>1.3730696E7</v>
      </c>
      <c r="G357" s="434" t="s">
        <v>51</v>
      </c>
      <c r="H357" s="989" t="s">
        <v>4788</v>
      </c>
      <c r="I357" s="989" t="s">
        <v>4789</v>
      </c>
      <c r="J357" s="987"/>
      <c r="K357" s="987"/>
      <c r="L357" s="987"/>
      <c r="M357" s="987"/>
      <c r="N357" s="987"/>
      <c r="O357" s="987"/>
      <c r="P357" s="987"/>
      <c r="Q357" s="987"/>
      <c r="R357" s="987"/>
      <c r="S357" s="987"/>
      <c r="T357" s="987"/>
      <c r="U357" s="987"/>
      <c r="V357" s="987"/>
      <c r="W357" s="987"/>
      <c r="X357" s="987"/>
      <c r="Y357" s="987"/>
      <c r="Z357" s="987"/>
      <c r="AA357" s="986"/>
    </row>
    <row r="358" hidden="1">
      <c r="A358" s="995">
        <v>115.0</v>
      </c>
      <c r="B358" s="988">
        <v>44347.0</v>
      </c>
      <c r="C358" s="989" t="s">
        <v>4782</v>
      </c>
      <c r="D358" s="434" t="s">
        <v>2035</v>
      </c>
      <c r="E358" s="434" t="s">
        <v>269</v>
      </c>
      <c r="F358" s="990">
        <v>1.6600564E7</v>
      </c>
      <c r="G358" s="434" t="s">
        <v>51</v>
      </c>
      <c r="H358" s="989" t="s">
        <v>4790</v>
      </c>
      <c r="I358" s="989" t="s">
        <v>4791</v>
      </c>
      <c r="J358" s="987"/>
      <c r="K358" s="436" t="s">
        <v>2038</v>
      </c>
      <c r="L358" s="436" t="s">
        <v>1297</v>
      </c>
      <c r="M358" s="436" t="s">
        <v>610</v>
      </c>
      <c r="N358" s="984" t="s">
        <v>4792</v>
      </c>
      <c r="O358" s="987"/>
      <c r="P358" s="987"/>
      <c r="Q358" s="987"/>
      <c r="R358" s="987"/>
      <c r="S358" s="436" t="s">
        <v>62</v>
      </c>
      <c r="T358" s="995">
        <v>44407.0</v>
      </c>
      <c r="U358" s="436" t="s">
        <v>62</v>
      </c>
      <c r="V358" s="995">
        <v>44531.0</v>
      </c>
      <c r="W358" s="987"/>
      <c r="X358" s="987"/>
      <c r="Y358" s="987"/>
      <c r="Z358" s="987"/>
      <c r="AA358" s="986"/>
    </row>
    <row r="359" hidden="1">
      <c r="A359" s="995">
        <v>117.0</v>
      </c>
      <c r="B359" s="996">
        <v>44356.0</v>
      </c>
      <c r="C359" s="984" t="s">
        <v>4793</v>
      </c>
      <c r="D359" s="436" t="s">
        <v>530</v>
      </c>
      <c r="E359" s="436" t="s">
        <v>4794</v>
      </c>
      <c r="F359" s="436" t="s">
        <v>4795</v>
      </c>
      <c r="G359" s="984" t="s">
        <v>4796</v>
      </c>
      <c r="H359" s="984" t="s">
        <v>4650</v>
      </c>
      <c r="I359" s="997" t="s">
        <v>4797</v>
      </c>
      <c r="J359" s="987"/>
      <c r="K359" s="987"/>
      <c r="L359" s="987"/>
      <c r="M359" s="987"/>
      <c r="N359" s="987"/>
      <c r="O359" s="987"/>
      <c r="P359" s="987"/>
      <c r="Q359" s="987"/>
      <c r="R359" s="987"/>
      <c r="S359" s="987"/>
      <c r="T359" s="987"/>
      <c r="U359" s="987"/>
      <c r="V359" s="987"/>
      <c r="W359" s="987"/>
      <c r="X359" s="987"/>
      <c r="Y359" s="987"/>
      <c r="Z359" s="987"/>
      <c r="AA359" s="986"/>
    </row>
    <row r="360" hidden="1">
      <c r="A360" s="995">
        <v>118.0</v>
      </c>
      <c r="B360" s="996">
        <v>44356.0</v>
      </c>
      <c r="C360" s="984" t="s">
        <v>4793</v>
      </c>
      <c r="D360" s="436" t="s">
        <v>530</v>
      </c>
      <c r="E360" s="436" t="s">
        <v>4794</v>
      </c>
      <c r="F360" s="436" t="s">
        <v>4798</v>
      </c>
      <c r="G360" s="984" t="s">
        <v>4796</v>
      </c>
      <c r="H360" s="984" t="s">
        <v>4650</v>
      </c>
      <c r="I360" s="997" t="s">
        <v>4797</v>
      </c>
      <c r="J360" s="987"/>
      <c r="K360" s="987"/>
      <c r="L360" s="987"/>
      <c r="M360" s="987"/>
      <c r="N360" s="987"/>
      <c r="O360" s="987"/>
      <c r="P360" s="987"/>
      <c r="Q360" s="987"/>
      <c r="R360" s="987"/>
      <c r="S360" s="987"/>
      <c r="T360" s="987"/>
      <c r="U360" s="987"/>
      <c r="V360" s="987"/>
      <c r="W360" s="987"/>
      <c r="X360" s="987"/>
      <c r="Y360" s="987"/>
      <c r="Z360" s="987"/>
      <c r="AA360" s="986"/>
    </row>
    <row r="361" hidden="1">
      <c r="A361" s="995">
        <v>119.0</v>
      </c>
      <c r="B361" s="988">
        <v>44356.0</v>
      </c>
      <c r="C361" s="989" t="s">
        <v>4799</v>
      </c>
      <c r="D361" s="434" t="s">
        <v>73</v>
      </c>
      <c r="E361" s="434" t="s">
        <v>305</v>
      </c>
      <c r="F361" s="434" t="s">
        <v>50</v>
      </c>
      <c r="G361" s="989" t="s">
        <v>4796</v>
      </c>
      <c r="H361" s="994"/>
      <c r="I361" s="989" t="s">
        <v>4800</v>
      </c>
      <c r="J361" s="987"/>
      <c r="K361" s="987"/>
      <c r="L361" s="987"/>
      <c r="M361" s="987"/>
      <c r="N361" s="987"/>
      <c r="O361" s="987"/>
      <c r="P361" s="987"/>
      <c r="Q361" s="987"/>
      <c r="R361" s="987"/>
      <c r="S361" s="987"/>
      <c r="T361" s="987"/>
      <c r="U361" s="436" t="s">
        <v>62</v>
      </c>
      <c r="V361" s="995">
        <v>44504.0</v>
      </c>
      <c r="W361" s="987"/>
      <c r="X361" s="987"/>
      <c r="Y361" s="987"/>
      <c r="Z361" s="987"/>
      <c r="AA361" s="986"/>
    </row>
    <row r="362" hidden="1">
      <c r="A362" s="995">
        <v>121.0</v>
      </c>
      <c r="B362" s="988">
        <v>44357.0</v>
      </c>
      <c r="C362" s="989" t="s">
        <v>4801</v>
      </c>
      <c r="D362" s="434" t="s">
        <v>4028</v>
      </c>
      <c r="E362" s="434" t="s">
        <v>305</v>
      </c>
      <c r="F362" s="990">
        <v>1.5191719E7</v>
      </c>
      <c r="G362" s="434" t="s">
        <v>103</v>
      </c>
      <c r="H362" s="989" t="s">
        <v>4802</v>
      </c>
      <c r="I362" s="989" t="s">
        <v>4803</v>
      </c>
      <c r="J362" s="987"/>
      <c r="K362" s="987"/>
      <c r="L362" s="987"/>
      <c r="M362" s="987"/>
      <c r="N362" s="987"/>
      <c r="O362" s="987"/>
      <c r="P362" s="987"/>
      <c r="Q362" s="987"/>
      <c r="R362" s="987"/>
      <c r="S362" s="987"/>
      <c r="T362" s="987"/>
      <c r="U362" s="436" t="s">
        <v>62</v>
      </c>
      <c r="V362" s="995">
        <v>44623.0</v>
      </c>
      <c r="W362" s="987"/>
      <c r="X362" s="987"/>
      <c r="Y362" s="987"/>
      <c r="Z362" s="987"/>
      <c r="AA362" s="986"/>
    </row>
    <row r="363" hidden="1">
      <c r="A363" s="995">
        <v>122.0</v>
      </c>
      <c r="B363" s="988">
        <v>44364.0</v>
      </c>
      <c r="C363" s="989" t="s">
        <v>4747</v>
      </c>
      <c r="D363" s="434" t="s">
        <v>3326</v>
      </c>
      <c r="E363" s="434" t="s">
        <v>4117</v>
      </c>
      <c r="F363" s="990">
        <v>1.3521341E7</v>
      </c>
      <c r="G363" s="434" t="s">
        <v>51</v>
      </c>
      <c r="H363" s="989" t="s">
        <v>4804</v>
      </c>
      <c r="I363" s="989" t="s">
        <v>4805</v>
      </c>
      <c r="J363" s="987"/>
      <c r="K363" s="436" t="s">
        <v>3329</v>
      </c>
      <c r="L363" s="436" t="s">
        <v>3133</v>
      </c>
      <c r="M363" s="436" t="s">
        <v>4806</v>
      </c>
      <c r="N363" s="984" t="s">
        <v>4807</v>
      </c>
      <c r="O363" s="436" t="s">
        <v>62</v>
      </c>
      <c r="P363" s="995">
        <v>44518.0</v>
      </c>
      <c r="Q363" s="987"/>
      <c r="R363" s="987"/>
      <c r="S363" s="987"/>
      <c r="T363" s="987"/>
      <c r="U363" s="436" t="s">
        <v>62</v>
      </c>
      <c r="V363" s="995">
        <v>44518.0</v>
      </c>
      <c r="W363" s="987"/>
      <c r="X363" s="987"/>
      <c r="Y363" s="987"/>
      <c r="Z363" s="987"/>
      <c r="AA363" s="986"/>
    </row>
    <row r="364" hidden="1">
      <c r="A364" s="995">
        <v>123.0</v>
      </c>
      <c r="B364" s="988">
        <v>44364.0</v>
      </c>
      <c r="C364" s="989" t="s">
        <v>4747</v>
      </c>
      <c r="D364" s="434" t="s">
        <v>3326</v>
      </c>
      <c r="E364" s="434" t="s">
        <v>4117</v>
      </c>
      <c r="F364" s="990">
        <v>1.3521343E7</v>
      </c>
      <c r="G364" s="434" t="s">
        <v>51</v>
      </c>
      <c r="H364" s="989" t="s">
        <v>4804</v>
      </c>
      <c r="I364" s="989" t="s">
        <v>4808</v>
      </c>
      <c r="J364" s="987"/>
      <c r="K364" s="436" t="s">
        <v>3329</v>
      </c>
      <c r="L364" s="436" t="s">
        <v>3133</v>
      </c>
      <c r="M364" s="436" t="s">
        <v>4806</v>
      </c>
      <c r="N364" s="984" t="s">
        <v>4807</v>
      </c>
      <c r="O364" s="436" t="s">
        <v>62</v>
      </c>
      <c r="P364" s="995">
        <v>44515.0</v>
      </c>
      <c r="Q364" s="987"/>
      <c r="R364" s="987"/>
      <c r="S364" s="987"/>
      <c r="T364" s="987"/>
      <c r="U364" s="987"/>
      <c r="V364" s="987"/>
      <c r="W364" s="987"/>
      <c r="X364" s="987"/>
      <c r="Y364" s="987"/>
      <c r="Z364" s="987"/>
      <c r="AA364" s="986"/>
    </row>
    <row r="365" hidden="1">
      <c r="A365" s="995">
        <v>124.0</v>
      </c>
      <c r="B365" s="988">
        <v>44369.0</v>
      </c>
      <c r="C365" s="989" t="s">
        <v>3300</v>
      </c>
      <c r="D365" s="434" t="s">
        <v>3885</v>
      </c>
      <c r="E365" s="434" t="s">
        <v>269</v>
      </c>
      <c r="F365" s="990">
        <v>1.6880169E7</v>
      </c>
      <c r="G365" s="434" t="s">
        <v>51</v>
      </c>
      <c r="H365" s="989" t="s">
        <v>4809</v>
      </c>
      <c r="I365" s="989" t="s">
        <v>4810</v>
      </c>
      <c r="J365" s="987"/>
      <c r="K365" s="987"/>
      <c r="L365" s="987"/>
      <c r="M365" s="987"/>
      <c r="N365" s="987"/>
      <c r="O365" s="987"/>
      <c r="P365" s="987"/>
      <c r="Q365" s="987"/>
      <c r="R365" s="987"/>
      <c r="S365" s="987"/>
      <c r="T365" s="987"/>
      <c r="U365" s="987"/>
      <c r="V365" s="987"/>
      <c r="W365" s="987"/>
      <c r="X365" s="987"/>
      <c r="Y365" s="987"/>
      <c r="Z365" s="987"/>
      <c r="AA365" s="986"/>
    </row>
    <row r="366" hidden="1">
      <c r="A366" s="995">
        <v>126.0</v>
      </c>
      <c r="B366" s="988">
        <v>44370.0</v>
      </c>
      <c r="C366" s="989" t="s">
        <v>4811</v>
      </c>
      <c r="D366" s="434" t="s">
        <v>499</v>
      </c>
      <c r="E366" s="434" t="s">
        <v>4812</v>
      </c>
      <c r="F366" s="434" t="s">
        <v>50</v>
      </c>
      <c r="G366" s="434" t="s">
        <v>103</v>
      </c>
      <c r="H366" s="989" t="s">
        <v>4813</v>
      </c>
      <c r="I366" s="989" t="s">
        <v>4814</v>
      </c>
      <c r="J366" s="987"/>
      <c r="K366" s="987"/>
      <c r="L366" s="987"/>
      <c r="M366" s="987"/>
      <c r="N366" s="987"/>
      <c r="O366" s="987"/>
      <c r="P366" s="987"/>
      <c r="Q366" s="987"/>
      <c r="R366" s="987"/>
      <c r="S366" s="987"/>
      <c r="T366" s="987"/>
      <c r="U366" s="987"/>
      <c r="V366" s="987"/>
      <c r="W366" s="987"/>
      <c r="X366" s="987"/>
      <c r="Y366" s="987"/>
      <c r="Z366" s="987"/>
      <c r="AA366" s="986"/>
    </row>
    <row r="367" hidden="1">
      <c r="A367" s="995">
        <v>127.0</v>
      </c>
      <c r="B367" s="988">
        <v>44370.0</v>
      </c>
      <c r="C367" s="989" t="s">
        <v>3996</v>
      </c>
      <c r="D367" s="434" t="s">
        <v>3885</v>
      </c>
      <c r="E367" s="434" t="s">
        <v>269</v>
      </c>
      <c r="F367" s="990">
        <v>1.6880232E7</v>
      </c>
      <c r="G367" s="434" t="s">
        <v>51</v>
      </c>
      <c r="H367" s="989" t="s">
        <v>4815</v>
      </c>
      <c r="I367" s="989" t="s">
        <v>4816</v>
      </c>
      <c r="J367" s="987"/>
      <c r="K367" s="436" t="s">
        <v>4654</v>
      </c>
      <c r="L367" s="436" t="s">
        <v>4817</v>
      </c>
      <c r="M367" s="436" t="s">
        <v>4818</v>
      </c>
      <c r="N367" s="987"/>
      <c r="O367" s="987"/>
      <c r="P367" s="987"/>
      <c r="Q367" s="987"/>
      <c r="R367" s="987"/>
      <c r="S367" s="436" t="s">
        <v>62</v>
      </c>
      <c r="T367" s="995">
        <v>44398.0</v>
      </c>
      <c r="U367" s="436" t="s">
        <v>62</v>
      </c>
      <c r="V367" s="995">
        <v>45001.0</v>
      </c>
      <c r="W367" s="987"/>
      <c r="X367" s="987"/>
      <c r="Y367" s="987"/>
      <c r="Z367" s="987"/>
      <c r="AA367" s="986"/>
    </row>
    <row r="368" hidden="1">
      <c r="A368" s="995">
        <v>128.0</v>
      </c>
      <c r="B368" s="996">
        <v>44377.0</v>
      </c>
      <c r="C368" s="984" t="s">
        <v>4819</v>
      </c>
      <c r="D368" s="436" t="s">
        <v>814</v>
      </c>
      <c r="E368" s="436" t="s">
        <v>559</v>
      </c>
      <c r="F368" s="995">
        <v>1.8020154E7</v>
      </c>
      <c r="G368" s="436" t="s">
        <v>32</v>
      </c>
      <c r="H368" s="984" t="s">
        <v>4820</v>
      </c>
      <c r="I368" s="997" t="s">
        <v>4821</v>
      </c>
      <c r="J368" s="987"/>
      <c r="K368" s="436" t="s">
        <v>817</v>
      </c>
      <c r="L368" s="436" t="s">
        <v>4822</v>
      </c>
      <c r="M368" s="436" t="s">
        <v>4581</v>
      </c>
      <c r="N368" s="987"/>
      <c r="O368" s="987"/>
      <c r="P368" s="987"/>
      <c r="Q368" s="987"/>
      <c r="R368" s="987"/>
      <c r="S368" s="987"/>
      <c r="T368" s="987"/>
      <c r="U368" s="987"/>
      <c r="V368" s="987"/>
      <c r="W368" s="436" t="s">
        <v>4823</v>
      </c>
      <c r="X368" s="987"/>
      <c r="Y368" s="987"/>
      <c r="Z368" s="987"/>
      <c r="AA368" s="986"/>
    </row>
    <row r="369" hidden="1">
      <c r="A369" s="995">
        <v>129.0</v>
      </c>
      <c r="B369" s="996">
        <v>44378.0</v>
      </c>
      <c r="C369" s="984" t="s">
        <v>4824</v>
      </c>
      <c r="D369" s="436" t="s">
        <v>119</v>
      </c>
      <c r="E369" s="436" t="s">
        <v>305</v>
      </c>
      <c r="F369" s="436" t="s">
        <v>50</v>
      </c>
      <c r="G369" s="436" t="s">
        <v>120</v>
      </c>
      <c r="H369" s="998" t="str">
        <f>+12VAが出力しない。</f>
        <v>#ERROR!</v>
      </c>
      <c r="I369" s="997" t="s">
        <v>4825</v>
      </c>
      <c r="J369" s="987"/>
      <c r="K369" s="436" t="s">
        <v>4610</v>
      </c>
      <c r="L369" s="436" t="s">
        <v>4826</v>
      </c>
      <c r="M369" s="436" t="s">
        <v>4827</v>
      </c>
      <c r="N369" s="987"/>
      <c r="O369" s="436" t="s">
        <v>174</v>
      </c>
      <c r="P369" s="995">
        <v>44512.0</v>
      </c>
      <c r="Q369" s="987"/>
      <c r="R369" s="987"/>
      <c r="S369" s="987"/>
      <c r="T369" s="987"/>
      <c r="U369" s="987"/>
      <c r="V369" s="987"/>
      <c r="W369" s="987"/>
      <c r="X369" s="987"/>
      <c r="Y369" s="987"/>
      <c r="Z369" s="987"/>
      <c r="AA369" s="986"/>
    </row>
    <row r="370" hidden="1">
      <c r="A370" s="995">
        <v>130.0</v>
      </c>
      <c r="B370" s="988">
        <v>44378.0</v>
      </c>
      <c r="C370" s="989" t="s">
        <v>4819</v>
      </c>
      <c r="D370" s="434" t="s">
        <v>814</v>
      </c>
      <c r="E370" s="434" t="s">
        <v>559</v>
      </c>
      <c r="F370" s="990">
        <v>1.8020155E7</v>
      </c>
      <c r="G370" s="434" t="s">
        <v>32</v>
      </c>
      <c r="H370" s="989" t="s">
        <v>4828</v>
      </c>
      <c r="I370" s="989" t="s">
        <v>4829</v>
      </c>
      <c r="J370" s="987"/>
      <c r="K370" s="436" t="s">
        <v>817</v>
      </c>
      <c r="L370" s="987"/>
      <c r="M370" s="987"/>
      <c r="N370" s="987"/>
      <c r="O370" s="436" t="s">
        <v>62</v>
      </c>
      <c r="P370" s="987"/>
      <c r="Q370" s="987"/>
      <c r="R370" s="987"/>
      <c r="S370" s="987"/>
      <c r="T370" s="987"/>
      <c r="U370" s="436" t="s">
        <v>62</v>
      </c>
      <c r="V370" s="995">
        <v>44517.0</v>
      </c>
      <c r="W370" s="987"/>
      <c r="X370" s="987"/>
      <c r="Y370" s="987"/>
      <c r="Z370" s="987"/>
      <c r="AA370" s="986"/>
    </row>
    <row r="371" hidden="1">
      <c r="A371" s="995">
        <v>132.0</v>
      </c>
      <c r="B371" s="988">
        <v>44379.0</v>
      </c>
      <c r="C371" s="989" t="s">
        <v>4371</v>
      </c>
      <c r="D371" s="434" t="s">
        <v>89</v>
      </c>
      <c r="E371" s="434" t="s">
        <v>269</v>
      </c>
      <c r="F371" s="990">
        <v>1.5830865E7</v>
      </c>
      <c r="G371" s="434" t="s">
        <v>51</v>
      </c>
      <c r="H371" s="989" t="s">
        <v>4830</v>
      </c>
      <c r="I371" s="989" t="s">
        <v>4831</v>
      </c>
      <c r="J371" s="987"/>
      <c r="K371" s="436" t="s">
        <v>4654</v>
      </c>
      <c r="L371" s="436" t="s">
        <v>1374</v>
      </c>
      <c r="M371" s="436" t="s">
        <v>610</v>
      </c>
      <c r="N371" s="984" t="s">
        <v>4832</v>
      </c>
      <c r="O371" s="436" t="s">
        <v>62</v>
      </c>
      <c r="P371" s="995">
        <v>44515.0</v>
      </c>
      <c r="Q371" s="987"/>
      <c r="R371" s="987"/>
      <c r="S371" s="987"/>
      <c r="T371" s="987"/>
      <c r="U371" s="436" t="s">
        <v>62</v>
      </c>
      <c r="V371" s="995">
        <v>44515.0</v>
      </c>
      <c r="W371" s="987"/>
      <c r="X371" s="987"/>
      <c r="Y371" s="987"/>
      <c r="Z371" s="987"/>
      <c r="AA371" s="986"/>
    </row>
    <row r="372" hidden="1">
      <c r="A372" s="995">
        <v>133.0</v>
      </c>
      <c r="B372" s="988">
        <v>44446.0</v>
      </c>
      <c r="C372" s="989" t="s">
        <v>4461</v>
      </c>
      <c r="D372" s="434" t="s">
        <v>506</v>
      </c>
      <c r="E372" s="434" t="s">
        <v>49</v>
      </c>
      <c r="F372" s="992"/>
      <c r="G372" s="434" t="s">
        <v>120</v>
      </c>
      <c r="H372" s="989" t="s">
        <v>4833</v>
      </c>
      <c r="I372" s="993" t="s">
        <v>4834</v>
      </c>
      <c r="J372" s="987"/>
      <c r="K372" s="436" t="s">
        <v>3079</v>
      </c>
      <c r="L372" s="436" t="s">
        <v>3190</v>
      </c>
      <c r="M372" s="436" t="s">
        <v>3191</v>
      </c>
      <c r="N372" s="984" t="s">
        <v>4807</v>
      </c>
      <c r="O372" s="987"/>
      <c r="P372" s="987"/>
      <c r="Q372" s="987"/>
      <c r="R372" s="987"/>
      <c r="S372" s="436" t="s">
        <v>62</v>
      </c>
      <c r="T372" s="995">
        <v>44505.0</v>
      </c>
      <c r="U372" s="987"/>
      <c r="V372" s="987"/>
      <c r="W372" s="987"/>
      <c r="X372" s="987"/>
      <c r="Y372" s="987"/>
      <c r="Z372" s="987"/>
      <c r="AA372" s="986"/>
    </row>
    <row r="373" hidden="1">
      <c r="A373" s="995">
        <v>134.0</v>
      </c>
      <c r="B373" s="988">
        <v>44385.0</v>
      </c>
      <c r="C373" s="989" t="s">
        <v>4835</v>
      </c>
      <c r="D373" s="434" t="s">
        <v>4836</v>
      </c>
      <c r="E373" s="434" t="s">
        <v>4837</v>
      </c>
      <c r="F373" s="990">
        <v>1.765018E7</v>
      </c>
      <c r="G373" s="434" t="s">
        <v>120</v>
      </c>
      <c r="H373" s="989" t="s">
        <v>4838</v>
      </c>
      <c r="I373" s="989" t="s">
        <v>4839</v>
      </c>
      <c r="J373" s="987"/>
      <c r="K373" s="436" t="s">
        <v>4840</v>
      </c>
      <c r="L373" s="436" t="s">
        <v>905</v>
      </c>
      <c r="M373" s="436" t="s">
        <v>4841</v>
      </c>
      <c r="N373" s="987"/>
      <c r="O373" s="436" t="s">
        <v>62</v>
      </c>
      <c r="P373" s="995">
        <v>44467.0</v>
      </c>
      <c r="Q373" s="987"/>
      <c r="R373" s="987"/>
      <c r="S373" s="987"/>
      <c r="T373" s="987"/>
      <c r="U373" s="987"/>
      <c r="V373" s="987"/>
      <c r="W373" s="987"/>
      <c r="X373" s="987"/>
      <c r="Y373" s="987"/>
      <c r="Z373" s="987"/>
      <c r="AA373" s="986"/>
    </row>
    <row r="374" hidden="1">
      <c r="A374" s="995">
        <v>135.0</v>
      </c>
      <c r="B374" s="988">
        <v>44385.0</v>
      </c>
      <c r="C374" s="989" t="s">
        <v>4819</v>
      </c>
      <c r="D374" s="434" t="s">
        <v>814</v>
      </c>
      <c r="E374" s="434" t="s">
        <v>559</v>
      </c>
      <c r="F374" s="990">
        <v>1.8020158E7</v>
      </c>
      <c r="G374" s="434" t="s">
        <v>32</v>
      </c>
      <c r="H374" s="989" t="s">
        <v>4842</v>
      </c>
      <c r="I374" s="989" t="s">
        <v>4843</v>
      </c>
      <c r="J374" s="987"/>
      <c r="K374" s="436" t="s">
        <v>817</v>
      </c>
      <c r="L374" s="984" t="s">
        <v>4844</v>
      </c>
      <c r="M374" s="984" t="s">
        <v>4845</v>
      </c>
      <c r="N374" s="984" t="s">
        <v>4846</v>
      </c>
      <c r="O374" s="436" t="s">
        <v>62</v>
      </c>
      <c r="P374" s="987"/>
      <c r="Q374" s="987"/>
      <c r="R374" s="987"/>
      <c r="S374" s="987"/>
      <c r="T374" s="987"/>
      <c r="U374" s="436" t="s">
        <v>62</v>
      </c>
      <c r="V374" s="995">
        <v>44517.0</v>
      </c>
      <c r="W374" s="987"/>
      <c r="X374" s="987"/>
      <c r="Y374" s="987"/>
      <c r="Z374" s="987"/>
      <c r="AA374" s="986"/>
    </row>
    <row r="375" hidden="1">
      <c r="A375" s="995">
        <v>136.0</v>
      </c>
      <c r="B375" s="988">
        <v>44386.0</v>
      </c>
      <c r="C375" s="989" t="s">
        <v>4319</v>
      </c>
      <c r="D375" s="434" t="s">
        <v>2639</v>
      </c>
      <c r="E375" s="434" t="s">
        <v>3802</v>
      </c>
      <c r="F375" s="990">
        <v>1.801008E7</v>
      </c>
      <c r="G375" s="434" t="s">
        <v>32</v>
      </c>
      <c r="H375" s="989" t="s">
        <v>4847</v>
      </c>
      <c r="I375" s="989" t="s">
        <v>4848</v>
      </c>
      <c r="J375" s="987"/>
      <c r="K375" s="436" t="s">
        <v>4849</v>
      </c>
      <c r="L375" s="984" t="s">
        <v>4850</v>
      </c>
      <c r="M375" s="987"/>
      <c r="N375" s="987"/>
      <c r="O375" s="987"/>
      <c r="P375" s="987"/>
      <c r="Q375" s="987"/>
      <c r="R375" s="987"/>
      <c r="S375" s="987"/>
      <c r="T375" s="987"/>
      <c r="U375" s="987"/>
      <c r="V375" s="987"/>
      <c r="W375" s="987"/>
      <c r="X375" s="987"/>
      <c r="Y375" s="987"/>
      <c r="Z375" s="987"/>
      <c r="AA375" s="986"/>
    </row>
    <row r="376" hidden="1">
      <c r="A376" s="995">
        <v>137.0</v>
      </c>
      <c r="B376" s="988">
        <v>44386.0</v>
      </c>
      <c r="C376" s="989" t="s">
        <v>4371</v>
      </c>
      <c r="D376" s="434" t="s">
        <v>89</v>
      </c>
      <c r="E376" s="434" t="s">
        <v>269</v>
      </c>
      <c r="F376" s="990">
        <v>1.5830892E7</v>
      </c>
      <c r="G376" s="434" t="s">
        <v>51</v>
      </c>
      <c r="H376" s="989" t="s">
        <v>4851</v>
      </c>
      <c r="I376" s="989" t="s">
        <v>4852</v>
      </c>
      <c r="J376" s="987"/>
      <c r="K376" s="436" t="s">
        <v>4654</v>
      </c>
      <c r="L376" s="436" t="s">
        <v>1043</v>
      </c>
      <c r="M376" s="984" t="s">
        <v>4853</v>
      </c>
      <c r="N376" s="987"/>
      <c r="O376" s="436" t="s">
        <v>62</v>
      </c>
      <c r="P376" s="995">
        <v>44616.0</v>
      </c>
      <c r="Q376" s="987"/>
      <c r="R376" s="987"/>
      <c r="S376" s="436" t="s">
        <v>62</v>
      </c>
      <c r="T376" s="995">
        <v>44498.0</v>
      </c>
      <c r="U376" s="436" t="s">
        <v>62</v>
      </c>
      <c r="V376" s="995">
        <v>44616.0</v>
      </c>
      <c r="W376" s="987"/>
      <c r="X376" s="987"/>
      <c r="Y376" s="987"/>
      <c r="Z376" s="987"/>
      <c r="AA376" s="986"/>
    </row>
    <row r="377" hidden="1">
      <c r="A377" s="995">
        <v>138.0</v>
      </c>
      <c r="B377" s="988">
        <v>44391.0</v>
      </c>
      <c r="C377" s="989" t="s">
        <v>2803</v>
      </c>
      <c r="D377" s="434" t="s">
        <v>2804</v>
      </c>
      <c r="E377" s="434" t="s">
        <v>305</v>
      </c>
      <c r="F377" s="990">
        <v>1.5111379E7</v>
      </c>
      <c r="G377" s="434" t="s">
        <v>103</v>
      </c>
      <c r="H377" s="989" t="s">
        <v>4854</v>
      </c>
      <c r="I377" s="989" t="s">
        <v>4855</v>
      </c>
      <c r="J377" s="987"/>
      <c r="K377" s="436" t="s">
        <v>4856</v>
      </c>
      <c r="L377" s="436" t="s">
        <v>4857</v>
      </c>
      <c r="M377" s="984" t="s">
        <v>4858</v>
      </c>
      <c r="N377" s="984" t="s">
        <v>4832</v>
      </c>
      <c r="O377" s="436" t="s">
        <v>62</v>
      </c>
      <c r="P377" s="995">
        <v>44498.0</v>
      </c>
      <c r="Q377" s="987"/>
      <c r="R377" s="987"/>
      <c r="S377" s="987"/>
      <c r="T377" s="987"/>
      <c r="U377" s="436" t="s">
        <v>62</v>
      </c>
      <c r="V377" s="995">
        <v>44634.0</v>
      </c>
      <c r="W377" s="987"/>
      <c r="X377" s="987"/>
      <c r="Y377" s="987"/>
      <c r="Z377" s="987"/>
      <c r="AA377" s="986"/>
    </row>
    <row r="378" hidden="1">
      <c r="A378" s="995">
        <v>139.0</v>
      </c>
      <c r="B378" s="1010">
        <v>44393.0</v>
      </c>
      <c r="C378" s="997" t="s">
        <v>4859</v>
      </c>
      <c r="D378" s="1011" t="s">
        <v>2664</v>
      </c>
      <c r="E378" s="1011" t="s">
        <v>50</v>
      </c>
      <c r="F378" s="1012">
        <v>1.6590503E7</v>
      </c>
      <c r="G378" s="1011" t="s">
        <v>51</v>
      </c>
      <c r="H378" s="997" t="s">
        <v>4860</v>
      </c>
      <c r="I378" s="1001" t="s">
        <v>4861</v>
      </c>
      <c r="J378" s="987"/>
      <c r="K378" s="987"/>
      <c r="L378" s="987"/>
      <c r="M378" s="987"/>
      <c r="N378" s="987"/>
      <c r="O378" s="987"/>
      <c r="P378" s="987"/>
      <c r="Q378" s="987"/>
      <c r="R378" s="987"/>
      <c r="S378" s="987"/>
      <c r="T378" s="987"/>
      <c r="U378" s="987"/>
      <c r="V378" s="987"/>
      <c r="W378" s="987"/>
      <c r="X378" s="987"/>
      <c r="Y378" s="987"/>
      <c r="Z378" s="987"/>
      <c r="AA378" s="986"/>
    </row>
    <row r="379" hidden="1">
      <c r="A379" s="995">
        <v>140.0</v>
      </c>
      <c r="B379" s="988">
        <v>44398.0</v>
      </c>
      <c r="C379" s="989" t="s">
        <v>4747</v>
      </c>
      <c r="D379" s="434" t="s">
        <v>3326</v>
      </c>
      <c r="E379" s="434" t="s">
        <v>4117</v>
      </c>
      <c r="F379" s="990">
        <v>1.3521347E7</v>
      </c>
      <c r="G379" s="434" t="s">
        <v>51</v>
      </c>
      <c r="H379" s="989" t="s">
        <v>4748</v>
      </c>
      <c r="I379" s="989" t="s">
        <v>4862</v>
      </c>
      <c r="J379" s="987"/>
      <c r="K379" s="436" t="s">
        <v>3329</v>
      </c>
      <c r="L379" s="987"/>
      <c r="M379" s="987"/>
      <c r="N379" s="984" t="s">
        <v>4863</v>
      </c>
      <c r="O379" s="436" t="s">
        <v>62</v>
      </c>
      <c r="P379" s="995">
        <v>44515.0</v>
      </c>
      <c r="Q379" s="987"/>
      <c r="R379" s="987"/>
      <c r="S379" s="987"/>
      <c r="T379" s="987"/>
      <c r="U379" s="987"/>
      <c r="V379" s="987"/>
      <c r="W379" s="987"/>
      <c r="X379" s="987"/>
      <c r="Y379" s="987"/>
      <c r="Z379" s="987"/>
      <c r="AA379" s="986"/>
    </row>
    <row r="380" hidden="1">
      <c r="A380" s="995">
        <v>142.0</v>
      </c>
      <c r="B380" s="988">
        <v>44398.0</v>
      </c>
      <c r="C380" s="989" t="s">
        <v>4864</v>
      </c>
      <c r="D380" s="434" t="s">
        <v>3326</v>
      </c>
      <c r="E380" s="434" t="s">
        <v>4117</v>
      </c>
      <c r="F380" s="990">
        <v>1.3521365E7</v>
      </c>
      <c r="G380" s="434" t="s">
        <v>51</v>
      </c>
      <c r="H380" s="989" t="s">
        <v>1000</v>
      </c>
      <c r="I380" s="989" t="s">
        <v>4865</v>
      </c>
      <c r="J380" s="987"/>
      <c r="K380" s="436" t="s">
        <v>3329</v>
      </c>
      <c r="L380" s="987"/>
      <c r="M380" s="987"/>
      <c r="N380" s="987"/>
      <c r="O380" s="436" t="s">
        <v>62</v>
      </c>
      <c r="P380" s="987"/>
      <c r="Q380" s="987"/>
      <c r="R380" s="987"/>
      <c r="S380" s="987"/>
      <c r="T380" s="987"/>
      <c r="U380" s="987"/>
      <c r="V380" s="987"/>
      <c r="W380" s="987"/>
      <c r="X380" s="987"/>
      <c r="Y380" s="987"/>
      <c r="Z380" s="987"/>
      <c r="AA380" s="986"/>
    </row>
    <row r="381" hidden="1">
      <c r="A381" s="995">
        <v>143.0</v>
      </c>
      <c r="B381" s="988">
        <v>44398.0</v>
      </c>
      <c r="C381" s="989" t="s">
        <v>4864</v>
      </c>
      <c r="D381" s="434" t="s">
        <v>3326</v>
      </c>
      <c r="E381" s="434" t="s">
        <v>4117</v>
      </c>
      <c r="F381" s="990">
        <v>1.3521368E7</v>
      </c>
      <c r="G381" s="434" t="s">
        <v>51</v>
      </c>
      <c r="H381" s="989" t="s">
        <v>1000</v>
      </c>
      <c r="I381" s="989" t="s">
        <v>4865</v>
      </c>
      <c r="J381" s="987"/>
      <c r="K381" s="436" t="s">
        <v>3329</v>
      </c>
      <c r="L381" s="987"/>
      <c r="M381" s="987"/>
      <c r="N381" s="987"/>
      <c r="O381" s="436" t="s">
        <v>62</v>
      </c>
      <c r="P381" s="987"/>
      <c r="Q381" s="987"/>
      <c r="R381" s="987"/>
      <c r="S381" s="987"/>
      <c r="T381" s="987"/>
      <c r="U381" s="987"/>
      <c r="V381" s="987"/>
      <c r="W381" s="987"/>
      <c r="X381" s="987"/>
      <c r="Y381" s="987"/>
      <c r="Z381" s="987"/>
      <c r="AA381" s="986"/>
    </row>
    <row r="382" hidden="1">
      <c r="A382" s="995">
        <v>144.0</v>
      </c>
      <c r="B382" s="988">
        <v>44398.0</v>
      </c>
      <c r="C382" s="989" t="s">
        <v>4864</v>
      </c>
      <c r="D382" s="434" t="s">
        <v>3326</v>
      </c>
      <c r="E382" s="434" t="s">
        <v>4117</v>
      </c>
      <c r="F382" s="990">
        <v>1.352137E7</v>
      </c>
      <c r="G382" s="434" t="s">
        <v>51</v>
      </c>
      <c r="H382" s="989" t="s">
        <v>1000</v>
      </c>
      <c r="I382" s="989" t="s">
        <v>4866</v>
      </c>
      <c r="J382" s="987"/>
      <c r="K382" s="436" t="s">
        <v>3329</v>
      </c>
      <c r="L382" s="436" t="s">
        <v>3133</v>
      </c>
      <c r="M382" s="436" t="s">
        <v>4806</v>
      </c>
      <c r="N382" s="987"/>
      <c r="O382" s="436" t="s">
        <v>62</v>
      </c>
      <c r="P382" s="995">
        <v>44575.0</v>
      </c>
      <c r="Q382" s="987"/>
      <c r="R382" s="987"/>
      <c r="S382" s="987"/>
      <c r="T382" s="987"/>
      <c r="U382" s="436" t="s">
        <v>62</v>
      </c>
      <c r="V382" s="995">
        <v>44575.0</v>
      </c>
      <c r="W382" s="987"/>
      <c r="X382" s="987"/>
      <c r="Y382" s="987"/>
      <c r="Z382" s="987"/>
      <c r="AA382" s="986"/>
    </row>
    <row r="383" hidden="1">
      <c r="A383" s="995">
        <v>146.0</v>
      </c>
      <c r="B383" s="988">
        <v>44428.0</v>
      </c>
      <c r="C383" s="989" t="s">
        <v>4867</v>
      </c>
      <c r="D383" s="434" t="s">
        <v>367</v>
      </c>
      <c r="E383" s="434" t="s">
        <v>49</v>
      </c>
      <c r="F383" s="990">
        <v>1.488205E7</v>
      </c>
      <c r="G383" s="434" t="s">
        <v>120</v>
      </c>
      <c r="H383" s="989" t="s">
        <v>4868</v>
      </c>
      <c r="I383" s="989" t="s">
        <v>4869</v>
      </c>
      <c r="J383" s="987"/>
      <c r="K383" s="436" t="s">
        <v>123</v>
      </c>
      <c r="L383" s="436" t="s">
        <v>4870</v>
      </c>
      <c r="M383" s="987"/>
      <c r="N383" s="987"/>
      <c r="O383" s="436" t="s">
        <v>62</v>
      </c>
      <c r="P383" s="995">
        <v>44628.0</v>
      </c>
      <c r="Q383" s="987"/>
      <c r="R383" s="987"/>
      <c r="S383" s="987"/>
      <c r="T383" s="987"/>
      <c r="U383" s="436" t="s">
        <v>62</v>
      </c>
      <c r="V383" s="995">
        <v>44637.0</v>
      </c>
      <c r="W383" s="987"/>
      <c r="X383" s="987"/>
      <c r="Y383" s="987"/>
      <c r="Z383" s="987"/>
      <c r="AA383" s="986"/>
    </row>
    <row r="384" hidden="1">
      <c r="A384" s="995">
        <v>147.0</v>
      </c>
      <c r="B384" s="988">
        <v>44446.0</v>
      </c>
      <c r="C384" s="989" t="s">
        <v>4461</v>
      </c>
      <c r="D384" s="434" t="s">
        <v>506</v>
      </c>
      <c r="E384" s="434" t="s">
        <v>49</v>
      </c>
      <c r="F384" s="992"/>
      <c r="G384" s="434" t="s">
        <v>120</v>
      </c>
      <c r="H384" s="989" t="s">
        <v>4871</v>
      </c>
      <c r="I384" s="989" t="s">
        <v>4872</v>
      </c>
      <c r="J384" s="987"/>
      <c r="K384" s="436" t="s">
        <v>3079</v>
      </c>
      <c r="L384" s="436" t="s">
        <v>3190</v>
      </c>
      <c r="M384" s="436" t="s">
        <v>3191</v>
      </c>
      <c r="N384" s="984" t="s">
        <v>4807</v>
      </c>
      <c r="O384" s="987"/>
      <c r="P384" s="987"/>
      <c r="Q384" s="987"/>
      <c r="R384" s="987"/>
      <c r="S384" s="436" t="s">
        <v>62</v>
      </c>
      <c r="T384" s="995">
        <v>44510.0</v>
      </c>
      <c r="U384" s="987"/>
      <c r="V384" s="987"/>
      <c r="W384" s="987"/>
      <c r="X384" s="987"/>
      <c r="Y384" s="987"/>
      <c r="Z384" s="987"/>
      <c r="AA384" s="986"/>
    </row>
    <row r="385" hidden="1">
      <c r="A385" s="995">
        <v>148.0</v>
      </c>
      <c r="B385" s="988">
        <v>44431.0</v>
      </c>
      <c r="C385" s="989" t="s">
        <v>4873</v>
      </c>
      <c r="D385" s="434" t="s">
        <v>1027</v>
      </c>
      <c r="E385" s="434" t="s">
        <v>1028</v>
      </c>
      <c r="F385" s="990">
        <v>1.7890038E7</v>
      </c>
      <c r="G385" s="434" t="s">
        <v>103</v>
      </c>
      <c r="H385" s="989" t="s">
        <v>4874</v>
      </c>
      <c r="I385" s="989" t="s">
        <v>4875</v>
      </c>
      <c r="J385" s="987"/>
      <c r="K385" s="436" t="s">
        <v>1031</v>
      </c>
      <c r="L385" s="436" t="s">
        <v>4876</v>
      </c>
      <c r="M385" s="436" t="s">
        <v>4581</v>
      </c>
      <c r="N385" s="987"/>
      <c r="O385" s="436" t="s">
        <v>62</v>
      </c>
      <c r="P385" s="995">
        <v>44991.0</v>
      </c>
      <c r="Q385" s="987"/>
      <c r="R385" s="987"/>
      <c r="S385" s="987"/>
      <c r="T385" s="987"/>
      <c r="U385" s="987"/>
      <c r="V385" s="987"/>
      <c r="W385" s="987"/>
      <c r="X385" s="987"/>
      <c r="Y385" s="987"/>
      <c r="Z385" s="987"/>
      <c r="AA385" s="986"/>
    </row>
    <row r="386" hidden="1">
      <c r="A386" s="995">
        <v>150.0</v>
      </c>
      <c r="B386" s="988">
        <v>44463.0</v>
      </c>
      <c r="C386" s="989" t="s">
        <v>4877</v>
      </c>
      <c r="D386" s="434" t="s">
        <v>3942</v>
      </c>
      <c r="E386" s="434" t="s">
        <v>49</v>
      </c>
      <c r="F386" s="434" t="s">
        <v>50</v>
      </c>
      <c r="G386" s="434" t="s">
        <v>200</v>
      </c>
      <c r="H386" s="989" t="s">
        <v>4878</v>
      </c>
      <c r="I386" s="993" t="s">
        <v>4879</v>
      </c>
      <c r="J386" s="987"/>
      <c r="K386" s="436" t="s">
        <v>3079</v>
      </c>
      <c r="L386" s="436" t="s">
        <v>3190</v>
      </c>
      <c r="M386" s="436" t="s">
        <v>3191</v>
      </c>
      <c r="N386" s="984" t="s">
        <v>4807</v>
      </c>
      <c r="O386" s="436" t="s">
        <v>150</v>
      </c>
      <c r="P386" s="995">
        <v>44504.0</v>
      </c>
      <c r="Q386" s="987"/>
      <c r="R386" s="987"/>
      <c r="S386" s="987"/>
      <c r="T386" s="987"/>
      <c r="U386" s="987"/>
      <c r="V386" s="987"/>
      <c r="W386" s="987"/>
      <c r="X386" s="987"/>
      <c r="Y386" s="987"/>
      <c r="Z386" s="987"/>
      <c r="AA386" s="986"/>
    </row>
    <row r="387" hidden="1">
      <c r="A387" s="995">
        <v>151.0</v>
      </c>
      <c r="B387" s="996">
        <v>44433.0</v>
      </c>
      <c r="C387" s="984" t="s">
        <v>4801</v>
      </c>
      <c r="D387" s="436" t="s">
        <v>4028</v>
      </c>
      <c r="E387" s="436" t="s">
        <v>4880</v>
      </c>
      <c r="F387" s="995">
        <v>1.5191739E7</v>
      </c>
      <c r="G387" s="436" t="s">
        <v>103</v>
      </c>
      <c r="H387" s="984" t="s">
        <v>4881</v>
      </c>
      <c r="I387" s="997" t="s">
        <v>4882</v>
      </c>
      <c r="J387" s="987"/>
      <c r="K387" s="987"/>
      <c r="L387" s="987"/>
      <c r="M387" s="987"/>
      <c r="N387" s="987"/>
      <c r="O387" s="987"/>
      <c r="P387" s="987"/>
      <c r="Q387" s="987"/>
      <c r="R387" s="987"/>
      <c r="S387" s="987"/>
      <c r="T387" s="987"/>
      <c r="U387" s="987"/>
      <c r="V387" s="987"/>
      <c r="W387" s="987"/>
      <c r="X387" s="987"/>
      <c r="Y387" s="987"/>
      <c r="Z387" s="987"/>
      <c r="AA387" s="986"/>
    </row>
    <row r="388" hidden="1">
      <c r="A388" s="995">
        <v>152.0</v>
      </c>
      <c r="B388" s="996">
        <v>44433.0</v>
      </c>
      <c r="C388" s="984" t="s">
        <v>4883</v>
      </c>
      <c r="D388" s="436" t="s">
        <v>3413</v>
      </c>
      <c r="E388" s="436" t="s">
        <v>4884</v>
      </c>
      <c r="F388" s="995">
        <v>1.3600317E7</v>
      </c>
      <c r="G388" s="436" t="s">
        <v>200</v>
      </c>
      <c r="H388" s="984" t="s">
        <v>4885</v>
      </c>
      <c r="I388" s="997" t="s">
        <v>4886</v>
      </c>
      <c r="J388" s="987"/>
      <c r="K388" s="987"/>
      <c r="L388" s="987"/>
      <c r="M388" s="987"/>
      <c r="N388" s="987"/>
      <c r="O388" s="987"/>
      <c r="P388" s="987"/>
      <c r="Q388" s="987"/>
      <c r="R388" s="987"/>
      <c r="S388" s="987"/>
      <c r="T388" s="987"/>
      <c r="U388" s="987"/>
      <c r="V388" s="987"/>
      <c r="W388" s="987"/>
      <c r="X388" s="987"/>
      <c r="Y388" s="987"/>
      <c r="Z388" s="987"/>
      <c r="AA388" s="986"/>
    </row>
    <row r="389" hidden="1">
      <c r="A389" s="995">
        <v>153.0</v>
      </c>
      <c r="B389" s="988">
        <v>44438.0</v>
      </c>
      <c r="C389" s="989" t="s">
        <v>4887</v>
      </c>
      <c r="D389" s="434" t="s">
        <v>3809</v>
      </c>
      <c r="E389" s="434" t="s">
        <v>3810</v>
      </c>
      <c r="F389" s="990">
        <v>1.3582451E7</v>
      </c>
      <c r="G389" s="434" t="s">
        <v>200</v>
      </c>
      <c r="H389" s="989" t="s">
        <v>4888</v>
      </c>
      <c r="I389" s="989" t="s">
        <v>4889</v>
      </c>
      <c r="J389" s="987"/>
      <c r="K389" s="436" t="s">
        <v>4890</v>
      </c>
      <c r="L389" s="436" t="s">
        <v>1043</v>
      </c>
      <c r="M389" s="984" t="s">
        <v>4891</v>
      </c>
      <c r="N389" s="984" t="s">
        <v>4892</v>
      </c>
      <c r="O389" s="987"/>
      <c r="P389" s="987"/>
      <c r="Q389" s="987"/>
      <c r="R389" s="987"/>
      <c r="S389" s="436" t="s">
        <v>62</v>
      </c>
      <c r="T389" s="995">
        <v>44456.0</v>
      </c>
      <c r="U389" s="436" t="s">
        <v>62</v>
      </c>
      <c r="V389" s="995">
        <v>44468.0</v>
      </c>
      <c r="W389" s="987"/>
      <c r="X389" s="987"/>
      <c r="Y389" s="987"/>
      <c r="Z389" s="987"/>
      <c r="AA389" s="986"/>
    </row>
    <row r="390" hidden="1">
      <c r="A390" s="995">
        <v>154.0</v>
      </c>
      <c r="B390" s="988">
        <v>44440.0</v>
      </c>
      <c r="C390" s="989" t="s">
        <v>4555</v>
      </c>
      <c r="D390" s="434" t="s">
        <v>918</v>
      </c>
      <c r="E390" s="434" t="s">
        <v>4519</v>
      </c>
      <c r="F390" s="990">
        <v>1.635114E7</v>
      </c>
      <c r="G390" s="434" t="s">
        <v>32</v>
      </c>
      <c r="H390" s="989" t="s">
        <v>4556</v>
      </c>
      <c r="I390" s="989" t="s">
        <v>4557</v>
      </c>
      <c r="J390" s="987"/>
      <c r="K390" s="436" t="s">
        <v>4893</v>
      </c>
      <c r="L390" s="436" t="s">
        <v>4894</v>
      </c>
      <c r="M390" s="987"/>
      <c r="N390" s="984" t="s">
        <v>4892</v>
      </c>
      <c r="O390" s="987"/>
      <c r="P390" s="987"/>
      <c r="Q390" s="987"/>
      <c r="R390" s="987"/>
      <c r="S390" s="436" t="s">
        <v>62</v>
      </c>
      <c r="T390" s="995">
        <v>44483.0</v>
      </c>
      <c r="U390" s="436" t="s">
        <v>62</v>
      </c>
      <c r="V390" s="995">
        <v>44483.0</v>
      </c>
      <c r="W390" s="987"/>
      <c r="X390" s="987"/>
      <c r="Y390" s="987"/>
      <c r="Z390" s="987"/>
      <c r="AA390" s="986"/>
    </row>
    <row r="391" hidden="1">
      <c r="A391" s="995">
        <v>155.0</v>
      </c>
      <c r="B391" s="988">
        <v>44441.0</v>
      </c>
      <c r="C391" s="989" t="s">
        <v>4555</v>
      </c>
      <c r="D391" s="434" t="s">
        <v>918</v>
      </c>
      <c r="E391" s="434" t="s">
        <v>4519</v>
      </c>
      <c r="F391" s="990">
        <v>1.6351154E7</v>
      </c>
      <c r="G391" s="434" t="s">
        <v>32</v>
      </c>
      <c r="H391" s="989" t="s">
        <v>4558</v>
      </c>
      <c r="I391" s="989" t="s">
        <v>4557</v>
      </c>
      <c r="J391" s="987"/>
      <c r="K391" s="436" t="s">
        <v>4893</v>
      </c>
      <c r="L391" s="436" t="s">
        <v>4895</v>
      </c>
      <c r="M391" s="987"/>
      <c r="N391" s="984" t="s">
        <v>4892</v>
      </c>
      <c r="O391" s="987"/>
      <c r="P391" s="987"/>
      <c r="Q391" s="987"/>
      <c r="R391" s="987"/>
      <c r="S391" s="436" t="s">
        <v>62</v>
      </c>
      <c r="T391" s="995">
        <v>44483.0</v>
      </c>
      <c r="U391" s="436" t="s">
        <v>62</v>
      </c>
      <c r="V391" s="995">
        <v>44483.0</v>
      </c>
      <c r="W391" s="987"/>
      <c r="X391" s="987"/>
      <c r="Y391" s="987"/>
      <c r="Z391" s="987"/>
      <c r="AA391" s="986"/>
    </row>
    <row r="392" hidden="1">
      <c r="A392" s="995">
        <v>156.0</v>
      </c>
      <c r="B392" s="988">
        <v>44384.0</v>
      </c>
      <c r="C392" s="989" t="s">
        <v>4461</v>
      </c>
      <c r="D392" s="434" t="s">
        <v>506</v>
      </c>
      <c r="E392" s="434" t="s">
        <v>305</v>
      </c>
      <c r="F392" s="990">
        <v>1.7241898E7</v>
      </c>
      <c r="G392" s="434" t="s">
        <v>120</v>
      </c>
      <c r="H392" s="989" t="s">
        <v>4896</v>
      </c>
      <c r="I392" s="993" t="s">
        <v>4897</v>
      </c>
      <c r="J392" s="987"/>
      <c r="K392" s="436" t="s">
        <v>3079</v>
      </c>
      <c r="L392" s="436" t="s">
        <v>3190</v>
      </c>
      <c r="M392" s="436" t="s">
        <v>3191</v>
      </c>
      <c r="N392" s="984" t="s">
        <v>4807</v>
      </c>
      <c r="O392" s="987"/>
      <c r="P392" s="987"/>
      <c r="Q392" s="987"/>
      <c r="R392" s="987"/>
      <c r="S392" s="436" t="s">
        <v>62</v>
      </c>
      <c r="T392" s="995">
        <v>44505.0</v>
      </c>
      <c r="U392" s="987"/>
      <c r="V392" s="987"/>
      <c r="W392" s="987"/>
      <c r="X392" s="987"/>
      <c r="Y392" s="987"/>
      <c r="Z392" s="987"/>
      <c r="AA392" s="986"/>
    </row>
    <row r="393" hidden="1">
      <c r="A393" s="995">
        <v>158.0</v>
      </c>
      <c r="B393" s="988">
        <v>44453.0</v>
      </c>
      <c r="C393" s="989" t="s">
        <v>4202</v>
      </c>
      <c r="D393" s="434" t="s">
        <v>119</v>
      </c>
      <c r="E393" s="434" t="s">
        <v>1912</v>
      </c>
      <c r="F393" s="992"/>
      <c r="G393" s="434" t="s">
        <v>120</v>
      </c>
      <c r="H393" s="989" t="s">
        <v>4898</v>
      </c>
      <c r="I393" s="993" t="s">
        <v>4899</v>
      </c>
      <c r="J393" s="987"/>
      <c r="K393" s="987"/>
      <c r="L393" s="987"/>
      <c r="M393" s="987"/>
      <c r="N393" s="987"/>
      <c r="O393" s="987"/>
      <c r="P393" s="987"/>
      <c r="Q393" s="987"/>
      <c r="R393" s="987"/>
      <c r="S393" s="987"/>
      <c r="T393" s="987"/>
      <c r="U393" s="987"/>
      <c r="V393" s="987"/>
      <c r="W393" s="987"/>
      <c r="X393" s="987"/>
      <c r="Y393" s="987"/>
      <c r="Z393" s="987"/>
      <c r="AA393" s="986"/>
    </row>
    <row r="394" hidden="1">
      <c r="A394" s="995">
        <v>160.0</v>
      </c>
      <c r="B394" s="988">
        <v>44455.0</v>
      </c>
      <c r="C394" s="989" t="s">
        <v>4900</v>
      </c>
      <c r="D394" s="434" t="s">
        <v>326</v>
      </c>
      <c r="E394" s="434" t="s">
        <v>49</v>
      </c>
      <c r="F394" s="992"/>
      <c r="G394" s="434" t="s">
        <v>42</v>
      </c>
      <c r="H394" s="989" t="s">
        <v>4901</v>
      </c>
      <c r="I394" s="989" t="s">
        <v>4902</v>
      </c>
      <c r="J394" s="987"/>
      <c r="K394" s="987"/>
      <c r="L394" s="987"/>
      <c r="M394" s="987"/>
      <c r="N394" s="987"/>
      <c r="O394" s="987"/>
      <c r="P394" s="987"/>
      <c r="Q394" s="987"/>
      <c r="R394" s="987"/>
      <c r="S394" s="987"/>
      <c r="T394" s="987"/>
      <c r="U394" s="987"/>
      <c r="V394" s="995">
        <v>44750.0</v>
      </c>
      <c r="W394" s="987"/>
      <c r="X394" s="987"/>
      <c r="Y394" s="987"/>
      <c r="Z394" s="987"/>
      <c r="AA394" s="986"/>
    </row>
    <row r="395" hidden="1">
      <c r="A395" s="995">
        <v>161.0</v>
      </c>
      <c r="B395" s="988">
        <v>44456.0</v>
      </c>
      <c r="C395" s="989" t="s">
        <v>4371</v>
      </c>
      <c r="D395" s="434" t="s">
        <v>89</v>
      </c>
      <c r="E395" s="434" t="s">
        <v>269</v>
      </c>
      <c r="F395" s="990">
        <v>1.5830908E7</v>
      </c>
      <c r="G395" s="434" t="s">
        <v>51</v>
      </c>
      <c r="H395" s="989" t="s">
        <v>4903</v>
      </c>
      <c r="I395" s="989" t="s">
        <v>4904</v>
      </c>
      <c r="J395" s="987"/>
      <c r="K395" s="436" t="s">
        <v>4654</v>
      </c>
      <c r="L395" s="436" t="s">
        <v>812</v>
      </c>
      <c r="M395" s="436" t="s">
        <v>610</v>
      </c>
      <c r="N395" s="984" t="s">
        <v>4807</v>
      </c>
      <c r="O395" s="436" t="s">
        <v>62</v>
      </c>
      <c r="P395" s="995">
        <v>44481.0</v>
      </c>
      <c r="Q395" s="987"/>
      <c r="R395" s="987"/>
      <c r="S395" s="987"/>
      <c r="T395" s="987"/>
      <c r="U395" s="436" t="s">
        <v>62</v>
      </c>
      <c r="V395" s="995">
        <v>44515.0</v>
      </c>
      <c r="W395" s="987"/>
      <c r="X395" s="987"/>
      <c r="Y395" s="987"/>
      <c r="Z395" s="987"/>
      <c r="AA395" s="986"/>
    </row>
    <row r="396" hidden="1">
      <c r="A396" s="995">
        <v>162.0</v>
      </c>
      <c r="B396" s="988">
        <v>44461.0</v>
      </c>
      <c r="C396" s="989" t="s">
        <v>4887</v>
      </c>
      <c r="D396" s="434" t="s">
        <v>3809</v>
      </c>
      <c r="E396" s="434" t="s">
        <v>3810</v>
      </c>
      <c r="F396" s="990">
        <v>1.3582476E7</v>
      </c>
      <c r="G396" s="434" t="s">
        <v>200</v>
      </c>
      <c r="H396" s="989" t="s">
        <v>4905</v>
      </c>
      <c r="I396" s="989" t="s">
        <v>4906</v>
      </c>
      <c r="J396" s="987"/>
      <c r="K396" s="436" t="s">
        <v>4890</v>
      </c>
      <c r="L396" s="436" t="s">
        <v>4907</v>
      </c>
      <c r="M396" s="984" t="s">
        <v>4891</v>
      </c>
      <c r="N396" s="987"/>
      <c r="O396" s="987"/>
      <c r="P396" s="987"/>
      <c r="Q396" s="987"/>
      <c r="R396" s="987"/>
      <c r="S396" s="436" t="s">
        <v>62</v>
      </c>
      <c r="T396" s="987"/>
      <c r="U396" s="436" t="s">
        <v>62</v>
      </c>
      <c r="V396" s="995">
        <v>44512.0</v>
      </c>
      <c r="W396" s="987"/>
      <c r="X396" s="987"/>
      <c r="Y396" s="987"/>
      <c r="Z396" s="987"/>
      <c r="AA396" s="986"/>
    </row>
    <row r="397" hidden="1">
      <c r="A397" s="995">
        <v>163.0</v>
      </c>
      <c r="B397" s="988">
        <v>44504.0</v>
      </c>
      <c r="C397" s="989" t="s">
        <v>3325</v>
      </c>
      <c r="D397" s="434" t="s">
        <v>3326</v>
      </c>
      <c r="E397" s="434" t="s">
        <v>295</v>
      </c>
      <c r="F397" s="990">
        <v>1.3521381E7</v>
      </c>
      <c r="G397" s="434" t="s">
        <v>51</v>
      </c>
      <c r="H397" s="989" t="s">
        <v>3327</v>
      </c>
      <c r="I397" s="989" t="s">
        <v>4908</v>
      </c>
      <c r="J397" s="987"/>
      <c r="K397" s="436" t="s">
        <v>4670</v>
      </c>
      <c r="L397" s="436" t="s">
        <v>705</v>
      </c>
      <c r="M397" s="987"/>
      <c r="N397" s="987"/>
      <c r="O397" s="987"/>
      <c r="P397" s="987"/>
      <c r="Q397" s="436" t="s">
        <v>62</v>
      </c>
      <c r="R397" s="995">
        <v>44504.0</v>
      </c>
      <c r="S397" s="987"/>
      <c r="T397" s="987"/>
      <c r="U397" s="436" t="s">
        <v>62</v>
      </c>
      <c r="V397" s="995">
        <v>44614.0</v>
      </c>
      <c r="W397" s="987"/>
      <c r="X397" s="987"/>
      <c r="Y397" s="987"/>
      <c r="Z397" s="987"/>
      <c r="AA397" s="986"/>
    </row>
    <row r="398" hidden="1">
      <c r="A398" s="995">
        <v>164.0</v>
      </c>
      <c r="B398" s="988">
        <v>44463.0</v>
      </c>
      <c r="C398" s="989" t="s">
        <v>4909</v>
      </c>
      <c r="D398" s="434" t="s">
        <v>4268</v>
      </c>
      <c r="E398" s="434" t="s">
        <v>4910</v>
      </c>
      <c r="F398" s="990">
        <v>1.4850671E7</v>
      </c>
      <c r="G398" s="434" t="s">
        <v>51</v>
      </c>
      <c r="H398" s="989" t="s">
        <v>4911</v>
      </c>
      <c r="I398" s="993" t="s">
        <v>4912</v>
      </c>
      <c r="J398" s="987"/>
      <c r="K398" s="436" t="s">
        <v>4913</v>
      </c>
      <c r="L398" s="987"/>
      <c r="M398" s="987"/>
      <c r="N398" s="987"/>
      <c r="O398" s="987"/>
      <c r="P398" s="987"/>
      <c r="Q398" s="436" t="s">
        <v>62</v>
      </c>
      <c r="R398" s="995">
        <v>44835.0</v>
      </c>
      <c r="S398" s="987"/>
      <c r="T398" s="987"/>
      <c r="U398" s="987"/>
      <c r="V398" s="987"/>
      <c r="W398" s="987"/>
      <c r="X398" s="987"/>
      <c r="Y398" s="987"/>
      <c r="Z398" s="987"/>
      <c r="AA398" s="986"/>
    </row>
    <row r="399" hidden="1">
      <c r="A399" s="995">
        <v>166.0</v>
      </c>
      <c r="B399" s="988">
        <v>44466.0</v>
      </c>
      <c r="C399" s="989" t="s">
        <v>4914</v>
      </c>
      <c r="D399" s="434" t="s">
        <v>918</v>
      </c>
      <c r="E399" s="434" t="s">
        <v>50</v>
      </c>
      <c r="F399" s="990">
        <v>1.635119E7</v>
      </c>
      <c r="G399" s="434" t="s">
        <v>32</v>
      </c>
      <c r="H399" s="989" t="s">
        <v>4915</v>
      </c>
      <c r="I399" s="989" t="s">
        <v>4916</v>
      </c>
      <c r="J399" s="987"/>
      <c r="K399" s="987"/>
      <c r="L399" s="987"/>
      <c r="M399" s="987"/>
      <c r="N399" s="987"/>
      <c r="O399" s="987"/>
      <c r="P399" s="987"/>
      <c r="Q399" s="987"/>
      <c r="R399" s="987"/>
      <c r="S399" s="987"/>
      <c r="T399" s="987"/>
      <c r="U399" s="987"/>
      <c r="V399" s="987"/>
      <c r="W399" s="987"/>
      <c r="X399" s="987"/>
      <c r="Y399" s="987"/>
      <c r="Z399" s="987"/>
      <c r="AA399" s="986"/>
    </row>
    <row r="400" hidden="1">
      <c r="A400" s="995">
        <v>167.0</v>
      </c>
      <c r="B400" s="988">
        <v>44466.0</v>
      </c>
      <c r="C400" s="989" t="s">
        <v>4500</v>
      </c>
      <c r="D400" s="434" t="s">
        <v>367</v>
      </c>
      <c r="E400" s="434" t="s">
        <v>49</v>
      </c>
      <c r="F400" s="434" t="s">
        <v>50</v>
      </c>
      <c r="G400" s="434" t="s">
        <v>120</v>
      </c>
      <c r="H400" s="989" t="s">
        <v>4868</v>
      </c>
      <c r="I400" s="989" t="s">
        <v>4917</v>
      </c>
      <c r="J400" s="987"/>
      <c r="K400" s="436" t="s">
        <v>123</v>
      </c>
      <c r="L400" s="436" t="s">
        <v>4918</v>
      </c>
      <c r="M400" s="436" t="s">
        <v>4919</v>
      </c>
      <c r="N400" s="984" t="s">
        <v>4807</v>
      </c>
      <c r="O400" s="436" t="s">
        <v>62</v>
      </c>
      <c r="P400" s="995">
        <v>44481.0</v>
      </c>
      <c r="Q400" s="987"/>
      <c r="R400" s="987"/>
      <c r="S400" s="987"/>
      <c r="T400" s="987"/>
      <c r="U400" s="436" t="s">
        <v>62</v>
      </c>
      <c r="V400" s="995">
        <v>44483.0</v>
      </c>
      <c r="W400" s="987"/>
      <c r="X400" s="987"/>
      <c r="Y400" s="987"/>
      <c r="Z400" s="987"/>
      <c r="AA400" s="986"/>
    </row>
    <row r="401" hidden="1">
      <c r="A401" s="995">
        <v>168.0</v>
      </c>
      <c r="B401" s="988">
        <v>44466.0</v>
      </c>
      <c r="C401" s="989" t="s">
        <v>4500</v>
      </c>
      <c r="D401" s="434" t="s">
        <v>367</v>
      </c>
      <c r="E401" s="434" t="s">
        <v>49</v>
      </c>
      <c r="F401" s="434" t="s">
        <v>50</v>
      </c>
      <c r="G401" s="434" t="s">
        <v>120</v>
      </c>
      <c r="H401" s="989" t="s">
        <v>4868</v>
      </c>
      <c r="I401" s="989" t="s">
        <v>4920</v>
      </c>
      <c r="J401" s="987"/>
      <c r="K401" s="436" t="s">
        <v>123</v>
      </c>
      <c r="L401" s="436" t="s">
        <v>4918</v>
      </c>
      <c r="M401" s="436" t="s">
        <v>4919</v>
      </c>
      <c r="N401" s="984" t="s">
        <v>4807</v>
      </c>
      <c r="O401" s="436" t="s">
        <v>62</v>
      </c>
      <c r="P401" s="995">
        <v>44481.0</v>
      </c>
      <c r="Q401" s="987"/>
      <c r="R401" s="987"/>
      <c r="S401" s="987"/>
      <c r="T401" s="987"/>
      <c r="U401" s="436" t="s">
        <v>62</v>
      </c>
      <c r="V401" s="995">
        <v>44483.0</v>
      </c>
      <c r="W401" s="987"/>
      <c r="X401" s="987"/>
      <c r="Y401" s="987"/>
      <c r="Z401" s="987"/>
      <c r="AA401" s="986"/>
    </row>
    <row r="402" hidden="1">
      <c r="A402" s="995">
        <v>169.0</v>
      </c>
      <c r="B402" s="988">
        <v>44467.0</v>
      </c>
      <c r="C402" s="989" t="s">
        <v>4914</v>
      </c>
      <c r="D402" s="434" t="s">
        <v>918</v>
      </c>
      <c r="E402" s="434" t="s">
        <v>4519</v>
      </c>
      <c r="F402" s="434" t="s">
        <v>50</v>
      </c>
      <c r="G402" s="434" t="s">
        <v>32</v>
      </c>
      <c r="H402" s="989" t="s">
        <v>4921</v>
      </c>
      <c r="I402" s="989" t="s">
        <v>4922</v>
      </c>
      <c r="J402" s="987"/>
      <c r="K402" s="436" t="s">
        <v>4893</v>
      </c>
      <c r="L402" s="436" t="s">
        <v>4923</v>
      </c>
      <c r="M402" s="987"/>
      <c r="N402" s="987"/>
      <c r="O402" s="987"/>
      <c r="P402" s="987"/>
      <c r="Q402" s="436" t="s">
        <v>150</v>
      </c>
      <c r="R402" s="995">
        <v>44473.0</v>
      </c>
      <c r="S402" s="987"/>
      <c r="T402" s="987"/>
      <c r="U402" s="436" t="s">
        <v>62</v>
      </c>
      <c r="V402" s="995">
        <v>45035.0</v>
      </c>
      <c r="W402" s="987"/>
      <c r="X402" s="987"/>
      <c r="Y402" s="987"/>
      <c r="Z402" s="987"/>
      <c r="AA402" s="986"/>
    </row>
    <row r="403" hidden="1">
      <c r="A403" s="995">
        <v>170.0</v>
      </c>
      <c r="B403" s="988">
        <v>44467.0</v>
      </c>
      <c r="C403" s="989" t="s">
        <v>4914</v>
      </c>
      <c r="D403" s="434" t="s">
        <v>918</v>
      </c>
      <c r="E403" s="434" t="s">
        <v>4519</v>
      </c>
      <c r="F403" s="434" t="s">
        <v>50</v>
      </c>
      <c r="G403" s="434" t="s">
        <v>32</v>
      </c>
      <c r="H403" s="989" t="s">
        <v>4924</v>
      </c>
      <c r="I403" s="989" t="s">
        <v>4922</v>
      </c>
      <c r="J403" s="987"/>
      <c r="K403" s="436" t="s">
        <v>4893</v>
      </c>
      <c r="L403" s="436" t="s">
        <v>4925</v>
      </c>
      <c r="M403" s="987"/>
      <c r="N403" s="987"/>
      <c r="O403" s="987"/>
      <c r="P403" s="987"/>
      <c r="Q403" s="436" t="s">
        <v>150</v>
      </c>
      <c r="R403" s="995">
        <v>44473.0</v>
      </c>
      <c r="S403" s="987"/>
      <c r="T403" s="987"/>
      <c r="U403" s="987"/>
      <c r="V403" s="987"/>
      <c r="W403" s="987"/>
      <c r="X403" s="987"/>
      <c r="Y403" s="987"/>
      <c r="Z403" s="987"/>
      <c r="AA403" s="986"/>
    </row>
    <row r="404" hidden="1">
      <c r="A404" s="995">
        <v>171.0</v>
      </c>
      <c r="B404" s="988">
        <v>44468.0</v>
      </c>
      <c r="C404" s="989" t="s">
        <v>4900</v>
      </c>
      <c r="D404" s="434" t="s">
        <v>326</v>
      </c>
      <c r="E404" s="434" t="s">
        <v>160</v>
      </c>
      <c r="F404" s="434" t="s">
        <v>50</v>
      </c>
      <c r="G404" s="434" t="s">
        <v>570</v>
      </c>
      <c r="H404" s="989" t="s">
        <v>4926</v>
      </c>
      <c r="I404" s="989" t="s">
        <v>4927</v>
      </c>
      <c r="J404" s="987"/>
      <c r="K404" s="436" t="s">
        <v>4928</v>
      </c>
      <c r="L404" s="436" t="s">
        <v>491</v>
      </c>
      <c r="M404" s="436" t="s">
        <v>4929</v>
      </c>
      <c r="N404" s="987"/>
      <c r="O404" s="436" t="s">
        <v>150</v>
      </c>
      <c r="P404" s="995">
        <v>44484.0</v>
      </c>
      <c r="Q404" s="987"/>
      <c r="R404" s="987"/>
      <c r="S404" s="987"/>
      <c r="T404" s="987"/>
      <c r="U404" s="987"/>
      <c r="V404" s="987"/>
      <c r="W404" s="987"/>
      <c r="X404" s="987"/>
      <c r="Y404" s="987"/>
      <c r="Z404" s="987"/>
      <c r="AA404" s="986"/>
    </row>
    <row r="405" hidden="1">
      <c r="A405" s="995">
        <v>172.0</v>
      </c>
      <c r="B405" s="988">
        <v>44468.0</v>
      </c>
      <c r="C405" s="989" t="s">
        <v>4914</v>
      </c>
      <c r="D405" s="434" t="s">
        <v>918</v>
      </c>
      <c r="E405" s="434" t="s">
        <v>4519</v>
      </c>
      <c r="F405" s="434" t="s">
        <v>50</v>
      </c>
      <c r="G405" s="434" t="s">
        <v>32</v>
      </c>
      <c r="H405" s="989" t="s">
        <v>4930</v>
      </c>
      <c r="I405" s="989" t="s">
        <v>4931</v>
      </c>
      <c r="J405" s="987"/>
      <c r="K405" s="436" t="s">
        <v>4893</v>
      </c>
      <c r="L405" s="436" t="s">
        <v>4932</v>
      </c>
      <c r="M405" s="987"/>
      <c r="N405" s="987"/>
      <c r="O405" s="987"/>
      <c r="P405" s="987"/>
      <c r="Q405" s="436" t="s">
        <v>150</v>
      </c>
      <c r="R405" s="995">
        <v>44473.0</v>
      </c>
      <c r="S405" s="987"/>
      <c r="T405" s="987"/>
      <c r="U405" s="436" t="s">
        <v>62</v>
      </c>
      <c r="V405" s="995">
        <v>45035.0</v>
      </c>
      <c r="W405" s="987"/>
      <c r="X405" s="987"/>
      <c r="Y405" s="987"/>
      <c r="Z405" s="987"/>
      <c r="AA405" s="986"/>
    </row>
    <row r="406" hidden="1">
      <c r="A406" s="995">
        <v>174.0</v>
      </c>
      <c r="B406" s="988">
        <v>44473.0</v>
      </c>
      <c r="C406" s="989" t="s">
        <v>4371</v>
      </c>
      <c r="D406" s="434" t="s">
        <v>89</v>
      </c>
      <c r="E406" s="434" t="s">
        <v>269</v>
      </c>
      <c r="F406" s="990">
        <v>1.5830919E7</v>
      </c>
      <c r="G406" s="434" t="s">
        <v>51</v>
      </c>
      <c r="H406" s="989" t="s">
        <v>4933</v>
      </c>
      <c r="I406" s="989" t="s">
        <v>4934</v>
      </c>
      <c r="J406" s="987"/>
      <c r="K406" s="436" t="s">
        <v>4654</v>
      </c>
      <c r="L406" s="436" t="s">
        <v>1276</v>
      </c>
      <c r="M406" s="987"/>
      <c r="N406" s="987"/>
      <c r="O406" s="436" t="s">
        <v>62</v>
      </c>
      <c r="P406" s="995">
        <v>44474.0</v>
      </c>
      <c r="Q406" s="987"/>
      <c r="R406" s="987"/>
      <c r="S406" s="987"/>
      <c r="T406" s="987"/>
      <c r="U406" s="436" t="s">
        <v>62</v>
      </c>
      <c r="V406" s="995">
        <v>44579.0</v>
      </c>
      <c r="W406" s="987"/>
      <c r="X406" s="987"/>
      <c r="Y406" s="987"/>
      <c r="Z406" s="987"/>
      <c r="AA406" s="986"/>
    </row>
    <row r="407" hidden="1">
      <c r="A407" s="995">
        <v>175.0</v>
      </c>
      <c r="B407" s="988">
        <v>44473.0</v>
      </c>
      <c r="C407" s="989" t="s">
        <v>4371</v>
      </c>
      <c r="D407" s="434" t="s">
        <v>89</v>
      </c>
      <c r="E407" s="434" t="s">
        <v>269</v>
      </c>
      <c r="F407" s="990">
        <v>1.5830907E7</v>
      </c>
      <c r="G407" s="434" t="s">
        <v>51</v>
      </c>
      <c r="H407" s="989" t="s">
        <v>4935</v>
      </c>
      <c r="I407" s="989" t="s">
        <v>4936</v>
      </c>
      <c r="J407" s="987"/>
      <c r="K407" s="436" t="s">
        <v>4654</v>
      </c>
      <c r="L407" s="436" t="s">
        <v>4937</v>
      </c>
      <c r="M407" s="436" t="s">
        <v>4938</v>
      </c>
      <c r="N407" s="987"/>
      <c r="O407" s="436" t="s">
        <v>62</v>
      </c>
      <c r="P407" s="995">
        <v>44732.0</v>
      </c>
      <c r="Q407" s="987"/>
      <c r="R407" s="987"/>
      <c r="S407" s="987"/>
      <c r="T407" s="987"/>
      <c r="U407" s="436" t="s">
        <v>62</v>
      </c>
      <c r="V407" s="995">
        <v>44802.0</v>
      </c>
      <c r="W407" s="987"/>
      <c r="X407" s="987"/>
      <c r="Y407" s="987"/>
      <c r="Z407" s="987"/>
      <c r="AA407" s="986"/>
    </row>
    <row r="408" hidden="1">
      <c r="A408" s="995">
        <v>176.0</v>
      </c>
      <c r="B408" s="996">
        <v>44474.0</v>
      </c>
      <c r="C408" s="984" t="s">
        <v>4336</v>
      </c>
      <c r="D408" s="436" t="s">
        <v>4337</v>
      </c>
      <c r="E408" s="436" t="s">
        <v>4338</v>
      </c>
      <c r="F408" s="995">
        <v>1.6640084E7</v>
      </c>
      <c r="G408" s="436" t="s">
        <v>200</v>
      </c>
      <c r="H408" s="984" t="s">
        <v>4939</v>
      </c>
      <c r="I408" s="999" t="s">
        <v>4940</v>
      </c>
      <c r="J408" s="987"/>
      <c r="K408" s="987"/>
      <c r="L408" s="987"/>
      <c r="M408" s="987"/>
      <c r="N408" s="987"/>
      <c r="O408" s="987"/>
      <c r="P408" s="987"/>
      <c r="Q408" s="987"/>
      <c r="R408" s="987"/>
      <c r="S408" s="987"/>
      <c r="T408" s="987"/>
      <c r="U408" s="987"/>
      <c r="V408" s="987"/>
      <c r="W408" s="987"/>
      <c r="X408" s="987"/>
      <c r="Y408" s="987"/>
      <c r="Z408" s="987"/>
      <c r="AA408" s="986"/>
    </row>
    <row r="409" hidden="1">
      <c r="A409" s="995">
        <v>177.0</v>
      </c>
      <c r="B409" s="996">
        <v>44474.0</v>
      </c>
      <c r="C409" s="984" t="s">
        <v>4336</v>
      </c>
      <c r="D409" s="436" t="s">
        <v>4337</v>
      </c>
      <c r="E409" s="436" t="s">
        <v>4338</v>
      </c>
      <c r="F409" s="995">
        <v>1.6640085E7</v>
      </c>
      <c r="G409" s="436" t="s">
        <v>200</v>
      </c>
      <c r="H409" s="984" t="s">
        <v>4939</v>
      </c>
      <c r="I409" s="999" t="s">
        <v>4940</v>
      </c>
      <c r="J409" s="987"/>
      <c r="K409" s="987"/>
      <c r="L409" s="987"/>
      <c r="M409" s="987"/>
      <c r="N409" s="987"/>
      <c r="O409" s="987"/>
      <c r="P409" s="987"/>
      <c r="Q409" s="987"/>
      <c r="R409" s="987"/>
      <c r="S409" s="987"/>
      <c r="T409" s="987"/>
      <c r="U409" s="987"/>
      <c r="V409" s="987"/>
      <c r="W409" s="987"/>
      <c r="X409" s="987"/>
      <c r="Y409" s="987"/>
      <c r="Z409" s="987"/>
      <c r="AA409" s="986"/>
    </row>
    <row r="410" hidden="1">
      <c r="A410" s="995">
        <v>178.0</v>
      </c>
      <c r="B410" s="988">
        <v>44475.0</v>
      </c>
      <c r="C410" s="989" t="s">
        <v>4941</v>
      </c>
      <c r="D410" s="434" t="s">
        <v>2939</v>
      </c>
      <c r="E410" s="434" t="s">
        <v>3022</v>
      </c>
      <c r="F410" s="990">
        <v>1.4810185E7</v>
      </c>
      <c r="G410" s="434" t="s">
        <v>200</v>
      </c>
      <c r="H410" s="989" t="s">
        <v>4942</v>
      </c>
      <c r="I410" s="989" t="s">
        <v>4943</v>
      </c>
      <c r="J410" s="987"/>
      <c r="K410" s="436" t="s">
        <v>2942</v>
      </c>
      <c r="L410" s="436" t="s">
        <v>4944</v>
      </c>
      <c r="M410" s="987"/>
      <c r="N410" s="987"/>
      <c r="O410" s="436" t="s">
        <v>62</v>
      </c>
      <c r="P410" s="995">
        <v>44477.0</v>
      </c>
      <c r="Q410" s="987"/>
      <c r="R410" s="987"/>
      <c r="S410" s="987"/>
      <c r="T410" s="987"/>
      <c r="U410" s="436" t="s">
        <v>62</v>
      </c>
      <c r="V410" s="995">
        <v>44544.0</v>
      </c>
      <c r="W410" s="987"/>
      <c r="X410" s="987"/>
      <c r="Y410" s="987"/>
      <c r="Z410" s="987"/>
      <c r="AA410" s="986"/>
    </row>
    <row r="411" hidden="1">
      <c r="A411" s="995">
        <v>179.0</v>
      </c>
      <c r="B411" s="988">
        <v>44476.0</v>
      </c>
      <c r="C411" s="989" t="s">
        <v>3311</v>
      </c>
      <c r="D411" s="434" t="s">
        <v>4550</v>
      </c>
      <c r="E411" s="434" t="s">
        <v>49</v>
      </c>
      <c r="F411" s="990">
        <v>1.578129E7</v>
      </c>
      <c r="G411" s="434" t="s">
        <v>32</v>
      </c>
      <c r="H411" s="989" t="s">
        <v>4945</v>
      </c>
      <c r="I411" s="989" t="s">
        <v>4946</v>
      </c>
      <c r="J411" s="987"/>
      <c r="K411" s="436" t="s">
        <v>889</v>
      </c>
      <c r="L411" s="436" t="s">
        <v>1374</v>
      </c>
      <c r="M411" s="987"/>
      <c r="N411" s="984" t="s">
        <v>4807</v>
      </c>
      <c r="O411" s="436" t="s">
        <v>62</v>
      </c>
      <c r="P411" s="995">
        <v>44477.0</v>
      </c>
      <c r="Q411" s="987"/>
      <c r="R411" s="987"/>
      <c r="S411" s="987"/>
      <c r="T411" s="987"/>
      <c r="U411" s="436" t="s">
        <v>62</v>
      </c>
      <c r="V411" s="995">
        <v>44494.0</v>
      </c>
      <c r="W411" s="987"/>
      <c r="X411" s="987"/>
      <c r="Y411" s="987"/>
      <c r="Z411" s="987"/>
      <c r="AA411" s="986"/>
    </row>
    <row r="412" hidden="1">
      <c r="A412" s="995">
        <v>180.0</v>
      </c>
      <c r="B412" s="991">
        <v>44480.0</v>
      </c>
      <c r="C412" s="989" t="s">
        <v>4947</v>
      </c>
      <c r="D412" s="434" t="s">
        <v>4948</v>
      </c>
      <c r="E412" s="434" t="s">
        <v>4949</v>
      </c>
      <c r="F412" s="990">
        <v>1.4710893E7</v>
      </c>
      <c r="G412" s="434" t="s">
        <v>51</v>
      </c>
      <c r="H412" s="989" t="s">
        <v>4950</v>
      </c>
      <c r="I412" s="993" t="s">
        <v>4951</v>
      </c>
      <c r="J412" s="987"/>
      <c r="K412" s="436" t="s">
        <v>4952</v>
      </c>
      <c r="L412" s="436" t="s">
        <v>4953</v>
      </c>
      <c r="M412" s="436" t="s">
        <v>4954</v>
      </c>
      <c r="N412" s="987"/>
      <c r="O412" s="436" t="s">
        <v>62</v>
      </c>
      <c r="P412" s="995">
        <v>44553.0</v>
      </c>
      <c r="Q412" s="987"/>
      <c r="R412" s="987"/>
      <c r="S412" s="987"/>
      <c r="T412" s="987"/>
      <c r="U412" s="436" t="s">
        <v>62</v>
      </c>
      <c r="V412" s="995">
        <v>44557.0</v>
      </c>
      <c r="W412" s="987"/>
      <c r="X412" s="987"/>
      <c r="Y412" s="987"/>
      <c r="Z412" s="987"/>
      <c r="AA412" s="986"/>
    </row>
    <row r="413" hidden="1">
      <c r="A413" s="995">
        <v>181.0</v>
      </c>
      <c r="B413" s="991">
        <v>44480.0</v>
      </c>
      <c r="C413" s="989" t="s">
        <v>4371</v>
      </c>
      <c r="D413" s="434" t="s">
        <v>89</v>
      </c>
      <c r="E413" s="434" t="s">
        <v>269</v>
      </c>
      <c r="F413" s="990">
        <v>1.5830913E7</v>
      </c>
      <c r="G413" s="434" t="s">
        <v>51</v>
      </c>
      <c r="H413" s="989" t="s">
        <v>4955</v>
      </c>
      <c r="I413" s="989" t="s">
        <v>4956</v>
      </c>
      <c r="J413" s="987"/>
      <c r="K413" s="436" t="s">
        <v>4654</v>
      </c>
      <c r="L413" s="436" t="s">
        <v>562</v>
      </c>
      <c r="M413" s="436" t="s">
        <v>4938</v>
      </c>
      <c r="N413" s="987"/>
      <c r="O413" s="436" t="s">
        <v>62</v>
      </c>
      <c r="P413" s="995">
        <v>44732.0</v>
      </c>
      <c r="Q413" s="987"/>
      <c r="R413" s="987"/>
      <c r="S413" s="987"/>
      <c r="T413" s="987"/>
      <c r="U413" s="436" t="s">
        <v>62</v>
      </c>
      <c r="V413" s="995">
        <v>44853.0</v>
      </c>
      <c r="W413" s="987"/>
      <c r="X413" s="987"/>
      <c r="Y413" s="987"/>
      <c r="Z413" s="987"/>
      <c r="AA413" s="986"/>
    </row>
    <row r="414" hidden="1">
      <c r="A414" s="995">
        <v>182.0</v>
      </c>
      <c r="B414" s="991">
        <v>44480.0</v>
      </c>
      <c r="C414" s="989" t="s">
        <v>4371</v>
      </c>
      <c r="D414" s="434" t="s">
        <v>89</v>
      </c>
      <c r="E414" s="434" t="s">
        <v>269</v>
      </c>
      <c r="F414" s="990">
        <v>1.5830916E7</v>
      </c>
      <c r="G414" s="434" t="s">
        <v>51</v>
      </c>
      <c r="H414" s="989" t="s">
        <v>4957</v>
      </c>
      <c r="I414" s="989" t="s">
        <v>4958</v>
      </c>
      <c r="J414" s="987"/>
      <c r="K414" s="436" t="s">
        <v>4654</v>
      </c>
      <c r="L414" s="436" t="s">
        <v>1276</v>
      </c>
      <c r="M414" s="436" t="s">
        <v>610</v>
      </c>
      <c r="N414" s="987"/>
      <c r="O414" s="436" t="s">
        <v>62</v>
      </c>
      <c r="P414" s="995">
        <v>44732.0</v>
      </c>
      <c r="Q414" s="987"/>
      <c r="R414" s="987"/>
      <c r="S414" s="987"/>
      <c r="T414" s="987"/>
      <c r="U414" s="436" t="s">
        <v>62</v>
      </c>
      <c r="V414" s="995">
        <v>44802.0</v>
      </c>
      <c r="W414" s="987"/>
      <c r="X414" s="987"/>
      <c r="Y414" s="987"/>
      <c r="Z414" s="987"/>
      <c r="AA414" s="986"/>
    </row>
    <row r="415" hidden="1">
      <c r="A415" s="995">
        <v>183.0</v>
      </c>
      <c r="B415" s="991">
        <v>44481.0</v>
      </c>
      <c r="C415" s="989" t="s">
        <v>4864</v>
      </c>
      <c r="D415" s="434" t="s">
        <v>3326</v>
      </c>
      <c r="E415" s="434" t="s">
        <v>295</v>
      </c>
      <c r="F415" s="990">
        <v>1.3521376E7</v>
      </c>
      <c r="G415" s="434" t="s">
        <v>51</v>
      </c>
      <c r="H415" s="989" t="s">
        <v>3327</v>
      </c>
      <c r="I415" s="993" t="s">
        <v>4959</v>
      </c>
      <c r="J415" s="987"/>
      <c r="K415" s="436" t="s">
        <v>3329</v>
      </c>
      <c r="L415" s="987"/>
      <c r="M415" s="987"/>
      <c r="N415" s="984" t="s">
        <v>4863</v>
      </c>
      <c r="O415" s="436" t="s">
        <v>62</v>
      </c>
      <c r="P415" s="995">
        <v>44508.0</v>
      </c>
      <c r="Q415" s="987"/>
      <c r="R415" s="987"/>
      <c r="S415" s="987"/>
      <c r="T415" s="987"/>
      <c r="U415" s="987"/>
      <c r="V415" s="987"/>
      <c r="W415" s="987"/>
      <c r="X415" s="987"/>
      <c r="Y415" s="987"/>
      <c r="Z415" s="987"/>
      <c r="AA415" s="986"/>
    </row>
    <row r="416" hidden="1">
      <c r="A416" s="995">
        <v>184.0</v>
      </c>
      <c r="B416" s="991">
        <v>44481.0</v>
      </c>
      <c r="C416" s="989" t="s">
        <v>4864</v>
      </c>
      <c r="D416" s="434" t="s">
        <v>3326</v>
      </c>
      <c r="E416" s="434" t="s">
        <v>295</v>
      </c>
      <c r="F416" s="990">
        <v>1.3521379E7</v>
      </c>
      <c r="G416" s="434" t="s">
        <v>51</v>
      </c>
      <c r="H416" s="989" t="s">
        <v>3327</v>
      </c>
      <c r="I416" s="989" t="s">
        <v>4960</v>
      </c>
      <c r="J416" s="987"/>
      <c r="K416" s="436" t="s">
        <v>3329</v>
      </c>
      <c r="L416" s="436" t="s">
        <v>3133</v>
      </c>
      <c r="M416" s="436" t="s">
        <v>4806</v>
      </c>
      <c r="N416" s="987"/>
      <c r="O416" s="436" t="s">
        <v>62</v>
      </c>
      <c r="P416" s="995">
        <v>44587.0</v>
      </c>
      <c r="Q416" s="987"/>
      <c r="R416" s="987"/>
      <c r="S416" s="987"/>
      <c r="T416" s="987"/>
      <c r="U416" s="436" t="s">
        <v>62</v>
      </c>
      <c r="V416" s="995">
        <v>44588.0</v>
      </c>
      <c r="W416" s="987"/>
      <c r="X416" s="987"/>
      <c r="Y416" s="987"/>
      <c r="Z416" s="987"/>
      <c r="AA416" s="986"/>
    </row>
    <row r="417" hidden="1">
      <c r="A417" s="995">
        <v>185.0</v>
      </c>
      <c r="B417" s="991">
        <v>44481.0</v>
      </c>
      <c r="C417" s="989" t="s">
        <v>4961</v>
      </c>
      <c r="D417" s="434" t="s">
        <v>4034</v>
      </c>
      <c r="E417" s="434" t="s">
        <v>4035</v>
      </c>
      <c r="F417" s="434" t="s">
        <v>50</v>
      </c>
      <c r="G417" s="434" t="s">
        <v>120</v>
      </c>
      <c r="H417" s="989" t="s">
        <v>4962</v>
      </c>
      <c r="I417" s="993" t="s">
        <v>4963</v>
      </c>
      <c r="J417" s="987"/>
      <c r="K417" s="436" t="s">
        <v>4964</v>
      </c>
      <c r="L417" s="436" t="s">
        <v>705</v>
      </c>
      <c r="M417" s="436" t="s">
        <v>4965</v>
      </c>
      <c r="N417" s="984" t="s">
        <v>4807</v>
      </c>
      <c r="O417" s="987"/>
      <c r="P417" s="987"/>
      <c r="Q417" s="436" t="s">
        <v>62</v>
      </c>
      <c r="R417" s="995">
        <v>44490.0</v>
      </c>
      <c r="S417" s="987"/>
      <c r="T417" s="987"/>
      <c r="U417" s="436" t="s">
        <v>62</v>
      </c>
      <c r="V417" s="995">
        <v>44512.0</v>
      </c>
      <c r="W417" s="987"/>
      <c r="X417" s="987"/>
      <c r="Y417" s="987"/>
      <c r="Z417" s="987"/>
      <c r="AA417" s="986"/>
    </row>
    <row r="418" hidden="1">
      <c r="A418" s="995">
        <v>186.0</v>
      </c>
      <c r="B418" s="991">
        <v>44481.0</v>
      </c>
      <c r="C418" s="989" t="s">
        <v>4961</v>
      </c>
      <c r="D418" s="434" t="s">
        <v>4034</v>
      </c>
      <c r="E418" s="434" t="s">
        <v>4035</v>
      </c>
      <c r="F418" s="434" t="s">
        <v>50</v>
      </c>
      <c r="G418" s="434" t="s">
        <v>120</v>
      </c>
      <c r="H418" s="989" t="s">
        <v>4966</v>
      </c>
      <c r="I418" s="993" t="s">
        <v>4967</v>
      </c>
      <c r="J418" s="987"/>
      <c r="K418" s="436" t="s">
        <v>4964</v>
      </c>
      <c r="L418" s="436" t="s">
        <v>495</v>
      </c>
      <c r="M418" s="436" t="s">
        <v>4965</v>
      </c>
      <c r="N418" s="984" t="s">
        <v>4807</v>
      </c>
      <c r="O418" s="987"/>
      <c r="P418" s="987"/>
      <c r="Q418" s="436" t="s">
        <v>62</v>
      </c>
      <c r="R418" s="995">
        <v>44483.0</v>
      </c>
      <c r="S418" s="987"/>
      <c r="T418" s="987"/>
      <c r="U418" s="436" t="s">
        <v>62</v>
      </c>
      <c r="V418" s="995">
        <v>44512.0</v>
      </c>
      <c r="W418" s="987"/>
      <c r="X418" s="987"/>
      <c r="Y418" s="987"/>
      <c r="Z418" s="987"/>
      <c r="AA418" s="986"/>
    </row>
    <row r="419" hidden="1">
      <c r="A419" s="995">
        <v>187.0</v>
      </c>
      <c r="B419" s="991">
        <v>44482.0</v>
      </c>
      <c r="C419" s="989" t="s">
        <v>4526</v>
      </c>
      <c r="D419" s="434" t="s">
        <v>48</v>
      </c>
      <c r="E419" s="434" t="s">
        <v>49</v>
      </c>
      <c r="F419" s="990">
        <v>1.4691906E7</v>
      </c>
      <c r="G419" s="434" t="s">
        <v>51</v>
      </c>
      <c r="H419" s="989" t="s">
        <v>4968</v>
      </c>
      <c r="I419" s="989" t="s">
        <v>4969</v>
      </c>
      <c r="J419" s="987"/>
      <c r="K419" s="436" t="s">
        <v>3232</v>
      </c>
      <c r="L419" s="436" t="s">
        <v>613</v>
      </c>
      <c r="M419" s="436" t="s">
        <v>610</v>
      </c>
      <c r="N419" s="984" t="s">
        <v>4807</v>
      </c>
      <c r="O419" s="436" t="s">
        <v>62</v>
      </c>
      <c r="P419" s="995">
        <v>44482.0</v>
      </c>
      <c r="Q419" s="987"/>
      <c r="R419" s="987"/>
      <c r="S419" s="987"/>
      <c r="T419" s="987"/>
      <c r="U419" s="436" t="s">
        <v>62</v>
      </c>
      <c r="V419" s="995">
        <v>44525.0</v>
      </c>
      <c r="W419" s="987"/>
      <c r="X419" s="987"/>
      <c r="Y419" s="987"/>
      <c r="Z419" s="987"/>
      <c r="AA419" s="986"/>
    </row>
    <row r="420">
      <c r="A420" s="995">
        <v>190.0</v>
      </c>
      <c r="B420" s="991">
        <v>44487.0</v>
      </c>
      <c r="C420" s="989" t="s">
        <v>4970</v>
      </c>
      <c r="D420" s="434" t="s">
        <v>1131</v>
      </c>
      <c r="E420" s="434" t="s">
        <v>4971</v>
      </c>
      <c r="F420" s="990">
        <v>1.684044E7</v>
      </c>
      <c r="G420" s="434" t="s">
        <v>120</v>
      </c>
      <c r="H420" s="989" t="s">
        <v>4972</v>
      </c>
      <c r="I420" s="993" t="s">
        <v>4973</v>
      </c>
      <c r="J420" s="987"/>
      <c r="K420" s="436" t="s">
        <v>1135</v>
      </c>
      <c r="L420" s="436" t="s">
        <v>4974</v>
      </c>
      <c r="M420" s="436" t="s">
        <v>1137</v>
      </c>
      <c r="N420" s="987"/>
      <c r="O420" s="987"/>
      <c r="P420" s="987"/>
      <c r="Q420" s="987"/>
      <c r="R420" s="987"/>
      <c r="S420" s="436" t="s">
        <v>62</v>
      </c>
      <c r="T420" s="995">
        <v>44509.0</v>
      </c>
      <c r="U420" s="987"/>
      <c r="V420" s="987"/>
      <c r="W420" s="987"/>
      <c r="X420" s="987"/>
      <c r="Y420" s="987"/>
      <c r="Z420" s="987"/>
      <c r="AA420" s="986"/>
    </row>
    <row r="421" hidden="1">
      <c r="A421" s="995">
        <v>191.0</v>
      </c>
      <c r="B421" s="988">
        <v>44078.0</v>
      </c>
      <c r="C421" s="989" t="s">
        <v>4961</v>
      </c>
      <c r="D421" s="434" t="s">
        <v>4034</v>
      </c>
      <c r="E421" s="434" t="s">
        <v>4035</v>
      </c>
      <c r="F421" s="434" t="s">
        <v>50</v>
      </c>
      <c r="G421" s="434" t="s">
        <v>120</v>
      </c>
      <c r="H421" s="989" t="s">
        <v>4975</v>
      </c>
      <c r="I421" s="989" t="s">
        <v>4976</v>
      </c>
      <c r="J421" s="987"/>
      <c r="K421" s="436" t="s">
        <v>4964</v>
      </c>
      <c r="L421" s="436" t="s">
        <v>343</v>
      </c>
      <c r="M421" s="436" t="s">
        <v>4977</v>
      </c>
      <c r="N421" s="987"/>
      <c r="O421" s="987"/>
      <c r="P421" s="987"/>
      <c r="Q421" s="987"/>
      <c r="R421" s="987"/>
      <c r="S421" s="436" t="s">
        <v>150</v>
      </c>
      <c r="T421" s="995">
        <v>44365.0</v>
      </c>
      <c r="U421" s="987"/>
      <c r="V421" s="987"/>
      <c r="W421" s="987"/>
      <c r="X421" s="987"/>
      <c r="Y421" s="987"/>
      <c r="Z421" s="987"/>
      <c r="AA421" s="986"/>
    </row>
    <row r="422" hidden="1">
      <c r="A422" s="995">
        <v>192.0</v>
      </c>
      <c r="B422" s="991">
        <v>44491.0</v>
      </c>
      <c r="C422" s="989" t="s">
        <v>4978</v>
      </c>
      <c r="D422" s="434" t="s">
        <v>540</v>
      </c>
      <c r="E422" s="434" t="s">
        <v>541</v>
      </c>
      <c r="F422" s="990">
        <v>1.5270838E7</v>
      </c>
      <c r="G422" s="434" t="s">
        <v>103</v>
      </c>
      <c r="H422" s="989" t="s">
        <v>4979</v>
      </c>
      <c r="I422" s="989" t="s">
        <v>4980</v>
      </c>
      <c r="J422" s="987"/>
      <c r="K422" s="436" t="s">
        <v>4981</v>
      </c>
      <c r="L422" s="436" t="s">
        <v>4982</v>
      </c>
      <c r="M422" s="984" t="s">
        <v>4983</v>
      </c>
      <c r="N422" s="984" t="s">
        <v>4807</v>
      </c>
      <c r="O422" s="436" t="s">
        <v>62</v>
      </c>
      <c r="P422" s="995">
        <v>44502.0</v>
      </c>
      <c r="Q422" s="987"/>
      <c r="R422" s="987"/>
      <c r="S422" s="987"/>
      <c r="T422" s="987"/>
      <c r="U422" s="436" t="s">
        <v>62</v>
      </c>
      <c r="V422" s="995">
        <v>44585.0</v>
      </c>
      <c r="W422" s="987"/>
      <c r="X422" s="987"/>
      <c r="Y422" s="987"/>
      <c r="Z422" s="987"/>
      <c r="AA422" s="986"/>
    </row>
    <row r="423" hidden="1">
      <c r="A423" s="995">
        <v>193.0</v>
      </c>
      <c r="B423" s="988">
        <v>44412.0</v>
      </c>
      <c r="C423" s="989" t="s">
        <v>4526</v>
      </c>
      <c r="D423" s="434" t="s">
        <v>48</v>
      </c>
      <c r="E423" s="434" t="s">
        <v>305</v>
      </c>
      <c r="F423" s="990">
        <v>1.4691885E7</v>
      </c>
      <c r="G423" s="434" t="s">
        <v>51</v>
      </c>
      <c r="H423" s="989" t="s">
        <v>4984</v>
      </c>
      <c r="I423" s="989" t="s">
        <v>4985</v>
      </c>
      <c r="J423" s="987"/>
      <c r="K423" s="436" t="s">
        <v>143</v>
      </c>
      <c r="L423" s="436" t="s">
        <v>4986</v>
      </c>
      <c r="M423" s="436" t="s">
        <v>4987</v>
      </c>
      <c r="N423" s="984" t="s">
        <v>4807</v>
      </c>
      <c r="O423" s="436" t="s">
        <v>62</v>
      </c>
      <c r="P423" s="995">
        <v>44495.0</v>
      </c>
      <c r="Q423" s="987"/>
      <c r="R423" s="987"/>
      <c r="S423" s="987"/>
      <c r="T423" s="987"/>
      <c r="U423" s="436" t="s">
        <v>62</v>
      </c>
      <c r="V423" s="995">
        <v>44525.0</v>
      </c>
      <c r="W423" s="987"/>
      <c r="X423" s="987"/>
      <c r="Y423" s="987"/>
      <c r="Z423" s="987"/>
      <c r="AA423" s="986"/>
    </row>
    <row r="424" hidden="1">
      <c r="A424" s="995">
        <v>194.0</v>
      </c>
      <c r="B424" s="991">
        <v>44495.0</v>
      </c>
      <c r="C424" s="989" t="s">
        <v>3325</v>
      </c>
      <c r="D424" s="434" t="s">
        <v>3326</v>
      </c>
      <c r="E424" s="434" t="s">
        <v>295</v>
      </c>
      <c r="F424" s="990">
        <v>1.3521382E7</v>
      </c>
      <c r="G424" s="434" t="s">
        <v>51</v>
      </c>
      <c r="H424" s="989" t="s">
        <v>3327</v>
      </c>
      <c r="I424" s="993" t="s">
        <v>4988</v>
      </c>
      <c r="J424" s="987"/>
      <c r="K424" s="436" t="s">
        <v>3329</v>
      </c>
      <c r="L424" s="436" t="s">
        <v>3133</v>
      </c>
      <c r="M424" s="436" t="s">
        <v>4806</v>
      </c>
      <c r="N424" s="987"/>
      <c r="O424" s="436" t="s">
        <v>62</v>
      </c>
      <c r="P424" s="987"/>
      <c r="Q424" s="987"/>
      <c r="R424" s="987"/>
      <c r="S424" s="987"/>
      <c r="T424" s="987"/>
      <c r="U424" s="436" t="s">
        <v>62</v>
      </c>
      <c r="V424" s="995">
        <v>44614.0</v>
      </c>
      <c r="W424" s="987"/>
      <c r="X424" s="987"/>
      <c r="Y424" s="987"/>
      <c r="Z424" s="987"/>
      <c r="AA424" s="986"/>
    </row>
    <row r="425" hidden="1">
      <c r="A425" s="995">
        <v>195.0</v>
      </c>
      <c r="B425" s="991">
        <v>44495.0</v>
      </c>
      <c r="C425" s="989" t="s">
        <v>3325</v>
      </c>
      <c r="D425" s="434" t="s">
        <v>3326</v>
      </c>
      <c r="E425" s="434" t="s">
        <v>295</v>
      </c>
      <c r="F425" s="990">
        <v>1.3521383E7</v>
      </c>
      <c r="G425" s="434" t="s">
        <v>51</v>
      </c>
      <c r="H425" s="989" t="s">
        <v>3327</v>
      </c>
      <c r="I425" s="989" t="s">
        <v>4989</v>
      </c>
      <c r="J425" s="987"/>
      <c r="K425" s="436" t="s">
        <v>3329</v>
      </c>
      <c r="L425" s="436" t="s">
        <v>3133</v>
      </c>
      <c r="M425" s="436" t="s">
        <v>4806</v>
      </c>
      <c r="N425" s="987"/>
      <c r="O425" s="987"/>
      <c r="P425" s="987"/>
      <c r="Q425" s="987"/>
      <c r="R425" s="987"/>
      <c r="S425" s="987"/>
      <c r="T425" s="987"/>
      <c r="U425" s="436" t="s">
        <v>62</v>
      </c>
      <c r="V425" s="995">
        <v>44505.0</v>
      </c>
      <c r="W425" s="987"/>
      <c r="X425" s="987"/>
      <c r="Y425" s="987"/>
      <c r="Z425" s="987"/>
      <c r="AA425" s="986"/>
    </row>
    <row r="426" hidden="1">
      <c r="A426" s="995">
        <v>198.0</v>
      </c>
      <c r="B426" s="991">
        <v>44498.0</v>
      </c>
      <c r="C426" s="989" t="s">
        <v>4990</v>
      </c>
      <c r="D426" s="434" t="s">
        <v>1312</v>
      </c>
      <c r="E426" s="434" t="s">
        <v>1313</v>
      </c>
      <c r="F426" s="990">
        <v>1.378056E7</v>
      </c>
      <c r="G426" s="434" t="s">
        <v>200</v>
      </c>
      <c r="H426" s="989" t="s">
        <v>4991</v>
      </c>
      <c r="I426" s="989" t="s">
        <v>4992</v>
      </c>
      <c r="J426" s="987"/>
      <c r="K426" s="436" t="s">
        <v>2932</v>
      </c>
      <c r="L426" s="436" t="s">
        <v>4993</v>
      </c>
      <c r="M426" s="984" t="s">
        <v>4994</v>
      </c>
      <c r="N426" s="984" t="s">
        <v>4995</v>
      </c>
      <c r="O426" s="436" t="s">
        <v>62</v>
      </c>
      <c r="P426" s="995">
        <v>44505.0</v>
      </c>
      <c r="Q426" s="987"/>
      <c r="R426" s="987"/>
      <c r="S426" s="987"/>
      <c r="T426" s="987"/>
      <c r="U426" s="436" t="s">
        <v>62</v>
      </c>
      <c r="V426" s="995">
        <v>44578.0</v>
      </c>
      <c r="W426" s="987"/>
      <c r="X426" s="987"/>
      <c r="Y426" s="987"/>
      <c r="Z426" s="987"/>
      <c r="AA426" s="986"/>
    </row>
    <row r="427" hidden="1">
      <c r="A427" s="995">
        <v>199.0</v>
      </c>
      <c r="B427" s="988">
        <v>44501.0</v>
      </c>
      <c r="C427" s="989" t="s">
        <v>4202</v>
      </c>
      <c r="D427" s="434" t="s">
        <v>119</v>
      </c>
      <c r="E427" s="434" t="s">
        <v>300</v>
      </c>
      <c r="F427" s="434" t="s">
        <v>50</v>
      </c>
      <c r="G427" s="434" t="s">
        <v>120</v>
      </c>
      <c r="H427" s="989" t="s">
        <v>4996</v>
      </c>
      <c r="I427" s="989" t="s">
        <v>4997</v>
      </c>
      <c r="J427" s="987"/>
      <c r="K427" s="436" t="s">
        <v>2171</v>
      </c>
      <c r="L427" s="436" t="s">
        <v>4998</v>
      </c>
      <c r="M427" s="984" t="s">
        <v>4999</v>
      </c>
      <c r="N427" s="984" t="s">
        <v>4846</v>
      </c>
      <c r="O427" s="436" t="s">
        <v>62</v>
      </c>
      <c r="P427" s="995">
        <v>44505.0</v>
      </c>
      <c r="Q427" s="987"/>
      <c r="R427" s="987"/>
      <c r="S427" s="987"/>
      <c r="T427" s="987"/>
      <c r="U427" s="987"/>
      <c r="V427" s="987"/>
      <c r="W427" s="987"/>
      <c r="X427" s="987"/>
      <c r="Y427" s="987"/>
      <c r="Z427" s="987"/>
      <c r="AA427" s="986"/>
    </row>
    <row r="428" hidden="1">
      <c r="A428" s="995">
        <v>200.0</v>
      </c>
      <c r="B428" s="988">
        <v>44501.0</v>
      </c>
      <c r="C428" s="989" t="s">
        <v>4202</v>
      </c>
      <c r="D428" s="434" t="s">
        <v>119</v>
      </c>
      <c r="E428" s="434" t="s">
        <v>49</v>
      </c>
      <c r="F428" s="990">
        <v>1.3715116E7</v>
      </c>
      <c r="G428" s="434" t="s">
        <v>120</v>
      </c>
      <c r="H428" s="989" t="s">
        <v>5000</v>
      </c>
      <c r="I428" s="989" t="s">
        <v>5001</v>
      </c>
      <c r="J428" s="987"/>
      <c r="K428" s="436" t="s">
        <v>4610</v>
      </c>
      <c r="L428" s="436" t="s">
        <v>5002</v>
      </c>
      <c r="M428" s="984" t="s">
        <v>5003</v>
      </c>
      <c r="N428" s="984" t="s">
        <v>4807</v>
      </c>
      <c r="O428" s="987"/>
      <c r="P428" s="987"/>
      <c r="Q428" s="987"/>
      <c r="R428" s="987"/>
      <c r="S428" s="987"/>
      <c r="T428" s="987"/>
      <c r="U428" s="987"/>
      <c r="V428" s="987"/>
      <c r="W428" s="987"/>
      <c r="X428" s="987"/>
      <c r="Y428" s="987"/>
      <c r="Z428" s="987"/>
      <c r="AA428" s="986"/>
    </row>
    <row r="429" hidden="1">
      <c r="A429" s="995">
        <v>201.0</v>
      </c>
      <c r="B429" s="988">
        <v>44502.0</v>
      </c>
      <c r="C429" s="989" t="s">
        <v>5004</v>
      </c>
      <c r="D429" s="434" t="s">
        <v>499</v>
      </c>
      <c r="E429" s="434" t="s">
        <v>5005</v>
      </c>
      <c r="F429" s="434" t="s">
        <v>50</v>
      </c>
      <c r="G429" s="434" t="s">
        <v>103</v>
      </c>
      <c r="H429" s="989" t="s">
        <v>5006</v>
      </c>
      <c r="I429" s="989" t="s">
        <v>5007</v>
      </c>
      <c r="J429" s="987"/>
      <c r="K429" s="436" t="s">
        <v>2923</v>
      </c>
      <c r="L429" s="436" t="s">
        <v>5008</v>
      </c>
      <c r="M429" s="436" t="s">
        <v>4929</v>
      </c>
      <c r="N429" s="984" t="s">
        <v>4846</v>
      </c>
      <c r="O429" s="436" t="s">
        <v>62</v>
      </c>
      <c r="P429" s="995">
        <v>44512.0</v>
      </c>
      <c r="Q429" s="987"/>
      <c r="R429" s="987"/>
      <c r="S429" s="987"/>
      <c r="T429" s="987"/>
      <c r="U429" s="987"/>
      <c r="V429" s="987"/>
      <c r="W429" s="987"/>
      <c r="X429" s="987"/>
      <c r="Y429" s="987"/>
      <c r="Z429" s="987"/>
      <c r="AA429" s="986"/>
    </row>
    <row r="430" hidden="1">
      <c r="A430" s="995">
        <v>202.0</v>
      </c>
      <c r="B430" s="988">
        <v>44504.0</v>
      </c>
      <c r="C430" s="989" t="s">
        <v>3325</v>
      </c>
      <c r="D430" s="434" t="s">
        <v>3326</v>
      </c>
      <c r="E430" s="434" t="s">
        <v>295</v>
      </c>
      <c r="F430" s="990">
        <v>1.3521382E7</v>
      </c>
      <c r="G430" s="434" t="s">
        <v>51</v>
      </c>
      <c r="H430" s="989" t="s">
        <v>3327</v>
      </c>
      <c r="I430" s="989" t="s">
        <v>5009</v>
      </c>
      <c r="J430" s="987"/>
      <c r="K430" s="436" t="s">
        <v>3329</v>
      </c>
      <c r="L430" s="436" t="s">
        <v>965</v>
      </c>
      <c r="M430" s="436" t="s">
        <v>1234</v>
      </c>
      <c r="N430" s="987"/>
      <c r="O430" s="436" t="s">
        <v>62</v>
      </c>
      <c r="P430" s="995">
        <v>44613.0</v>
      </c>
      <c r="Q430" s="987"/>
      <c r="R430" s="987"/>
      <c r="S430" s="987"/>
      <c r="T430" s="987"/>
      <c r="U430" s="987"/>
      <c r="V430" s="987"/>
      <c r="W430" s="987"/>
      <c r="X430" s="987"/>
      <c r="Y430" s="987"/>
      <c r="Z430" s="987"/>
      <c r="AA430" s="986"/>
    </row>
    <row r="431" hidden="1">
      <c r="A431" s="995">
        <v>203.0</v>
      </c>
      <c r="B431" s="988">
        <v>44504.0</v>
      </c>
      <c r="C431" s="989" t="s">
        <v>3325</v>
      </c>
      <c r="D431" s="434" t="s">
        <v>3326</v>
      </c>
      <c r="E431" s="434" t="s">
        <v>295</v>
      </c>
      <c r="F431" s="990">
        <v>1.3521383E7</v>
      </c>
      <c r="G431" s="434" t="s">
        <v>51</v>
      </c>
      <c r="H431" s="989" t="s">
        <v>3327</v>
      </c>
      <c r="I431" s="993" t="s">
        <v>5010</v>
      </c>
      <c r="J431" s="987"/>
      <c r="K431" s="436" t="s">
        <v>3329</v>
      </c>
      <c r="L431" s="987"/>
      <c r="M431" s="987"/>
      <c r="N431" s="987"/>
      <c r="O431" s="987"/>
      <c r="P431" s="987"/>
      <c r="Q431" s="987"/>
      <c r="R431" s="987"/>
      <c r="S431" s="987"/>
      <c r="T431" s="987"/>
      <c r="U431" s="436" t="s">
        <v>62</v>
      </c>
      <c r="V431" s="995">
        <v>44505.0</v>
      </c>
      <c r="W431" s="987"/>
      <c r="X431" s="987"/>
      <c r="Y431" s="987"/>
      <c r="Z431" s="987"/>
      <c r="AA431" s="986"/>
    </row>
    <row r="432" hidden="1">
      <c r="A432" s="995">
        <v>204.0</v>
      </c>
      <c r="B432" s="988">
        <v>44504.0</v>
      </c>
      <c r="C432" s="989" t="s">
        <v>3325</v>
      </c>
      <c r="D432" s="434" t="s">
        <v>3326</v>
      </c>
      <c r="E432" s="434" t="s">
        <v>295</v>
      </c>
      <c r="F432" s="990">
        <v>1.3521384E7</v>
      </c>
      <c r="G432" s="434" t="s">
        <v>51</v>
      </c>
      <c r="H432" s="989" t="s">
        <v>3327</v>
      </c>
      <c r="I432" s="993" t="s">
        <v>5011</v>
      </c>
      <c r="J432" s="987"/>
      <c r="K432" s="436" t="s">
        <v>3329</v>
      </c>
      <c r="L432" s="987"/>
      <c r="M432" s="987"/>
      <c r="N432" s="987"/>
      <c r="O432" s="987"/>
      <c r="P432" s="995">
        <v>44532.0</v>
      </c>
      <c r="Q432" s="987"/>
      <c r="R432" s="987"/>
      <c r="S432" s="987"/>
      <c r="T432" s="987"/>
      <c r="U432" s="436" t="s">
        <v>62</v>
      </c>
      <c r="V432" s="995">
        <v>44532.0</v>
      </c>
      <c r="W432" s="987"/>
      <c r="X432" s="987"/>
      <c r="Y432" s="987"/>
      <c r="Z432" s="987"/>
      <c r="AA432" s="986"/>
    </row>
    <row r="433" hidden="1">
      <c r="A433" s="995">
        <v>205.0</v>
      </c>
      <c r="B433" s="988">
        <v>44504.0</v>
      </c>
      <c r="C433" s="989" t="s">
        <v>3325</v>
      </c>
      <c r="D433" s="434" t="s">
        <v>3326</v>
      </c>
      <c r="E433" s="434" t="s">
        <v>295</v>
      </c>
      <c r="F433" s="990">
        <v>1.3521385E7</v>
      </c>
      <c r="G433" s="434" t="s">
        <v>51</v>
      </c>
      <c r="H433" s="989" t="s">
        <v>3327</v>
      </c>
      <c r="I433" s="989" t="s">
        <v>5012</v>
      </c>
      <c r="J433" s="987"/>
      <c r="K433" s="436" t="s">
        <v>3329</v>
      </c>
      <c r="L433" s="987"/>
      <c r="M433" s="987"/>
      <c r="N433" s="987"/>
      <c r="O433" s="987"/>
      <c r="P433" s="987"/>
      <c r="Q433" s="987"/>
      <c r="R433" s="987"/>
      <c r="S433" s="987"/>
      <c r="T433" s="987"/>
      <c r="U433" s="436" t="s">
        <v>62</v>
      </c>
      <c r="V433" s="995">
        <v>44671.0</v>
      </c>
      <c r="W433" s="987"/>
      <c r="X433" s="987"/>
      <c r="Y433" s="987"/>
      <c r="Z433" s="987"/>
      <c r="AA433" s="986"/>
    </row>
    <row r="434" hidden="1">
      <c r="A434" s="995">
        <v>206.0</v>
      </c>
      <c r="B434" s="988">
        <v>44504.0</v>
      </c>
      <c r="C434" s="989" t="s">
        <v>3325</v>
      </c>
      <c r="D434" s="434" t="s">
        <v>3326</v>
      </c>
      <c r="E434" s="434" t="s">
        <v>295</v>
      </c>
      <c r="F434" s="990">
        <v>1.3521386E7</v>
      </c>
      <c r="G434" s="434" t="s">
        <v>51</v>
      </c>
      <c r="H434" s="989" t="s">
        <v>3327</v>
      </c>
      <c r="I434" s="989" t="s">
        <v>5009</v>
      </c>
      <c r="J434" s="987"/>
      <c r="K434" s="436" t="s">
        <v>3329</v>
      </c>
      <c r="L434" s="987"/>
      <c r="M434" s="987"/>
      <c r="N434" s="987"/>
      <c r="O434" s="987"/>
      <c r="P434" s="987"/>
      <c r="Q434" s="987"/>
      <c r="R434" s="987"/>
      <c r="S434" s="987"/>
      <c r="T434" s="987"/>
      <c r="U434" s="436" t="s">
        <v>62</v>
      </c>
      <c r="V434" s="995">
        <v>44748.0</v>
      </c>
      <c r="W434" s="987"/>
      <c r="X434" s="987"/>
      <c r="Y434" s="987"/>
      <c r="Z434" s="987"/>
      <c r="AA434" s="986"/>
    </row>
    <row r="435" hidden="1">
      <c r="A435" s="995">
        <v>208.0</v>
      </c>
      <c r="B435" s="988">
        <v>44504.0</v>
      </c>
      <c r="C435" s="989" t="s">
        <v>3325</v>
      </c>
      <c r="D435" s="434" t="s">
        <v>3326</v>
      </c>
      <c r="E435" s="434" t="s">
        <v>295</v>
      </c>
      <c r="F435" s="990">
        <v>1.3521389E7</v>
      </c>
      <c r="G435" s="434" t="s">
        <v>51</v>
      </c>
      <c r="H435" s="989" t="s">
        <v>3327</v>
      </c>
      <c r="I435" s="993" t="s">
        <v>5011</v>
      </c>
      <c r="J435" s="987"/>
      <c r="K435" s="436" t="s">
        <v>3329</v>
      </c>
      <c r="L435" s="987"/>
      <c r="M435" s="987"/>
      <c r="N435" s="987"/>
      <c r="O435" s="987"/>
      <c r="P435" s="995">
        <v>44532.0</v>
      </c>
      <c r="Q435" s="987"/>
      <c r="R435" s="987"/>
      <c r="S435" s="987"/>
      <c r="T435" s="987"/>
      <c r="U435" s="436" t="s">
        <v>62</v>
      </c>
      <c r="V435" s="995">
        <v>44532.0</v>
      </c>
      <c r="W435" s="987"/>
      <c r="X435" s="987"/>
      <c r="Y435" s="987"/>
      <c r="Z435" s="987"/>
      <c r="AA435" s="986"/>
    </row>
    <row r="436" hidden="1">
      <c r="A436" s="995">
        <v>209.0</v>
      </c>
      <c r="B436" s="988">
        <v>44432.0</v>
      </c>
      <c r="C436" s="989" t="s">
        <v>4461</v>
      </c>
      <c r="D436" s="434" t="s">
        <v>506</v>
      </c>
      <c r="E436" s="434" t="s">
        <v>305</v>
      </c>
      <c r="F436" s="434" t="s">
        <v>50</v>
      </c>
      <c r="G436" s="434" t="s">
        <v>120</v>
      </c>
      <c r="H436" s="989" t="s">
        <v>5013</v>
      </c>
      <c r="I436" s="993" t="s">
        <v>5014</v>
      </c>
      <c r="J436" s="987"/>
      <c r="K436" s="436" t="s">
        <v>3079</v>
      </c>
      <c r="L436" s="436" t="s">
        <v>3190</v>
      </c>
      <c r="M436" s="436" t="s">
        <v>3191</v>
      </c>
      <c r="N436" s="984" t="s">
        <v>4807</v>
      </c>
      <c r="O436" s="987"/>
      <c r="P436" s="987"/>
      <c r="Q436" s="987"/>
      <c r="R436" s="987"/>
      <c r="S436" s="436" t="s">
        <v>62</v>
      </c>
      <c r="T436" s="995">
        <v>44505.0</v>
      </c>
      <c r="U436" s="987"/>
      <c r="V436" s="987"/>
      <c r="W436" s="987"/>
      <c r="X436" s="987"/>
      <c r="Y436" s="987"/>
      <c r="Z436" s="987"/>
      <c r="AA436" s="986"/>
    </row>
    <row r="437" hidden="1">
      <c r="A437" s="995">
        <v>210.0</v>
      </c>
      <c r="B437" s="988">
        <v>44431.0</v>
      </c>
      <c r="C437" s="989" t="s">
        <v>4461</v>
      </c>
      <c r="D437" s="434" t="s">
        <v>506</v>
      </c>
      <c r="E437" s="434" t="s">
        <v>305</v>
      </c>
      <c r="F437" s="434" t="s">
        <v>50</v>
      </c>
      <c r="G437" s="434" t="s">
        <v>120</v>
      </c>
      <c r="H437" s="989" t="s">
        <v>5013</v>
      </c>
      <c r="I437" s="993" t="s">
        <v>5015</v>
      </c>
      <c r="J437" s="987"/>
      <c r="K437" s="436" t="s">
        <v>3079</v>
      </c>
      <c r="L437" s="436" t="s">
        <v>3190</v>
      </c>
      <c r="M437" s="436" t="s">
        <v>3191</v>
      </c>
      <c r="N437" s="984" t="s">
        <v>4807</v>
      </c>
      <c r="O437" s="987"/>
      <c r="P437" s="987"/>
      <c r="Q437" s="987"/>
      <c r="R437" s="987"/>
      <c r="S437" s="436" t="s">
        <v>62</v>
      </c>
      <c r="T437" s="995">
        <v>44505.0</v>
      </c>
      <c r="U437" s="987"/>
      <c r="V437" s="987"/>
      <c r="W437" s="987"/>
      <c r="X437" s="987"/>
      <c r="Y437" s="987"/>
      <c r="Z437" s="987"/>
      <c r="AA437" s="986"/>
    </row>
    <row r="438" hidden="1">
      <c r="A438" s="995">
        <v>211.0</v>
      </c>
      <c r="B438" s="991">
        <v>44510.0</v>
      </c>
      <c r="C438" s="989" t="s">
        <v>3325</v>
      </c>
      <c r="D438" s="434" t="s">
        <v>3326</v>
      </c>
      <c r="E438" s="434" t="s">
        <v>295</v>
      </c>
      <c r="F438" s="990">
        <v>1.3521394E7</v>
      </c>
      <c r="G438" s="434" t="s">
        <v>51</v>
      </c>
      <c r="H438" s="989" t="s">
        <v>3327</v>
      </c>
      <c r="I438" s="989" t="s">
        <v>5016</v>
      </c>
      <c r="J438" s="987"/>
      <c r="K438" s="436" t="s">
        <v>3329</v>
      </c>
      <c r="L438" s="987"/>
      <c r="M438" s="987"/>
      <c r="N438" s="987"/>
      <c r="O438" s="436" t="s">
        <v>62</v>
      </c>
      <c r="P438" s="995">
        <v>44613.0</v>
      </c>
      <c r="Q438" s="987"/>
      <c r="R438" s="987"/>
      <c r="S438" s="987"/>
      <c r="T438" s="987"/>
      <c r="U438" s="987"/>
      <c r="V438" s="987"/>
      <c r="W438" s="987"/>
      <c r="X438" s="987"/>
      <c r="Y438" s="987"/>
      <c r="Z438" s="987"/>
      <c r="AA438" s="986"/>
    </row>
    <row r="439" hidden="1">
      <c r="A439" s="995">
        <v>212.0</v>
      </c>
      <c r="B439" s="991">
        <v>44510.0</v>
      </c>
      <c r="C439" s="989" t="s">
        <v>3325</v>
      </c>
      <c r="D439" s="434" t="s">
        <v>3326</v>
      </c>
      <c r="E439" s="434" t="s">
        <v>295</v>
      </c>
      <c r="F439" s="990">
        <v>1.3521395E7</v>
      </c>
      <c r="G439" s="434" t="s">
        <v>51</v>
      </c>
      <c r="H439" s="989" t="s">
        <v>3327</v>
      </c>
      <c r="I439" s="989" t="s">
        <v>5017</v>
      </c>
      <c r="J439" s="987"/>
      <c r="K439" s="436" t="s">
        <v>3329</v>
      </c>
      <c r="L439" s="987"/>
      <c r="M439" s="987"/>
      <c r="N439" s="987"/>
      <c r="O439" s="987"/>
      <c r="P439" s="987"/>
      <c r="Q439" s="987"/>
      <c r="R439" s="987"/>
      <c r="S439" s="987"/>
      <c r="T439" s="987"/>
      <c r="U439" s="987"/>
      <c r="V439" s="987"/>
      <c r="W439" s="987"/>
      <c r="X439" s="987"/>
      <c r="Y439" s="987"/>
      <c r="Z439" s="987"/>
      <c r="AA439" s="986"/>
    </row>
    <row r="440" hidden="1">
      <c r="A440" s="995">
        <v>214.0</v>
      </c>
      <c r="B440" s="991">
        <v>44510.0</v>
      </c>
      <c r="C440" s="989" t="s">
        <v>3325</v>
      </c>
      <c r="D440" s="434" t="s">
        <v>3326</v>
      </c>
      <c r="E440" s="434" t="s">
        <v>295</v>
      </c>
      <c r="F440" s="990">
        <v>1.3521397E7</v>
      </c>
      <c r="G440" s="434" t="s">
        <v>51</v>
      </c>
      <c r="H440" s="989" t="s">
        <v>3327</v>
      </c>
      <c r="I440" s="993" t="s">
        <v>5018</v>
      </c>
      <c r="J440" s="987"/>
      <c r="K440" s="436" t="s">
        <v>3329</v>
      </c>
      <c r="L440" s="987"/>
      <c r="M440" s="987"/>
      <c r="N440" s="987"/>
      <c r="O440" s="987"/>
      <c r="P440" s="987"/>
      <c r="Q440" s="987"/>
      <c r="R440" s="987"/>
      <c r="S440" s="987"/>
      <c r="T440" s="987"/>
      <c r="U440" s="436" t="s">
        <v>62</v>
      </c>
      <c r="V440" s="995">
        <v>44547.0</v>
      </c>
      <c r="W440" s="987"/>
      <c r="X440" s="987"/>
      <c r="Y440" s="987"/>
      <c r="Z440" s="987"/>
      <c r="AA440" s="986"/>
    </row>
    <row r="441" hidden="1">
      <c r="A441" s="995">
        <v>215.0</v>
      </c>
      <c r="B441" s="991">
        <v>44510.0</v>
      </c>
      <c r="C441" s="989" t="s">
        <v>3325</v>
      </c>
      <c r="D441" s="434" t="s">
        <v>3326</v>
      </c>
      <c r="E441" s="434" t="s">
        <v>295</v>
      </c>
      <c r="F441" s="990">
        <v>1.3521398E7</v>
      </c>
      <c r="G441" s="434" t="s">
        <v>51</v>
      </c>
      <c r="H441" s="989" t="s">
        <v>3327</v>
      </c>
      <c r="I441" s="993" t="s">
        <v>5018</v>
      </c>
      <c r="J441" s="987"/>
      <c r="K441" s="436" t="s">
        <v>3329</v>
      </c>
      <c r="L441" s="987"/>
      <c r="M441" s="987"/>
      <c r="N441" s="987"/>
      <c r="O441" s="987"/>
      <c r="P441" s="987"/>
      <c r="Q441" s="987"/>
      <c r="R441" s="987"/>
      <c r="S441" s="987"/>
      <c r="T441" s="987"/>
      <c r="U441" s="436" t="s">
        <v>62</v>
      </c>
      <c r="V441" s="995">
        <v>44547.0</v>
      </c>
      <c r="W441" s="987"/>
      <c r="X441" s="987"/>
      <c r="Y441" s="987"/>
      <c r="Z441" s="987"/>
      <c r="AA441" s="986"/>
    </row>
    <row r="442" hidden="1">
      <c r="A442" s="995">
        <v>216.0</v>
      </c>
      <c r="B442" s="991">
        <v>44510.0</v>
      </c>
      <c r="C442" s="989" t="s">
        <v>3325</v>
      </c>
      <c r="D442" s="434" t="s">
        <v>3326</v>
      </c>
      <c r="E442" s="434" t="s">
        <v>295</v>
      </c>
      <c r="F442" s="990">
        <v>1.3521399E7</v>
      </c>
      <c r="G442" s="434" t="s">
        <v>51</v>
      </c>
      <c r="H442" s="989" t="s">
        <v>3327</v>
      </c>
      <c r="I442" s="993" t="s">
        <v>5018</v>
      </c>
      <c r="J442" s="987"/>
      <c r="K442" s="436" t="s">
        <v>3329</v>
      </c>
      <c r="L442" s="987"/>
      <c r="M442" s="987"/>
      <c r="N442" s="987"/>
      <c r="O442" s="987"/>
      <c r="P442" s="987"/>
      <c r="Q442" s="987"/>
      <c r="R442" s="987"/>
      <c r="S442" s="987"/>
      <c r="T442" s="987"/>
      <c r="U442" s="436" t="s">
        <v>62</v>
      </c>
      <c r="V442" s="995">
        <v>44547.0</v>
      </c>
      <c r="W442" s="987"/>
      <c r="X442" s="987"/>
      <c r="Y442" s="987"/>
      <c r="Z442" s="987"/>
      <c r="AA442" s="986"/>
    </row>
    <row r="443" hidden="1">
      <c r="A443" s="995">
        <v>217.0</v>
      </c>
      <c r="B443" s="991">
        <v>44510.0</v>
      </c>
      <c r="C443" s="989" t="s">
        <v>3325</v>
      </c>
      <c r="D443" s="434" t="s">
        <v>3326</v>
      </c>
      <c r="E443" s="434" t="s">
        <v>295</v>
      </c>
      <c r="F443" s="990">
        <v>1.35214E7</v>
      </c>
      <c r="G443" s="434" t="s">
        <v>51</v>
      </c>
      <c r="H443" s="989" t="s">
        <v>3327</v>
      </c>
      <c r="I443" s="993" t="s">
        <v>5018</v>
      </c>
      <c r="J443" s="987"/>
      <c r="K443" s="436" t="s">
        <v>3329</v>
      </c>
      <c r="L443" s="987"/>
      <c r="M443" s="987"/>
      <c r="N443" s="987"/>
      <c r="O443" s="987"/>
      <c r="P443" s="987"/>
      <c r="Q443" s="987"/>
      <c r="R443" s="987"/>
      <c r="S443" s="987"/>
      <c r="T443" s="987"/>
      <c r="U443" s="436" t="s">
        <v>62</v>
      </c>
      <c r="V443" s="995">
        <v>44547.0</v>
      </c>
      <c r="W443" s="987"/>
      <c r="X443" s="987"/>
      <c r="Y443" s="987"/>
      <c r="Z443" s="987"/>
      <c r="AA443" s="986"/>
    </row>
    <row r="444" hidden="1">
      <c r="A444" s="995">
        <v>218.0</v>
      </c>
      <c r="B444" s="991">
        <v>44510.0</v>
      </c>
      <c r="C444" s="989" t="s">
        <v>3325</v>
      </c>
      <c r="D444" s="434" t="s">
        <v>3326</v>
      </c>
      <c r="E444" s="434" t="s">
        <v>295</v>
      </c>
      <c r="F444" s="990">
        <v>1.3521401E7</v>
      </c>
      <c r="G444" s="434" t="s">
        <v>51</v>
      </c>
      <c r="H444" s="989" t="s">
        <v>3327</v>
      </c>
      <c r="I444" s="993" t="s">
        <v>5019</v>
      </c>
      <c r="J444" s="987"/>
      <c r="K444" s="436" t="s">
        <v>3329</v>
      </c>
      <c r="L444" s="987"/>
      <c r="M444" s="987"/>
      <c r="N444" s="987"/>
      <c r="O444" s="987"/>
      <c r="P444" s="995">
        <v>44532.0</v>
      </c>
      <c r="Q444" s="987"/>
      <c r="R444" s="987"/>
      <c r="S444" s="987"/>
      <c r="T444" s="987"/>
      <c r="U444" s="436" t="s">
        <v>62</v>
      </c>
      <c r="V444" s="995">
        <v>44532.0</v>
      </c>
      <c r="W444" s="987"/>
      <c r="X444" s="987"/>
      <c r="Y444" s="987"/>
      <c r="Z444" s="987"/>
      <c r="AA444" s="986"/>
    </row>
    <row r="445" hidden="1">
      <c r="A445" s="995">
        <v>219.0</v>
      </c>
      <c r="B445" s="991">
        <v>44510.0</v>
      </c>
      <c r="C445" s="989" t="s">
        <v>3325</v>
      </c>
      <c r="D445" s="434" t="s">
        <v>3326</v>
      </c>
      <c r="E445" s="434" t="s">
        <v>295</v>
      </c>
      <c r="F445" s="990">
        <v>1.3521402E7</v>
      </c>
      <c r="G445" s="434" t="s">
        <v>51</v>
      </c>
      <c r="H445" s="989" t="s">
        <v>3327</v>
      </c>
      <c r="I445" s="993" t="s">
        <v>5020</v>
      </c>
      <c r="J445" s="987"/>
      <c r="K445" s="436" t="s">
        <v>3329</v>
      </c>
      <c r="L445" s="987"/>
      <c r="M445" s="987"/>
      <c r="N445" s="987"/>
      <c r="O445" s="987"/>
      <c r="P445" s="995">
        <v>44532.0</v>
      </c>
      <c r="Q445" s="987"/>
      <c r="R445" s="987"/>
      <c r="S445" s="987"/>
      <c r="T445" s="987"/>
      <c r="U445" s="436" t="s">
        <v>62</v>
      </c>
      <c r="V445" s="995">
        <v>44532.0</v>
      </c>
      <c r="W445" s="987"/>
      <c r="X445" s="987"/>
      <c r="Y445" s="987"/>
      <c r="Z445" s="987"/>
      <c r="AA445" s="986"/>
    </row>
    <row r="446" hidden="1">
      <c r="A446" s="995">
        <v>220.0</v>
      </c>
      <c r="B446" s="991">
        <v>44510.0</v>
      </c>
      <c r="C446" s="989" t="s">
        <v>3325</v>
      </c>
      <c r="D446" s="434" t="s">
        <v>3326</v>
      </c>
      <c r="E446" s="434" t="s">
        <v>295</v>
      </c>
      <c r="F446" s="990">
        <v>1.3521403E7</v>
      </c>
      <c r="G446" s="434" t="s">
        <v>51</v>
      </c>
      <c r="H446" s="989" t="s">
        <v>3327</v>
      </c>
      <c r="I446" s="993" t="s">
        <v>5021</v>
      </c>
      <c r="J446" s="987"/>
      <c r="K446" s="436" t="s">
        <v>3329</v>
      </c>
      <c r="L446" s="987"/>
      <c r="M446" s="987"/>
      <c r="N446" s="987"/>
      <c r="O446" s="987"/>
      <c r="P446" s="987"/>
      <c r="Q446" s="987"/>
      <c r="R446" s="987"/>
      <c r="S446" s="987"/>
      <c r="T446" s="987"/>
      <c r="U446" s="436" t="s">
        <v>62</v>
      </c>
      <c r="V446" s="995">
        <v>44634.0</v>
      </c>
      <c r="W446" s="987"/>
      <c r="X446" s="987"/>
      <c r="Y446" s="987"/>
      <c r="Z446" s="987"/>
      <c r="AA446" s="986"/>
    </row>
    <row r="447" hidden="1">
      <c r="A447" s="995">
        <v>222.0</v>
      </c>
      <c r="B447" s="991">
        <v>44510.0</v>
      </c>
      <c r="C447" s="989" t="s">
        <v>3325</v>
      </c>
      <c r="D447" s="434" t="s">
        <v>3326</v>
      </c>
      <c r="E447" s="434" t="s">
        <v>295</v>
      </c>
      <c r="F447" s="990">
        <v>1.3521405E7</v>
      </c>
      <c r="G447" s="434" t="s">
        <v>51</v>
      </c>
      <c r="H447" s="989" t="s">
        <v>3327</v>
      </c>
      <c r="I447" s="993" t="s">
        <v>5021</v>
      </c>
      <c r="J447" s="987"/>
      <c r="K447" s="436" t="s">
        <v>3329</v>
      </c>
      <c r="L447" s="987"/>
      <c r="M447" s="987"/>
      <c r="N447" s="987"/>
      <c r="O447" s="436" t="s">
        <v>62</v>
      </c>
      <c r="P447" s="987"/>
      <c r="Q447" s="987"/>
      <c r="R447" s="987"/>
      <c r="S447" s="987"/>
      <c r="T447" s="987"/>
      <c r="U447" s="436" t="s">
        <v>62</v>
      </c>
      <c r="V447" s="995">
        <v>44636.0</v>
      </c>
      <c r="W447" s="987"/>
      <c r="X447" s="987"/>
      <c r="Y447" s="987"/>
      <c r="Z447" s="987"/>
      <c r="AA447" s="986"/>
    </row>
    <row r="448" hidden="1">
      <c r="A448" s="995">
        <v>224.0</v>
      </c>
      <c r="B448" s="991">
        <v>44510.0</v>
      </c>
      <c r="C448" s="989" t="s">
        <v>3325</v>
      </c>
      <c r="D448" s="434" t="s">
        <v>3326</v>
      </c>
      <c r="E448" s="434" t="s">
        <v>295</v>
      </c>
      <c r="F448" s="990">
        <v>1.3521407E7</v>
      </c>
      <c r="G448" s="434" t="s">
        <v>51</v>
      </c>
      <c r="H448" s="989" t="s">
        <v>3327</v>
      </c>
      <c r="I448" s="993" t="s">
        <v>5018</v>
      </c>
      <c r="J448" s="987"/>
      <c r="K448" s="436" t="s">
        <v>3329</v>
      </c>
      <c r="L448" s="987"/>
      <c r="M448" s="987"/>
      <c r="N448" s="987"/>
      <c r="O448" s="987"/>
      <c r="P448" s="987"/>
      <c r="Q448" s="987"/>
      <c r="R448" s="987"/>
      <c r="S448" s="987"/>
      <c r="T448" s="987"/>
      <c r="U448" s="436" t="s">
        <v>62</v>
      </c>
      <c r="V448" s="995">
        <v>44547.0</v>
      </c>
      <c r="W448" s="987"/>
      <c r="X448" s="987"/>
      <c r="Y448" s="987"/>
      <c r="Z448" s="987"/>
      <c r="AA448" s="986"/>
    </row>
    <row r="449" hidden="1">
      <c r="A449" s="995">
        <v>225.0</v>
      </c>
      <c r="B449" s="991">
        <v>44510.0</v>
      </c>
      <c r="C449" s="989" t="s">
        <v>3325</v>
      </c>
      <c r="D449" s="434" t="s">
        <v>3326</v>
      </c>
      <c r="E449" s="434" t="s">
        <v>295</v>
      </c>
      <c r="F449" s="990">
        <v>1.3521408E7</v>
      </c>
      <c r="G449" s="434" t="s">
        <v>51</v>
      </c>
      <c r="H449" s="989" t="s">
        <v>3327</v>
      </c>
      <c r="I449" s="993" t="s">
        <v>5021</v>
      </c>
      <c r="J449" s="987"/>
      <c r="K449" s="436" t="s">
        <v>3329</v>
      </c>
      <c r="L449" s="987"/>
      <c r="M449" s="987"/>
      <c r="N449" s="987"/>
      <c r="O449" s="436" t="s">
        <v>62</v>
      </c>
      <c r="P449" s="987"/>
      <c r="Q449" s="987"/>
      <c r="R449" s="987"/>
      <c r="S449" s="987"/>
      <c r="T449" s="987"/>
      <c r="U449" s="436" t="s">
        <v>62</v>
      </c>
      <c r="V449" s="995">
        <v>44636.0</v>
      </c>
      <c r="W449" s="987"/>
      <c r="X449" s="987"/>
      <c r="Y449" s="987"/>
      <c r="Z449" s="987"/>
      <c r="AA449" s="986"/>
    </row>
    <row r="450" hidden="1">
      <c r="A450" s="995">
        <v>226.0</v>
      </c>
      <c r="B450" s="991">
        <v>44510.0</v>
      </c>
      <c r="C450" s="989" t="s">
        <v>3325</v>
      </c>
      <c r="D450" s="434" t="s">
        <v>3326</v>
      </c>
      <c r="E450" s="434" t="s">
        <v>295</v>
      </c>
      <c r="F450" s="990">
        <v>1.3521409E7</v>
      </c>
      <c r="G450" s="434" t="s">
        <v>51</v>
      </c>
      <c r="H450" s="989" t="s">
        <v>3327</v>
      </c>
      <c r="I450" s="993" t="s">
        <v>5021</v>
      </c>
      <c r="J450" s="987"/>
      <c r="K450" s="436" t="s">
        <v>3329</v>
      </c>
      <c r="L450" s="987"/>
      <c r="M450" s="987"/>
      <c r="N450" s="987"/>
      <c r="O450" s="436" t="s">
        <v>62</v>
      </c>
      <c r="P450" s="987"/>
      <c r="Q450" s="987"/>
      <c r="R450" s="987"/>
      <c r="S450" s="987"/>
      <c r="T450" s="987"/>
      <c r="U450" s="436" t="s">
        <v>62</v>
      </c>
      <c r="V450" s="995">
        <v>44629.0</v>
      </c>
      <c r="W450" s="987"/>
      <c r="X450" s="987"/>
      <c r="Y450" s="987"/>
      <c r="Z450" s="987"/>
      <c r="AA450" s="986"/>
    </row>
    <row r="451" hidden="1">
      <c r="A451" s="995">
        <v>227.0</v>
      </c>
      <c r="B451" s="991">
        <v>44510.0</v>
      </c>
      <c r="C451" s="989" t="s">
        <v>3325</v>
      </c>
      <c r="D451" s="434" t="s">
        <v>3326</v>
      </c>
      <c r="E451" s="434" t="s">
        <v>295</v>
      </c>
      <c r="F451" s="990">
        <v>1.352141E7</v>
      </c>
      <c r="G451" s="434" t="s">
        <v>51</v>
      </c>
      <c r="H451" s="989" t="s">
        <v>3327</v>
      </c>
      <c r="I451" s="989" t="s">
        <v>5017</v>
      </c>
      <c r="J451" s="987"/>
      <c r="K451" s="436" t="s">
        <v>3329</v>
      </c>
      <c r="L451" s="987"/>
      <c r="M451" s="987"/>
      <c r="N451" s="987"/>
      <c r="O451" s="987"/>
      <c r="P451" s="987"/>
      <c r="Q451" s="987"/>
      <c r="R451" s="987"/>
      <c r="S451" s="987"/>
      <c r="T451" s="987"/>
      <c r="U451" s="436" t="s">
        <v>62</v>
      </c>
      <c r="V451" s="995">
        <v>44748.0</v>
      </c>
      <c r="W451" s="987"/>
      <c r="X451" s="987"/>
      <c r="Y451" s="987"/>
      <c r="Z451" s="987"/>
      <c r="AA451" s="986"/>
    </row>
    <row r="452" hidden="1">
      <c r="A452" s="995">
        <v>228.0</v>
      </c>
      <c r="B452" s="991">
        <v>44511.0</v>
      </c>
      <c r="C452" s="989" t="s">
        <v>5022</v>
      </c>
      <c r="D452" s="434" t="s">
        <v>5023</v>
      </c>
      <c r="E452" s="434" t="s">
        <v>160</v>
      </c>
      <c r="F452" s="990">
        <v>1.599086E7</v>
      </c>
      <c r="G452" s="434" t="s">
        <v>120</v>
      </c>
      <c r="H452" s="989" t="s">
        <v>5024</v>
      </c>
      <c r="I452" s="989" t="s">
        <v>5025</v>
      </c>
      <c r="J452" s="987"/>
      <c r="K452" s="436" t="s">
        <v>5026</v>
      </c>
      <c r="L452" s="436" t="s">
        <v>5027</v>
      </c>
      <c r="M452" s="984" t="s">
        <v>5028</v>
      </c>
      <c r="N452" s="987"/>
      <c r="O452" s="436" t="s">
        <v>62</v>
      </c>
      <c r="P452" s="995">
        <v>44511.0</v>
      </c>
      <c r="Q452" s="987"/>
      <c r="R452" s="987"/>
      <c r="S452" s="987"/>
      <c r="T452" s="987"/>
      <c r="U452" s="987"/>
      <c r="V452" s="987"/>
      <c r="W452" s="987"/>
      <c r="X452" s="987"/>
      <c r="Y452" s="987"/>
      <c r="Z452" s="987"/>
      <c r="AA452" s="986"/>
    </row>
    <row r="453" hidden="1">
      <c r="A453" s="995">
        <v>230.0</v>
      </c>
      <c r="B453" s="991">
        <v>44512.0</v>
      </c>
      <c r="C453" s="989" t="s">
        <v>4202</v>
      </c>
      <c r="D453" s="434" t="s">
        <v>119</v>
      </c>
      <c r="E453" s="434" t="s">
        <v>49</v>
      </c>
      <c r="F453" s="434" t="s">
        <v>50</v>
      </c>
      <c r="G453" s="434" t="s">
        <v>120</v>
      </c>
      <c r="H453" s="989" t="s">
        <v>5029</v>
      </c>
      <c r="I453" s="989" t="s">
        <v>5030</v>
      </c>
      <c r="J453" s="987"/>
      <c r="K453" s="436" t="s">
        <v>4610</v>
      </c>
      <c r="L453" s="436" t="s">
        <v>5031</v>
      </c>
      <c r="M453" s="436" t="s">
        <v>5032</v>
      </c>
      <c r="N453" s="984" t="s">
        <v>4846</v>
      </c>
      <c r="O453" s="436" t="s">
        <v>62</v>
      </c>
      <c r="P453" s="995">
        <v>44512.0</v>
      </c>
      <c r="Q453" s="987"/>
      <c r="R453" s="987"/>
      <c r="S453" s="987"/>
      <c r="T453" s="987"/>
      <c r="U453" s="987"/>
      <c r="V453" s="987"/>
      <c r="W453" s="987"/>
      <c r="X453" s="987"/>
      <c r="Y453" s="436" t="s">
        <v>5033</v>
      </c>
      <c r="Z453" s="995">
        <v>44512.0</v>
      </c>
      <c r="AA453" s="986"/>
    </row>
    <row r="454" hidden="1">
      <c r="A454" s="995">
        <v>231.0</v>
      </c>
      <c r="B454" s="1006">
        <v>44512.0</v>
      </c>
      <c r="C454" s="984" t="s">
        <v>5034</v>
      </c>
      <c r="D454" s="436" t="s">
        <v>309</v>
      </c>
      <c r="E454" s="436" t="s">
        <v>49</v>
      </c>
      <c r="F454" s="995">
        <v>1.8030365E7</v>
      </c>
      <c r="G454" s="436" t="s">
        <v>32</v>
      </c>
      <c r="H454" s="984" t="s">
        <v>5035</v>
      </c>
      <c r="I454" s="1001" t="s">
        <v>5036</v>
      </c>
      <c r="J454" s="987"/>
      <c r="K454" s="436" t="s">
        <v>3088</v>
      </c>
      <c r="L454" s="987"/>
      <c r="M454" s="987"/>
      <c r="N454" s="987"/>
      <c r="O454" s="987"/>
      <c r="P454" s="987"/>
      <c r="Q454" s="987"/>
      <c r="R454" s="987"/>
      <c r="S454" s="987"/>
      <c r="T454" s="987"/>
      <c r="U454" s="987"/>
      <c r="V454" s="987"/>
      <c r="W454" s="987"/>
      <c r="X454" s="987"/>
      <c r="Y454" s="987"/>
      <c r="Z454" s="987"/>
      <c r="AA454" s="986"/>
    </row>
    <row r="455" hidden="1">
      <c r="A455" s="995">
        <v>232.0</v>
      </c>
      <c r="B455" s="1006">
        <v>44515.0</v>
      </c>
      <c r="C455" s="984" t="s">
        <v>4526</v>
      </c>
      <c r="D455" s="436" t="s">
        <v>48</v>
      </c>
      <c r="E455" s="436" t="s">
        <v>49</v>
      </c>
      <c r="F455" s="995">
        <v>1.4691909E7</v>
      </c>
      <c r="G455" s="436" t="s">
        <v>51</v>
      </c>
      <c r="H455" s="984" t="s">
        <v>5037</v>
      </c>
      <c r="I455" s="997" t="s">
        <v>5038</v>
      </c>
      <c r="J455" s="987"/>
      <c r="K455" s="436" t="s">
        <v>143</v>
      </c>
      <c r="L455" s="436" t="s">
        <v>49</v>
      </c>
      <c r="M455" s="987"/>
      <c r="N455" s="987"/>
      <c r="O455" s="987"/>
      <c r="P455" s="987"/>
      <c r="Q455" s="987"/>
      <c r="R455" s="987"/>
      <c r="S455" s="987"/>
      <c r="T455" s="987"/>
      <c r="U455" s="987"/>
      <c r="V455" s="987"/>
      <c r="W455" s="987"/>
      <c r="X455" s="987"/>
      <c r="Y455" s="987"/>
      <c r="Z455" s="987"/>
      <c r="AA455" s="986"/>
    </row>
    <row r="456" hidden="1">
      <c r="A456" s="995">
        <v>233.0</v>
      </c>
      <c r="B456" s="991">
        <v>44516.0</v>
      </c>
      <c r="C456" s="989" t="s">
        <v>5039</v>
      </c>
      <c r="D456" s="434" t="s">
        <v>918</v>
      </c>
      <c r="E456" s="434" t="s">
        <v>4519</v>
      </c>
      <c r="F456" s="990">
        <v>1.6351238E7</v>
      </c>
      <c r="G456" s="434" t="s">
        <v>32</v>
      </c>
      <c r="H456" s="989" t="s">
        <v>5040</v>
      </c>
      <c r="I456" s="989" t="s">
        <v>5041</v>
      </c>
      <c r="J456" s="987"/>
      <c r="K456" s="436" t="s">
        <v>278</v>
      </c>
      <c r="L456" s="436" t="s">
        <v>1351</v>
      </c>
      <c r="M456" s="436" t="s">
        <v>280</v>
      </c>
      <c r="N456" s="436" t="s">
        <v>5042</v>
      </c>
      <c r="O456" s="987"/>
      <c r="P456" s="987"/>
      <c r="Q456" s="987"/>
      <c r="R456" s="987"/>
      <c r="S456" s="987"/>
      <c r="T456" s="987"/>
      <c r="U456" s="436" t="s">
        <v>62</v>
      </c>
      <c r="V456" s="995">
        <v>44713.0</v>
      </c>
      <c r="W456" s="987"/>
      <c r="X456" s="987"/>
      <c r="Y456" s="987"/>
      <c r="Z456" s="987"/>
      <c r="AA456" s="986"/>
    </row>
    <row r="457" hidden="1">
      <c r="A457" s="995">
        <v>234.0</v>
      </c>
      <c r="B457" s="991">
        <v>44516.0</v>
      </c>
      <c r="C457" s="989" t="s">
        <v>5039</v>
      </c>
      <c r="D457" s="434" t="s">
        <v>918</v>
      </c>
      <c r="E457" s="434" t="s">
        <v>4519</v>
      </c>
      <c r="F457" s="434" t="s">
        <v>50</v>
      </c>
      <c r="G457" s="434" t="s">
        <v>32</v>
      </c>
      <c r="H457" s="989" t="s">
        <v>5043</v>
      </c>
      <c r="I457" s="989" t="s">
        <v>5041</v>
      </c>
      <c r="J457" s="987"/>
      <c r="K457" s="436" t="s">
        <v>278</v>
      </c>
      <c r="L457" s="436" t="s">
        <v>4721</v>
      </c>
      <c r="M457" s="436" t="s">
        <v>280</v>
      </c>
      <c r="N457" s="436" t="s">
        <v>5042</v>
      </c>
      <c r="O457" s="436" t="s">
        <v>62</v>
      </c>
      <c r="P457" s="995">
        <v>44614.0</v>
      </c>
      <c r="Q457" s="987"/>
      <c r="R457" s="987"/>
      <c r="S457" s="987"/>
      <c r="T457" s="987"/>
      <c r="U457" s="436" t="s">
        <v>62</v>
      </c>
      <c r="V457" s="995">
        <v>44733.0</v>
      </c>
      <c r="W457" s="987"/>
      <c r="X457" s="987"/>
      <c r="Y457" s="987"/>
      <c r="Z457" s="987"/>
      <c r="AA457" s="986"/>
    </row>
    <row r="458" hidden="1">
      <c r="A458" s="995">
        <v>235.0</v>
      </c>
      <c r="B458" s="991">
        <v>44516.0</v>
      </c>
      <c r="C458" s="989" t="s">
        <v>5039</v>
      </c>
      <c r="D458" s="434" t="s">
        <v>918</v>
      </c>
      <c r="E458" s="434" t="s">
        <v>281</v>
      </c>
      <c r="F458" s="990">
        <v>1.6351214E7</v>
      </c>
      <c r="G458" s="434" t="s">
        <v>32</v>
      </c>
      <c r="H458" s="989" t="s">
        <v>5044</v>
      </c>
      <c r="I458" s="989" t="s">
        <v>5045</v>
      </c>
      <c r="J458" s="987"/>
      <c r="K458" s="436" t="s">
        <v>284</v>
      </c>
      <c r="L458" s="436" t="s">
        <v>5046</v>
      </c>
      <c r="M458" s="436" t="s">
        <v>5047</v>
      </c>
      <c r="N458" s="984" t="s">
        <v>4807</v>
      </c>
      <c r="O458" s="436" t="s">
        <v>62</v>
      </c>
      <c r="P458" s="995">
        <v>44516.0</v>
      </c>
      <c r="Q458" s="987"/>
      <c r="R458" s="987"/>
      <c r="S458" s="987"/>
      <c r="T458" s="987"/>
      <c r="U458" s="436" t="s">
        <v>62</v>
      </c>
      <c r="V458" s="995">
        <v>44533.0</v>
      </c>
      <c r="W458" s="987"/>
      <c r="X458" s="987"/>
      <c r="Y458" s="987"/>
      <c r="Z458" s="987"/>
      <c r="AA458" s="986"/>
    </row>
    <row r="459" hidden="1">
      <c r="A459" s="995">
        <v>236.0</v>
      </c>
      <c r="B459" s="991">
        <v>44516.0</v>
      </c>
      <c r="C459" s="989" t="s">
        <v>5039</v>
      </c>
      <c r="D459" s="434" t="s">
        <v>918</v>
      </c>
      <c r="E459" s="434" t="s">
        <v>1467</v>
      </c>
      <c r="F459" s="434" t="s">
        <v>50</v>
      </c>
      <c r="G459" s="434" t="s">
        <v>32</v>
      </c>
      <c r="H459" s="989" t="s">
        <v>5048</v>
      </c>
      <c r="I459" s="989" t="s">
        <v>5049</v>
      </c>
      <c r="J459" s="987"/>
      <c r="K459" s="436" t="s">
        <v>1435</v>
      </c>
      <c r="L459" s="436" t="s">
        <v>5050</v>
      </c>
      <c r="M459" s="436" t="s">
        <v>5051</v>
      </c>
      <c r="N459" s="987"/>
      <c r="O459" s="436" t="s">
        <v>62</v>
      </c>
      <c r="P459" s="995">
        <v>44516.0</v>
      </c>
      <c r="Q459" s="987"/>
      <c r="R459" s="987"/>
      <c r="S459" s="987"/>
      <c r="T459" s="987"/>
      <c r="U459" s="436" t="s">
        <v>62</v>
      </c>
      <c r="V459" s="995">
        <v>44525.0</v>
      </c>
      <c r="W459" s="987"/>
      <c r="X459" s="987"/>
      <c r="Y459" s="987"/>
      <c r="Z459" s="987"/>
      <c r="AA459" s="986"/>
    </row>
    <row r="460" hidden="1">
      <c r="A460" s="995">
        <v>237.0</v>
      </c>
      <c r="B460" s="991">
        <v>44517.0</v>
      </c>
      <c r="C460" s="989" t="s">
        <v>5039</v>
      </c>
      <c r="D460" s="434" t="s">
        <v>918</v>
      </c>
      <c r="E460" s="434" t="s">
        <v>1467</v>
      </c>
      <c r="F460" s="434" t="s">
        <v>50</v>
      </c>
      <c r="G460" s="434" t="s">
        <v>32</v>
      </c>
      <c r="H460" s="989" t="s">
        <v>5052</v>
      </c>
      <c r="I460" s="993" t="s">
        <v>5053</v>
      </c>
      <c r="J460" s="987"/>
      <c r="K460" s="436" t="s">
        <v>1435</v>
      </c>
      <c r="L460" s="436" t="s">
        <v>258</v>
      </c>
      <c r="M460" s="987"/>
      <c r="N460" s="987"/>
      <c r="O460" s="987"/>
      <c r="P460" s="987"/>
      <c r="Q460" s="987"/>
      <c r="R460" s="987"/>
      <c r="S460" s="987"/>
      <c r="T460" s="987"/>
      <c r="U460" s="436" t="s">
        <v>62</v>
      </c>
      <c r="V460" s="995">
        <v>45035.0</v>
      </c>
      <c r="W460" s="987"/>
      <c r="X460" s="987"/>
      <c r="Y460" s="987"/>
      <c r="Z460" s="987"/>
      <c r="AA460" s="986"/>
    </row>
    <row r="461" hidden="1">
      <c r="A461" s="995">
        <v>238.0</v>
      </c>
      <c r="B461" s="991">
        <v>44518.0</v>
      </c>
      <c r="C461" s="989" t="s">
        <v>5039</v>
      </c>
      <c r="D461" s="434" t="s">
        <v>918</v>
      </c>
      <c r="E461" s="434" t="s">
        <v>4519</v>
      </c>
      <c r="F461" s="434" t="s">
        <v>50</v>
      </c>
      <c r="G461" s="434" t="s">
        <v>32</v>
      </c>
      <c r="H461" s="989" t="s">
        <v>5054</v>
      </c>
      <c r="I461" s="993" t="s">
        <v>5055</v>
      </c>
      <c r="J461" s="987"/>
      <c r="K461" s="436" t="s">
        <v>278</v>
      </c>
      <c r="L461" s="987"/>
      <c r="M461" s="987"/>
      <c r="N461" s="436" t="s">
        <v>5042</v>
      </c>
      <c r="O461" s="987"/>
      <c r="P461" s="987"/>
      <c r="Q461" s="987"/>
      <c r="R461" s="987"/>
      <c r="S461" s="987"/>
      <c r="T461" s="987"/>
      <c r="U461" s="987"/>
      <c r="V461" s="987"/>
      <c r="W461" s="987"/>
      <c r="X461" s="987"/>
      <c r="Y461" s="987"/>
      <c r="Z461" s="987"/>
      <c r="AA461" s="986"/>
    </row>
    <row r="462" hidden="1">
      <c r="A462" s="995">
        <v>239.0</v>
      </c>
      <c r="B462" s="991">
        <v>44518.0</v>
      </c>
      <c r="C462" s="989" t="s">
        <v>5039</v>
      </c>
      <c r="D462" s="434" t="s">
        <v>918</v>
      </c>
      <c r="E462" s="434" t="s">
        <v>281</v>
      </c>
      <c r="F462" s="434" t="s">
        <v>50</v>
      </c>
      <c r="G462" s="434" t="s">
        <v>32</v>
      </c>
      <c r="H462" s="989" t="s">
        <v>5056</v>
      </c>
      <c r="I462" s="989" t="s">
        <v>5057</v>
      </c>
      <c r="J462" s="987"/>
      <c r="K462" s="436" t="s">
        <v>284</v>
      </c>
      <c r="L462" s="436" t="s">
        <v>5046</v>
      </c>
      <c r="M462" s="436" t="s">
        <v>5047</v>
      </c>
      <c r="N462" s="984" t="s">
        <v>4807</v>
      </c>
      <c r="O462" s="987"/>
      <c r="P462" s="987"/>
      <c r="Q462" s="987"/>
      <c r="R462" s="987"/>
      <c r="S462" s="987"/>
      <c r="T462" s="987"/>
      <c r="U462" s="987"/>
      <c r="V462" s="987"/>
      <c r="W462" s="987"/>
      <c r="X462" s="987"/>
      <c r="Y462" s="987"/>
      <c r="Z462" s="987"/>
      <c r="AA462" s="986"/>
    </row>
    <row r="463" hidden="1">
      <c r="A463" s="995">
        <v>240.0</v>
      </c>
      <c r="B463" s="996">
        <v>44344.0</v>
      </c>
      <c r="C463" s="984" t="s">
        <v>5058</v>
      </c>
      <c r="D463" s="436" t="s">
        <v>5059</v>
      </c>
      <c r="E463" s="436" t="s">
        <v>5060</v>
      </c>
      <c r="F463" s="995">
        <v>1.5550551E7</v>
      </c>
      <c r="G463" s="436" t="s">
        <v>135</v>
      </c>
      <c r="H463" s="984" t="s">
        <v>5061</v>
      </c>
      <c r="I463" s="997" t="s">
        <v>5062</v>
      </c>
      <c r="J463" s="987"/>
      <c r="K463" s="987"/>
      <c r="L463" s="987"/>
      <c r="M463" s="987"/>
      <c r="N463" s="987"/>
      <c r="O463" s="987"/>
      <c r="P463" s="987"/>
      <c r="Q463" s="987"/>
      <c r="R463" s="987"/>
      <c r="S463" s="987"/>
      <c r="T463" s="987"/>
      <c r="U463" s="987"/>
      <c r="V463" s="987"/>
      <c r="W463" s="987"/>
      <c r="X463" s="987"/>
      <c r="Y463" s="987"/>
      <c r="Z463" s="987"/>
      <c r="AA463" s="986"/>
    </row>
    <row r="464" hidden="1">
      <c r="A464" s="995">
        <v>241.0</v>
      </c>
      <c r="B464" s="996">
        <v>44348.0</v>
      </c>
      <c r="C464" s="984" t="s">
        <v>5058</v>
      </c>
      <c r="D464" s="436" t="s">
        <v>5059</v>
      </c>
      <c r="E464" s="436" t="s">
        <v>5060</v>
      </c>
      <c r="F464" s="995">
        <v>1.5550552E7</v>
      </c>
      <c r="G464" s="436" t="s">
        <v>135</v>
      </c>
      <c r="H464" s="984" t="s">
        <v>5061</v>
      </c>
      <c r="I464" s="997" t="s">
        <v>5062</v>
      </c>
      <c r="J464" s="987"/>
      <c r="K464" s="987"/>
      <c r="L464" s="987"/>
      <c r="M464" s="987"/>
      <c r="N464" s="987"/>
      <c r="O464" s="987"/>
      <c r="P464" s="987"/>
      <c r="Q464" s="987"/>
      <c r="R464" s="987"/>
      <c r="S464" s="987"/>
      <c r="T464" s="987"/>
      <c r="U464" s="987"/>
      <c r="V464" s="987"/>
      <c r="W464" s="987"/>
      <c r="X464" s="987"/>
      <c r="Y464" s="987"/>
      <c r="Z464" s="987"/>
      <c r="AA464" s="986"/>
    </row>
    <row r="465" hidden="1">
      <c r="A465" s="995">
        <v>242.0</v>
      </c>
      <c r="B465" s="1006">
        <v>44519.0</v>
      </c>
      <c r="C465" s="984" t="s">
        <v>5063</v>
      </c>
      <c r="D465" s="436" t="s">
        <v>73</v>
      </c>
      <c r="E465" s="436" t="s">
        <v>49</v>
      </c>
      <c r="F465" s="995">
        <v>1.6900109E7</v>
      </c>
      <c r="G465" s="436" t="s">
        <v>51</v>
      </c>
      <c r="H465" s="984" t="s">
        <v>5064</v>
      </c>
      <c r="I465" s="1001" t="s">
        <v>5065</v>
      </c>
      <c r="J465" s="987"/>
      <c r="K465" s="436" t="s">
        <v>76</v>
      </c>
      <c r="L465" s="987"/>
      <c r="M465" s="987"/>
      <c r="N465" s="987"/>
      <c r="O465" s="987"/>
      <c r="P465" s="987"/>
      <c r="Q465" s="987"/>
      <c r="R465" s="987"/>
      <c r="S465" s="987"/>
      <c r="T465" s="987"/>
      <c r="U465" s="987"/>
      <c r="V465" s="987"/>
      <c r="W465" s="987"/>
      <c r="X465" s="987"/>
      <c r="Y465" s="987"/>
      <c r="Z465" s="987"/>
      <c r="AA465" s="986"/>
    </row>
    <row r="466" hidden="1">
      <c r="A466" s="995">
        <v>243.0</v>
      </c>
      <c r="B466" s="991">
        <v>44522.0</v>
      </c>
      <c r="C466" s="989" t="s">
        <v>5066</v>
      </c>
      <c r="D466" s="434" t="s">
        <v>2522</v>
      </c>
      <c r="E466" s="434" t="s">
        <v>3817</v>
      </c>
      <c r="F466" s="434" t="s">
        <v>50</v>
      </c>
      <c r="G466" s="434" t="s">
        <v>120</v>
      </c>
      <c r="H466" s="989" t="s">
        <v>5067</v>
      </c>
      <c r="I466" s="989" t="s">
        <v>5068</v>
      </c>
      <c r="J466" s="987"/>
      <c r="K466" s="436" t="s">
        <v>5069</v>
      </c>
      <c r="L466" s="436" t="s">
        <v>5070</v>
      </c>
      <c r="M466" s="436" t="s">
        <v>3246</v>
      </c>
      <c r="N466" s="984" t="s">
        <v>4807</v>
      </c>
      <c r="O466" s="987"/>
      <c r="P466" s="987"/>
      <c r="Q466" s="987"/>
      <c r="R466" s="987"/>
      <c r="S466" s="987"/>
      <c r="T466" s="987"/>
      <c r="U466" s="436" t="s">
        <v>62</v>
      </c>
      <c r="V466" s="995">
        <v>44575.0</v>
      </c>
      <c r="W466" s="987"/>
      <c r="X466" s="987"/>
      <c r="Y466" s="987"/>
      <c r="Z466" s="987"/>
      <c r="AA466" s="986"/>
    </row>
    <row r="467" hidden="1">
      <c r="A467" s="995">
        <v>244.0</v>
      </c>
      <c r="B467" s="991">
        <v>44525.0</v>
      </c>
      <c r="C467" s="989" t="s">
        <v>4782</v>
      </c>
      <c r="D467" s="434" t="s">
        <v>2035</v>
      </c>
      <c r="E467" s="434" t="s">
        <v>269</v>
      </c>
      <c r="F467" s="989" t="s">
        <v>5071</v>
      </c>
      <c r="G467" s="434" t="s">
        <v>51</v>
      </c>
      <c r="H467" s="989" t="s">
        <v>5072</v>
      </c>
      <c r="I467" s="989" t="s">
        <v>5073</v>
      </c>
      <c r="J467" s="987"/>
      <c r="K467" s="436" t="s">
        <v>2038</v>
      </c>
      <c r="L467" s="436" t="s">
        <v>1297</v>
      </c>
      <c r="M467" s="436" t="s">
        <v>610</v>
      </c>
      <c r="N467" s="984" t="s">
        <v>4807</v>
      </c>
      <c r="O467" s="436" t="s">
        <v>62</v>
      </c>
      <c r="P467" s="995">
        <v>44530.0</v>
      </c>
      <c r="Q467" s="984" t="s">
        <v>5074</v>
      </c>
      <c r="R467" s="995">
        <v>44529.0</v>
      </c>
      <c r="S467" s="987"/>
      <c r="T467" s="987"/>
      <c r="U467" s="436" t="s">
        <v>62</v>
      </c>
      <c r="V467" s="995">
        <v>44588.0</v>
      </c>
      <c r="W467" s="987"/>
      <c r="X467" s="987"/>
      <c r="Y467" s="987"/>
      <c r="Z467" s="987"/>
      <c r="AA467" s="986"/>
    </row>
    <row r="468" hidden="1">
      <c r="A468" s="995">
        <v>245.0</v>
      </c>
      <c r="B468" s="991">
        <v>44526.0</v>
      </c>
      <c r="C468" s="989" t="s">
        <v>5039</v>
      </c>
      <c r="D468" s="434" t="s">
        <v>918</v>
      </c>
      <c r="E468" s="434" t="s">
        <v>4519</v>
      </c>
      <c r="F468" s="990">
        <v>1.6351236E7</v>
      </c>
      <c r="G468" s="434" t="s">
        <v>32</v>
      </c>
      <c r="H468" s="989" t="s">
        <v>5075</v>
      </c>
      <c r="I468" s="993" t="s">
        <v>5076</v>
      </c>
      <c r="J468" s="987"/>
      <c r="K468" s="436" t="s">
        <v>278</v>
      </c>
      <c r="L468" s="436" t="s">
        <v>2968</v>
      </c>
      <c r="M468" s="436" t="s">
        <v>280</v>
      </c>
      <c r="N468" s="436" t="s">
        <v>5042</v>
      </c>
      <c r="O468" s="987"/>
      <c r="P468" s="987"/>
      <c r="Q468" s="987"/>
      <c r="R468" s="987"/>
      <c r="S468" s="987"/>
      <c r="T468" s="987"/>
      <c r="U468" s="436" t="s">
        <v>62</v>
      </c>
      <c r="V468" s="995">
        <v>44713.0</v>
      </c>
      <c r="W468" s="987"/>
      <c r="X468" s="987"/>
      <c r="Y468" s="987"/>
      <c r="Z468" s="987"/>
      <c r="AA468" s="986"/>
    </row>
    <row r="469" hidden="1">
      <c r="A469" s="995">
        <v>246.0</v>
      </c>
      <c r="B469" s="991">
        <v>44526.0</v>
      </c>
      <c r="C469" s="989" t="s">
        <v>5039</v>
      </c>
      <c r="D469" s="434" t="s">
        <v>918</v>
      </c>
      <c r="E469" s="434" t="s">
        <v>4519</v>
      </c>
      <c r="F469" s="990">
        <v>1.6351237E7</v>
      </c>
      <c r="G469" s="434" t="s">
        <v>32</v>
      </c>
      <c r="H469" s="989" t="s">
        <v>5077</v>
      </c>
      <c r="I469" s="993" t="s">
        <v>5076</v>
      </c>
      <c r="J469" s="987"/>
      <c r="K469" s="436" t="s">
        <v>278</v>
      </c>
      <c r="L469" s="436" t="s">
        <v>5078</v>
      </c>
      <c r="M469" s="436" t="s">
        <v>280</v>
      </c>
      <c r="N469" s="436" t="s">
        <v>5042</v>
      </c>
      <c r="O469" s="987"/>
      <c r="P469" s="987"/>
      <c r="Q469" s="987"/>
      <c r="R469" s="987"/>
      <c r="S469" s="987"/>
      <c r="T469" s="987"/>
      <c r="U469" s="436" t="s">
        <v>62</v>
      </c>
      <c r="V469" s="995">
        <v>44713.0</v>
      </c>
      <c r="W469" s="987"/>
      <c r="X469" s="987"/>
      <c r="Y469" s="987"/>
      <c r="Z469" s="987"/>
      <c r="AA469" s="986"/>
    </row>
    <row r="470" hidden="1">
      <c r="A470" s="995">
        <v>247.0</v>
      </c>
      <c r="B470" s="991">
        <v>44526.0</v>
      </c>
      <c r="C470" s="989" t="s">
        <v>5079</v>
      </c>
      <c r="D470" s="434" t="s">
        <v>3809</v>
      </c>
      <c r="E470" s="434" t="s">
        <v>3810</v>
      </c>
      <c r="F470" s="990">
        <v>1.3582524E7</v>
      </c>
      <c r="G470" s="434" t="s">
        <v>200</v>
      </c>
      <c r="H470" s="989" t="s">
        <v>5080</v>
      </c>
      <c r="I470" s="993" t="s">
        <v>5081</v>
      </c>
      <c r="J470" s="987"/>
      <c r="K470" s="436" t="s">
        <v>4890</v>
      </c>
      <c r="L470" s="436" t="s">
        <v>138</v>
      </c>
      <c r="M470" s="436" t="s">
        <v>5082</v>
      </c>
      <c r="N470" s="987"/>
      <c r="O470" s="987"/>
      <c r="P470" s="987"/>
      <c r="Q470" s="987"/>
      <c r="R470" s="987"/>
      <c r="S470" s="436" t="s">
        <v>62</v>
      </c>
      <c r="T470" s="995">
        <v>44575.0</v>
      </c>
      <c r="U470" s="436" t="s">
        <v>62</v>
      </c>
      <c r="V470" s="995">
        <v>44586.0</v>
      </c>
      <c r="W470" s="987"/>
      <c r="X470" s="987"/>
      <c r="Y470" s="987"/>
      <c r="Z470" s="987"/>
      <c r="AA470" s="986"/>
    </row>
    <row r="471" hidden="1">
      <c r="A471" s="995">
        <v>249.0</v>
      </c>
      <c r="B471" s="1006">
        <v>44517.0</v>
      </c>
      <c r="C471" s="984" t="s">
        <v>4526</v>
      </c>
      <c r="D471" s="436" t="s">
        <v>48</v>
      </c>
      <c r="E471" s="436" t="s">
        <v>49</v>
      </c>
      <c r="F471" s="995">
        <v>1469191.0</v>
      </c>
      <c r="G471" s="436" t="s">
        <v>51</v>
      </c>
      <c r="H471" s="984" t="s">
        <v>5083</v>
      </c>
      <c r="I471" s="999" t="s">
        <v>5084</v>
      </c>
      <c r="J471" s="987"/>
      <c r="K471" s="436" t="s">
        <v>5085</v>
      </c>
      <c r="L471" s="987"/>
      <c r="M471" s="987"/>
      <c r="N471" s="987"/>
      <c r="O471" s="987"/>
      <c r="P471" s="987"/>
      <c r="Q471" s="987"/>
      <c r="R471" s="987"/>
      <c r="S471" s="987"/>
      <c r="T471" s="987"/>
      <c r="U471" s="987"/>
      <c r="V471" s="987"/>
      <c r="W471" s="987"/>
      <c r="X471" s="987"/>
      <c r="Y471" s="987"/>
      <c r="Z471" s="987"/>
      <c r="AA471" s="986"/>
    </row>
    <row r="472" hidden="1">
      <c r="A472" s="995">
        <v>250.0</v>
      </c>
      <c r="B472" s="988">
        <v>44533.0</v>
      </c>
      <c r="C472" s="989" t="s">
        <v>5086</v>
      </c>
      <c r="D472" s="434" t="s">
        <v>337</v>
      </c>
      <c r="E472" s="434" t="s">
        <v>4035</v>
      </c>
      <c r="F472" s="990">
        <v>1.90401E7</v>
      </c>
      <c r="G472" s="434" t="s">
        <v>120</v>
      </c>
      <c r="H472" s="989" t="s">
        <v>5087</v>
      </c>
      <c r="I472" s="993" t="s">
        <v>5088</v>
      </c>
      <c r="J472" s="987"/>
      <c r="K472" s="436" t="s">
        <v>342</v>
      </c>
      <c r="L472" s="436" t="s">
        <v>343</v>
      </c>
      <c r="M472" s="436" t="s">
        <v>4977</v>
      </c>
      <c r="N472" s="984" t="s">
        <v>4807</v>
      </c>
      <c r="O472" s="436" t="s">
        <v>50</v>
      </c>
      <c r="P472" s="987"/>
      <c r="Q472" s="436" t="s">
        <v>62</v>
      </c>
      <c r="R472" s="995">
        <v>44545.0</v>
      </c>
      <c r="S472" s="987"/>
      <c r="T472" s="987"/>
      <c r="U472" s="987"/>
      <c r="V472" s="987"/>
      <c r="W472" s="987"/>
      <c r="X472" s="987"/>
      <c r="Y472" s="987"/>
      <c r="Z472" s="987"/>
      <c r="AA472" s="986"/>
    </row>
    <row r="473" hidden="1">
      <c r="A473" s="995">
        <v>251.0</v>
      </c>
      <c r="B473" s="988">
        <v>44536.0</v>
      </c>
      <c r="C473" s="989" t="s">
        <v>5089</v>
      </c>
      <c r="D473" s="434" t="s">
        <v>1106</v>
      </c>
      <c r="E473" s="434" t="s">
        <v>5090</v>
      </c>
      <c r="F473" s="434" t="s">
        <v>50</v>
      </c>
      <c r="G473" s="434" t="s">
        <v>103</v>
      </c>
      <c r="H473" s="989" t="s">
        <v>5091</v>
      </c>
      <c r="I473" s="993" t="s">
        <v>5092</v>
      </c>
      <c r="J473" s="987"/>
      <c r="K473" s="436" t="s">
        <v>5093</v>
      </c>
      <c r="L473" s="436" t="s">
        <v>5094</v>
      </c>
      <c r="M473" s="436" t="s">
        <v>5095</v>
      </c>
      <c r="N473" s="984" t="s">
        <v>4995</v>
      </c>
      <c r="O473" s="987"/>
      <c r="P473" s="987"/>
      <c r="Q473" s="436" t="s">
        <v>62</v>
      </c>
      <c r="R473" s="995">
        <v>44574.0</v>
      </c>
      <c r="S473" s="987"/>
      <c r="T473" s="987"/>
      <c r="U473" s="436" t="s">
        <v>62</v>
      </c>
      <c r="V473" s="995">
        <v>44585.0</v>
      </c>
      <c r="W473" s="987"/>
      <c r="X473" s="987"/>
      <c r="Y473" s="436" t="s">
        <v>4472</v>
      </c>
      <c r="Z473" s="987"/>
      <c r="AA473" s="986"/>
    </row>
    <row r="474" hidden="1">
      <c r="A474" s="995">
        <v>254.0</v>
      </c>
      <c r="B474" s="991">
        <v>44540.0</v>
      </c>
      <c r="C474" s="989" t="s">
        <v>5096</v>
      </c>
      <c r="D474" s="434" t="s">
        <v>4268</v>
      </c>
      <c r="E474" s="434" t="s">
        <v>160</v>
      </c>
      <c r="F474" s="990">
        <v>1.4850712E7</v>
      </c>
      <c r="G474" s="434" t="s">
        <v>51</v>
      </c>
      <c r="H474" s="989" t="s">
        <v>5097</v>
      </c>
      <c r="I474" s="989" t="s">
        <v>5098</v>
      </c>
      <c r="J474" s="987"/>
      <c r="K474" s="436" t="s">
        <v>4913</v>
      </c>
      <c r="L474" s="436" t="s">
        <v>5099</v>
      </c>
      <c r="M474" s="436" t="s">
        <v>5100</v>
      </c>
      <c r="N474" s="436" t="s">
        <v>5101</v>
      </c>
      <c r="O474" s="436" t="s">
        <v>62</v>
      </c>
      <c r="P474" s="987"/>
      <c r="Q474" s="987"/>
      <c r="R474" s="987"/>
      <c r="S474" s="987"/>
      <c r="T474" s="987"/>
      <c r="U474" s="436" t="s">
        <v>62</v>
      </c>
      <c r="V474" s="995">
        <v>44601.0</v>
      </c>
      <c r="W474" s="987"/>
      <c r="X474" s="987"/>
      <c r="Y474" s="987"/>
      <c r="Z474" s="987"/>
      <c r="AA474" s="986"/>
    </row>
    <row r="475" hidden="1">
      <c r="A475" s="995">
        <v>255.0</v>
      </c>
      <c r="B475" s="991">
        <v>44497.0</v>
      </c>
      <c r="C475" s="989" t="s">
        <v>4202</v>
      </c>
      <c r="D475" s="434" t="s">
        <v>119</v>
      </c>
      <c r="E475" s="434" t="s">
        <v>49</v>
      </c>
      <c r="F475" s="990">
        <v>1.3715135E7</v>
      </c>
      <c r="G475" s="434" t="s">
        <v>120</v>
      </c>
      <c r="H475" s="989" t="s">
        <v>5102</v>
      </c>
      <c r="I475" s="993" t="s">
        <v>5103</v>
      </c>
      <c r="J475" s="987"/>
      <c r="K475" s="436" t="s">
        <v>4610</v>
      </c>
      <c r="L475" s="436" t="s">
        <v>5104</v>
      </c>
      <c r="M475" s="436" t="s">
        <v>4919</v>
      </c>
      <c r="N475" s="987"/>
      <c r="O475" s="436" t="s">
        <v>62</v>
      </c>
      <c r="P475" s="995">
        <v>44558.0</v>
      </c>
      <c r="Q475" s="987"/>
      <c r="R475" s="987"/>
      <c r="S475" s="987"/>
      <c r="T475" s="987"/>
      <c r="U475" s="436" t="s">
        <v>62</v>
      </c>
      <c r="V475" s="995">
        <v>44621.0</v>
      </c>
      <c r="W475" s="987"/>
      <c r="X475" s="987"/>
      <c r="Y475" s="436" t="s">
        <v>4067</v>
      </c>
      <c r="Z475" s="987"/>
      <c r="AA475" s="986"/>
    </row>
    <row r="476" hidden="1">
      <c r="A476" s="995">
        <v>257.0</v>
      </c>
      <c r="B476" s="991">
        <v>44546.0</v>
      </c>
      <c r="C476" s="989" t="s">
        <v>5105</v>
      </c>
      <c r="D476" s="434" t="s">
        <v>1101</v>
      </c>
      <c r="E476" s="434" t="s">
        <v>50</v>
      </c>
      <c r="F476" s="434" t="s">
        <v>50</v>
      </c>
      <c r="G476" s="434" t="s">
        <v>103</v>
      </c>
      <c r="H476" s="989" t="s">
        <v>5106</v>
      </c>
      <c r="I476" s="993" t="s">
        <v>5107</v>
      </c>
      <c r="J476" s="987"/>
      <c r="K476" s="987"/>
      <c r="L476" s="987"/>
      <c r="M476" s="987"/>
      <c r="N476" s="987"/>
      <c r="O476" s="987"/>
      <c r="P476" s="987"/>
      <c r="Q476" s="987"/>
      <c r="R476" s="987"/>
      <c r="S476" s="987"/>
      <c r="T476" s="987"/>
      <c r="U476" s="987"/>
      <c r="V476" s="987"/>
      <c r="W476" s="987"/>
      <c r="X476" s="987"/>
      <c r="Y476" s="987"/>
      <c r="Z476" s="987"/>
      <c r="AA476" s="986"/>
    </row>
    <row r="477" hidden="1">
      <c r="A477" s="995">
        <v>258.0</v>
      </c>
      <c r="B477" s="991">
        <v>44546.0</v>
      </c>
      <c r="C477" s="989" t="s">
        <v>5108</v>
      </c>
      <c r="D477" s="434" t="s">
        <v>499</v>
      </c>
      <c r="E477" s="434" t="s">
        <v>50</v>
      </c>
      <c r="F477" s="434" t="s">
        <v>50</v>
      </c>
      <c r="G477" s="434" t="s">
        <v>103</v>
      </c>
      <c r="H477" s="989" t="s">
        <v>5106</v>
      </c>
      <c r="I477" s="989" t="s">
        <v>5109</v>
      </c>
      <c r="J477" s="987"/>
      <c r="K477" s="987"/>
      <c r="L477" s="987"/>
      <c r="M477" s="987"/>
      <c r="N477" s="987"/>
      <c r="O477" s="987"/>
      <c r="P477" s="987"/>
      <c r="Q477" s="987"/>
      <c r="R477" s="987"/>
      <c r="S477" s="987"/>
      <c r="T477" s="987"/>
      <c r="U477" s="987"/>
      <c r="V477" s="987"/>
      <c r="W477" s="987"/>
      <c r="X477" s="987"/>
      <c r="Y477" s="987"/>
      <c r="Z477" s="987"/>
      <c r="AA477" s="986"/>
    </row>
    <row r="478" hidden="1">
      <c r="A478" s="995">
        <v>259.0</v>
      </c>
      <c r="B478" s="991">
        <v>44546.0</v>
      </c>
      <c r="C478" s="989" t="s">
        <v>5086</v>
      </c>
      <c r="D478" s="434" t="s">
        <v>337</v>
      </c>
      <c r="E478" s="434" t="s">
        <v>160</v>
      </c>
      <c r="F478" s="434" t="s">
        <v>50</v>
      </c>
      <c r="G478" s="434" t="s">
        <v>120</v>
      </c>
      <c r="H478" s="989" t="s">
        <v>5110</v>
      </c>
      <c r="I478" s="989" t="s">
        <v>5111</v>
      </c>
      <c r="J478" s="987"/>
      <c r="K478" s="436" t="s">
        <v>5112</v>
      </c>
      <c r="L478" s="436" t="s">
        <v>5113</v>
      </c>
      <c r="M478" s="436" t="s">
        <v>5114</v>
      </c>
      <c r="N478" s="984" t="s">
        <v>4807</v>
      </c>
      <c r="O478" s="987"/>
      <c r="P478" s="987"/>
      <c r="Q478" s="436" t="s">
        <v>62</v>
      </c>
      <c r="R478" s="995">
        <v>44554.0</v>
      </c>
      <c r="S478" s="987"/>
      <c r="T478" s="987"/>
      <c r="U478" s="987"/>
      <c r="V478" s="987"/>
      <c r="W478" s="987"/>
      <c r="X478" s="987"/>
      <c r="Y478" s="987"/>
      <c r="Z478" s="987"/>
      <c r="AA478" s="986"/>
    </row>
    <row r="479" hidden="1">
      <c r="A479" s="995">
        <v>260.0</v>
      </c>
      <c r="B479" s="991">
        <v>44547.0</v>
      </c>
      <c r="C479" s="989" t="s">
        <v>5115</v>
      </c>
      <c r="D479" s="434" t="s">
        <v>220</v>
      </c>
      <c r="E479" s="434" t="s">
        <v>160</v>
      </c>
      <c r="F479" s="434" t="s">
        <v>50</v>
      </c>
      <c r="G479" s="434" t="s">
        <v>120</v>
      </c>
      <c r="H479" s="989" t="s">
        <v>5116</v>
      </c>
      <c r="I479" s="989" t="s">
        <v>5117</v>
      </c>
      <c r="J479" s="987"/>
      <c r="K479" s="987"/>
      <c r="L479" s="987"/>
      <c r="M479" s="987"/>
      <c r="N479" s="987"/>
      <c r="O479" s="436" t="s">
        <v>62</v>
      </c>
      <c r="P479" s="987"/>
      <c r="Q479" s="987"/>
      <c r="R479" s="987"/>
      <c r="S479" s="987"/>
      <c r="T479" s="987"/>
      <c r="U479" s="987"/>
      <c r="V479" s="987"/>
      <c r="W479" s="987"/>
      <c r="X479" s="987"/>
      <c r="Y479" s="987"/>
      <c r="Z479" s="987"/>
      <c r="AA479" s="986"/>
    </row>
    <row r="480" hidden="1">
      <c r="A480" s="995">
        <v>262.0</v>
      </c>
      <c r="B480" s="991">
        <v>44551.0</v>
      </c>
      <c r="C480" s="989" t="s">
        <v>5118</v>
      </c>
      <c r="D480" s="434" t="s">
        <v>2035</v>
      </c>
      <c r="E480" s="434" t="s">
        <v>269</v>
      </c>
      <c r="F480" s="990">
        <v>1.6600572E7</v>
      </c>
      <c r="G480" s="434" t="s">
        <v>51</v>
      </c>
      <c r="H480" s="989" t="s">
        <v>5119</v>
      </c>
      <c r="I480" s="993" t="s">
        <v>5120</v>
      </c>
      <c r="J480" s="987"/>
      <c r="K480" s="436" t="s">
        <v>2038</v>
      </c>
      <c r="L480" s="436" t="s">
        <v>812</v>
      </c>
      <c r="M480" s="436" t="s">
        <v>610</v>
      </c>
      <c r="N480" s="987"/>
      <c r="O480" s="436" t="s">
        <v>62</v>
      </c>
      <c r="P480" s="995">
        <v>44558.0</v>
      </c>
      <c r="Q480" s="987"/>
      <c r="R480" s="987"/>
      <c r="S480" s="987"/>
      <c r="T480" s="987"/>
      <c r="U480" s="436" t="s">
        <v>62</v>
      </c>
      <c r="V480" s="995">
        <v>44586.0</v>
      </c>
      <c r="W480" s="987"/>
      <c r="X480" s="987"/>
      <c r="Y480" s="987"/>
      <c r="Z480" s="987"/>
      <c r="AA480" s="986"/>
    </row>
    <row r="481" hidden="1">
      <c r="A481" s="995">
        <v>263.0</v>
      </c>
      <c r="B481" s="991">
        <v>44551.0</v>
      </c>
      <c r="C481" s="989" t="s">
        <v>5118</v>
      </c>
      <c r="D481" s="434" t="s">
        <v>2035</v>
      </c>
      <c r="E481" s="434" t="s">
        <v>269</v>
      </c>
      <c r="F481" s="990">
        <v>1.6600573E7</v>
      </c>
      <c r="G481" s="434" t="s">
        <v>51</v>
      </c>
      <c r="H481" s="989" t="s">
        <v>5121</v>
      </c>
      <c r="I481" s="993" t="s">
        <v>5122</v>
      </c>
      <c r="J481" s="987"/>
      <c r="K481" s="436" t="s">
        <v>2038</v>
      </c>
      <c r="L481" s="436" t="s">
        <v>1557</v>
      </c>
      <c r="M481" s="436" t="s">
        <v>610</v>
      </c>
      <c r="N481" s="987"/>
      <c r="O481" s="436" t="s">
        <v>62</v>
      </c>
      <c r="P481" s="995">
        <v>44585.0</v>
      </c>
      <c r="Q481" s="987"/>
      <c r="R481" s="987"/>
      <c r="S481" s="987"/>
      <c r="T481" s="987"/>
      <c r="U481" s="436" t="s">
        <v>62</v>
      </c>
      <c r="V481" s="995">
        <v>44600.0</v>
      </c>
      <c r="W481" s="987"/>
      <c r="X481" s="987"/>
      <c r="Y481" s="987"/>
      <c r="Z481" s="987"/>
      <c r="AA481" s="986"/>
    </row>
    <row r="482" hidden="1">
      <c r="A482" s="995">
        <v>264.0</v>
      </c>
      <c r="B482" s="991">
        <v>44551.0</v>
      </c>
      <c r="C482" s="989" t="s">
        <v>4500</v>
      </c>
      <c r="D482" s="434" t="s">
        <v>367</v>
      </c>
      <c r="E482" s="434" t="s">
        <v>49</v>
      </c>
      <c r="F482" s="990">
        <v>1.48823E7</v>
      </c>
      <c r="G482" s="434" t="s">
        <v>120</v>
      </c>
      <c r="H482" s="989" t="s">
        <v>5123</v>
      </c>
      <c r="I482" s="993" t="s">
        <v>5124</v>
      </c>
      <c r="J482" s="987"/>
      <c r="K482" s="436" t="s">
        <v>123</v>
      </c>
      <c r="L482" s="436" t="s">
        <v>4918</v>
      </c>
      <c r="M482" s="436" t="s">
        <v>4919</v>
      </c>
      <c r="N482" s="987"/>
      <c r="O482" s="436" t="s">
        <v>62</v>
      </c>
      <c r="P482" s="995">
        <v>44557.0</v>
      </c>
      <c r="Q482" s="987"/>
      <c r="R482" s="987"/>
      <c r="S482" s="987"/>
      <c r="T482" s="987"/>
      <c r="U482" s="436" t="s">
        <v>62</v>
      </c>
      <c r="V482" s="995">
        <v>44568.0</v>
      </c>
      <c r="W482" s="987"/>
      <c r="X482" s="987"/>
      <c r="Y482" s="987"/>
      <c r="Z482" s="987"/>
      <c r="AA482" s="986"/>
    </row>
    <row r="483" hidden="1">
      <c r="A483" s="995">
        <v>267.0</v>
      </c>
      <c r="B483" s="988">
        <v>44573.0</v>
      </c>
      <c r="C483" s="989" t="s">
        <v>5125</v>
      </c>
      <c r="D483" s="434" t="s">
        <v>744</v>
      </c>
      <c r="E483" s="434" t="s">
        <v>698</v>
      </c>
      <c r="F483" s="434" t="s">
        <v>50</v>
      </c>
      <c r="G483" s="434" t="s">
        <v>51</v>
      </c>
      <c r="H483" s="989" t="s">
        <v>5126</v>
      </c>
      <c r="I483" s="993" t="s">
        <v>5127</v>
      </c>
      <c r="J483" s="987"/>
      <c r="K483" s="436" t="s">
        <v>1587</v>
      </c>
      <c r="L483" s="436" t="s">
        <v>5128</v>
      </c>
      <c r="M483" s="436" t="s">
        <v>5129</v>
      </c>
      <c r="N483" s="987"/>
      <c r="O483" s="987"/>
      <c r="P483" s="987"/>
      <c r="Q483" s="987"/>
      <c r="R483" s="987"/>
      <c r="S483" s="987"/>
      <c r="T483" s="987"/>
      <c r="U483" s="987"/>
      <c r="V483" s="987"/>
      <c r="W483" s="987"/>
      <c r="X483" s="987"/>
      <c r="Y483" s="987"/>
      <c r="Z483" s="987"/>
      <c r="AA483" s="986"/>
    </row>
    <row r="484" hidden="1">
      <c r="A484" s="995">
        <v>268.0</v>
      </c>
      <c r="B484" s="984" t="s">
        <v>5130</v>
      </c>
      <c r="C484" s="997" t="s">
        <v>5131</v>
      </c>
      <c r="D484" s="436" t="s">
        <v>2530</v>
      </c>
      <c r="E484" s="436" t="s">
        <v>3978</v>
      </c>
      <c r="F484" s="1012">
        <v>1.8610789E7</v>
      </c>
      <c r="G484" s="436" t="s">
        <v>200</v>
      </c>
      <c r="H484" s="984" t="s">
        <v>5132</v>
      </c>
      <c r="I484" s="1001" t="s">
        <v>5133</v>
      </c>
      <c r="J484" s="987"/>
      <c r="K484" s="987"/>
      <c r="L484" s="436" t="s">
        <v>5134</v>
      </c>
      <c r="M484" s="436" t="s">
        <v>2535</v>
      </c>
      <c r="N484" s="987"/>
      <c r="O484" s="987"/>
      <c r="P484" s="987"/>
      <c r="Q484" s="987"/>
      <c r="R484" s="987"/>
      <c r="S484" s="987"/>
      <c r="T484" s="987"/>
      <c r="U484" s="987"/>
      <c r="V484" s="987"/>
      <c r="W484" s="987"/>
      <c r="X484" s="987"/>
      <c r="Y484" s="987"/>
      <c r="Z484" s="987"/>
      <c r="AA484" s="986"/>
    </row>
    <row r="485" hidden="1">
      <c r="A485" s="995">
        <v>269.0</v>
      </c>
      <c r="B485" s="988">
        <v>44578.0</v>
      </c>
      <c r="C485" s="989" t="s">
        <v>4371</v>
      </c>
      <c r="D485" s="434" t="s">
        <v>89</v>
      </c>
      <c r="E485" s="434" t="s">
        <v>269</v>
      </c>
      <c r="F485" s="990">
        <v>1.5830921E7</v>
      </c>
      <c r="G485" s="434" t="s">
        <v>51</v>
      </c>
      <c r="H485" s="989" t="s">
        <v>5135</v>
      </c>
      <c r="I485" s="989" t="s">
        <v>5136</v>
      </c>
      <c r="J485" s="987"/>
      <c r="K485" s="436" t="s">
        <v>4654</v>
      </c>
      <c r="L485" s="436" t="s">
        <v>1374</v>
      </c>
      <c r="M485" s="436" t="s">
        <v>610</v>
      </c>
      <c r="N485" s="987"/>
      <c r="O485" s="436" t="s">
        <v>62</v>
      </c>
      <c r="P485" s="995">
        <v>44628.0</v>
      </c>
      <c r="Q485" s="987"/>
      <c r="R485" s="987"/>
      <c r="S485" s="987"/>
      <c r="T485" s="987"/>
      <c r="U485" s="436" t="s">
        <v>62</v>
      </c>
      <c r="V485" s="995">
        <v>44628.0</v>
      </c>
      <c r="W485" s="987"/>
      <c r="X485" s="987"/>
      <c r="Y485" s="987"/>
      <c r="Z485" s="987"/>
      <c r="AA485" s="986"/>
    </row>
    <row r="486" hidden="1">
      <c r="A486" s="995">
        <v>270.0</v>
      </c>
      <c r="B486" s="988">
        <v>44580.0</v>
      </c>
      <c r="C486" s="989" t="s">
        <v>5137</v>
      </c>
      <c r="D486" s="434" t="s">
        <v>367</v>
      </c>
      <c r="E486" s="434" t="s">
        <v>49</v>
      </c>
      <c r="F486" s="990">
        <v>1.4882318E7</v>
      </c>
      <c r="G486" s="434" t="s">
        <v>120</v>
      </c>
      <c r="H486" s="989" t="s">
        <v>5138</v>
      </c>
      <c r="I486" s="989" t="s">
        <v>5139</v>
      </c>
      <c r="J486" s="987"/>
      <c r="K486" s="436" t="s">
        <v>123</v>
      </c>
      <c r="L486" s="436" t="s">
        <v>4918</v>
      </c>
      <c r="M486" s="436" t="s">
        <v>4919</v>
      </c>
      <c r="N486" s="987"/>
      <c r="O486" s="436" t="s">
        <v>62</v>
      </c>
      <c r="P486" s="995">
        <v>44580.0</v>
      </c>
      <c r="Q486" s="987"/>
      <c r="R486" s="987"/>
      <c r="S486" s="987"/>
      <c r="T486" s="987"/>
      <c r="U486" s="436" t="s">
        <v>62</v>
      </c>
      <c r="V486" s="995">
        <v>44585.0</v>
      </c>
      <c r="W486" s="987"/>
      <c r="X486" s="987"/>
      <c r="Y486" s="987"/>
      <c r="Z486" s="987"/>
      <c r="AA486" s="986"/>
    </row>
    <row r="487" hidden="1">
      <c r="A487" s="995">
        <v>271.0</v>
      </c>
      <c r="B487" s="988">
        <v>44585.0</v>
      </c>
      <c r="C487" s="989" t="s">
        <v>5140</v>
      </c>
      <c r="D487" s="434" t="s">
        <v>3809</v>
      </c>
      <c r="E487" s="434" t="s">
        <v>3810</v>
      </c>
      <c r="F487" s="990">
        <v>1.3582563E7</v>
      </c>
      <c r="G487" s="434" t="s">
        <v>200</v>
      </c>
      <c r="H487" s="989" t="s">
        <v>5141</v>
      </c>
      <c r="I487" s="993" t="s">
        <v>5142</v>
      </c>
      <c r="J487" s="987"/>
      <c r="K487" s="436" t="s">
        <v>4890</v>
      </c>
      <c r="L487" s="436" t="s">
        <v>5143</v>
      </c>
      <c r="M487" s="436" t="s">
        <v>5144</v>
      </c>
      <c r="N487" s="987"/>
      <c r="O487" s="436" t="s">
        <v>174</v>
      </c>
      <c r="P487" s="987"/>
      <c r="Q487" s="987"/>
      <c r="R487" s="987"/>
      <c r="S487" s="987"/>
      <c r="T487" s="987"/>
      <c r="U487" s="436" t="s">
        <v>62</v>
      </c>
      <c r="V487" s="995">
        <v>44683.0</v>
      </c>
      <c r="W487" s="987"/>
      <c r="X487" s="987"/>
      <c r="Y487" s="987"/>
      <c r="Z487" s="987"/>
      <c r="AA487" s="986"/>
    </row>
    <row r="488" hidden="1">
      <c r="A488" s="995">
        <v>272.0</v>
      </c>
      <c r="B488" s="988">
        <v>44582.0</v>
      </c>
      <c r="C488" s="989" t="s">
        <v>5118</v>
      </c>
      <c r="D488" s="434" t="s">
        <v>2035</v>
      </c>
      <c r="E488" s="434" t="s">
        <v>269</v>
      </c>
      <c r="F488" s="990">
        <v>1.6600572E7</v>
      </c>
      <c r="G488" s="434" t="s">
        <v>51</v>
      </c>
      <c r="H488" s="989" t="s">
        <v>5145</v>
      </c>
      <c r="I488" s="989" t="s">
        <v>5146</v>
      </c>
      <c r="J488" s="987"/>
      <c r="K488" s="436" t="s">
        <v>2038</v>
      </c>
      <c r="L488" s="436" t="s">
        <v>1297</v>
      </c>
      <c r="M488" s="436" t="s">
        <v>610</v>
      </c>
      <c r="N488" s="987"/>
      <c r="O488" s="436" t="s">
        <v>62</v>
      </c>
      <c r="P488" s="995">
        <v>44923.0</v>
      </c>
      <c r="Q488" s="987"/>
      <c r="R488" s="987"/>
      <c r="S488" s="987"/>
      <c r="T488" s="987"/>
      <c r="U488" s="436" t="s">
        <v>62</v>
      </c>
      <c r="V488" s="995">
        <v>44588.0</v>
      </c>
      <c r="W488" s="987"/>
      <c r="X488" s="987"/>
      <c r="Y488" s="987"/>
      <c r="Z488" s="987"/>
      <c r="AA488" s="986"/>
    </row>
    <row r="489" hidden="1">
      <c r="A489" s="995">
        <v>273.0</v>
      </c>
      <c r="B489" s="988">
        <v>44582.0</v>
      </c>
      <c r="C489" s="989" t="s">
        <v>5147</v>
      </c>
      <c r="D489" s="434" t="s">
        <v>1173</v>
      </c>
      <c r="E489" s="434" t="s">
        <v>3607</v>
      </c>
      <c r="F489" s="990">
        <v>1.6790825E7</v>
      </c>
      <c r="G489" s="434" t="s">
        <v>42</v>
      </c>
      <c r="H489" s="989" t="s">
        <v>5148</v>
      </c>
      <c r="I489" s="993" t="s">
        <v>5149</v>
      </c>
      <c r="J489" s="987"/>
      <c r="K489" s="436" t="s">
        <v>3609</v>
      </c>
      <c r="L489" s="987"/>
      <c r="M489" s="987"/>
      <c r="N489" s="987"/>
      <c r="O489" s="987"/>
      <c r="P489" s="987"/>
      <c r="Q489" s="987"/>
      <c r="R489" s="987"/>
      <c r="S489" s="987"/>
      <c r="T489" s="987"/>
      <c r="U489" s="436" t="s">
        <v>62</v>
      </c>
      <c r="V489" s="995">
        <v>44634.0</v>
      </c>
      <c r="W489" s="987"/>
      <c r="X489" s="987"/>
      <c r="Y489" s="987"/>
      <c r="Z489" s="987"/>
      <c r="AA489" s="986"/>
    </row>
    <row r="490" hidden="1">
      <c r="A490" s="995">
        <v>274.0</v>
      </c>
      <c r="B490" s="988">
        <v>44585.0</v>
      </c>
      <c r="C490" s="989" t="s">
        <v>5137</v>
      </c>
      <c r="D490" s="434" t="s">
        <v>367</v>
      </c>
      <c r="E490" s="434" t="s">
        <v>49</v>
      </c>
      <c r="F490" s="1013" t="s">
        <v>5150</v>
      </c>
      <c r="G490" s="434" t="s">
        <v>120</v>
      </c>
      <c r="H490" s="989" t="s">
        <v>5138</v>
      </c>
      <c r="I490" s="993" t="s">
        <v>5151</v>
      </c>
      <c r="J490" s="987"/>
      <c r="K490" s="436" t="s">
        <v>123</v>
      </c>
      <c r="L490" s="436" t="s">
        <v>5152</v>
      </c>
      <c r="M490" s="436" t="s">
        <v>4919</v>
      </c>
      <c r="N490" s="987"/>
      <c r="O490" s="436" t="s">
        <v>62</v>
      </c>
      <c r="P490" s="995">
        <v>44587.0</v>
      </c>
      <c r="Q490" s="987"/>
      <c r="R490" s="987"/>
      <c r="S490" s="987"/>
      <c r="T490" s="987"/>
      <c r="U490" s="436" t="s">
        <v>62</v>
      </c>
      <c r="V490" s="995">
        <v>44587.0</v>
      </c>
      <c r="W490" s="987"/>
      <c r="X490" s="987"/>
      <c r="Y490" s="987"/>
      <c r="Z490" s="987"/>
      <c r="AA490" s="986"/>
    </row>
    <row r="491" hidden="1">
      <c r="A491" s="995">
        <v>277.0</v>
      </c>
      <c r="B491" s="996">
        <v>44594.0</v>
      </c>
      <c r="C491" s="984" t="s">
        <v>5153</v>
      </c>
      <c r="D491" s="436" t="s">
        <v>5154</v>
      </c>
      <c r="E491" s="436" t="s">
        <v>305</v>
      </c>
      <c r="F491" s="436" t="s">
        <v>50</v>
      </c>
      <c r="G491" s="436" t="s">
        <v>831</v>
      </c>
      <c r="H491" s="984" t="s">
        <v>5155</v>
      </c>
      <c r="I491" s="1001" t="s">
        <v>5156</v>
      </c>
      <c r="J491" s="987"/>
      <c r="K491" s="436" t="s">
        <v>5157</v>
      </c>
      <c r="L491" s="436" t="s">
        <v>958</v>
      </c>
      <c r="M491" s="436" t="s">
        <v>5158</v>
      </c>
      <c r="N491" s="987"/>
      <c r="O491" s="987"/>
      <c r="P491" s="987"/>
      <c r="Q491" s="987"/>
      <c r="R491" s="987"/>
      <c r="S491" s="987"/>
      <c r="T491" s="987"/>
      <c r="U491" s="987"/>
      <c r="V491" s="987"/>
      <c r="W491" s="987"/>
      <c r="X491" s="987"/>
      <c r="Y491" s="987"/>
      <c r="Z491" s="987"/>
      <c r="AA491" s="986"/>
    </row>
    <row r="492" hidden="1">
      <c r="A492" s="995">
        <v>278.0</v>
      </c>
      <c r="B492" s="988">
        <v>44594.0</v>
      </c>
      <c r="C492" s="989" t="s">
        <v>5159</v>
      </c>
      <c r="D492" s="434" t="s">
        <v>2224</v>
      </c>
      <c r="E492" s="434" t="s">
        <v>3152</v>
      </c>
      <c r="F492" s="434" t="s">
        <v>50</v>
      </c>
      <c r="G492" s="434" t="s">
        <v>120</v>
      </c>
      <c r="H492" s="989" t="s">
        <v>5160</v>
      </c>
      <c r="I492" s="989" t="s">
        <v>5161</v>
      </c>
      <c r="J492" s="987"/>
      <c r="K492" s="436" t="s">
        <v>2228</v>
      </c>
      <c r="L492" s="436" t="s">
        <v>5162</v>
      </c>
      <c r="M492" s="436" t="s">
        <v>5163</v>
      </c>
      <c r="N492" s="987"/>
      <c r="O492" s="436" t="s">
        <v>62</v>
      </c>
      <c r="P492" s="987"/>
      <c r="Q492" s="987"/>
      <c r="R492" s="987"/>
      <c r="S492" s="987"/>
      <c r="T492" s="987"/>
      <c r="U492" s="436" t="s">
        <v>62</v>
      </c>
      <c r="V492" s="995">
        <v>44959.0</v>
      </c>
      <c r="W492" s="987"/>
      <c r="X492" s="987"/>
      <c r="Y492" s="987"/>
      <c r="Z492" s="987"/>
      <c r="AA492" s="986"/>
    </row>
    <row r="493" hidden="1">
      <c r="A493" s="995">
        <v>279.0</v>
      </c>
      <c r="B493" s="988">
        <v>44594.0</v>
      </c>
      <c r="C493" s="989" t="s">
        <v>5118</v>
      </c>
      <c r="D493" s="434" t="s">
        <v>2035</v>
      </c>
      <c r="E493" s="434" t="s">
        <v>269</v>
      </c>
      <c r="F493" s="434" t="s">
        <v>5164</v>
      </c>
      <c r="G493" s="434" t="s">
        <v>51</v>
      </c>
      <c r="H493" s="989" t="s">
        <v>5165</v>
      </c>
      <c r="I493" s="993" t="s">
        <v>5166</v>
      </c>
      <c r="J493" s="987"/>
      <c r="K493" s="436" t="s">
        <v>2038</v>
      </c>
      <c r="L493" s="436" t="s">
        <v>812</v>
      </c>
      <c r="M493" s="436" t="s">
        <v>610</v>
      </c>
      <c r="N493" s="987"/>
      <c r="O493" s="436" t="s">
        <v>62</v>
      </c>
      <c r="P493" s="995">
        <v>44630.0</v>
      </c>
      <c r="Q493" s="987"/>
      <c r="R493" s="987"/>
      <c r="S493" s="987"/>
      <c r="T493" s="987"/>
      <c r="U493" s="436" t="s">
        <v>62</v>
      </c>
      <c r="V493" s="995">
        <v>44642.0</v>
      </c>
      <c r="W493" s="987"/>
      <c r="X493" s="987"/>
      <c r="Y493" s="987"/>
      <c r="Z493" s="987"/>
      <c r="AA493" s="986"/>
    </row>
    <row r="494" hidden="1">
      <c r="A494" s="995">
        <v>280.0</v>
      </c>
      <c r="B494" s="988">
        <v>44594.0</v>
      </c>
      <c r="C494" s="989" t="s">
        <v>5118</v>
      </c>
      <c r="D494" s="434" t="s">
        <v>2035</v>
      </c>
      <c r="E494" s="434" t="s">
        <v>269</v>
      </c>
      <c r="F494" s="990">
        <v>1.66006E7</v>
      </c>
      <c r="G494" s="434" t="s">
        <v>51</v>
      </c>
      <c r="H494" s="989" t="s">
        <v>5121</v>
      </c>
      <c r="I494" s="993" t="s">
        <v>5166</v>
      </c>
      <c r="J494" s="987"/>
      <c r="K494" s="436" t="s">
        <v>2038</v>
      </c>
      <c r="L494" s="436" t="s">
        <v>1557</v>
      </c>
      <c r="M494" s="436" t="s">
        <v>610</v>
      </c>
      <c r="N494" s="987"/>
      <c r="O494" s="436" t="s">
        <v>62</v>
      </c>
      <c r="P494" s="995">
        <v>44630.0</v>
      </c>
      <c r="Q494" s="987"/>
      <c r="R494" s="987"/>
      <c r="S494" s="987"/>
      <c r="T494" s="987"/>
      <c r="U494" s="436" t="s">
        <v>62</v>
      </c>
      <c r="V494" s="995">
        <v>44642.0</v>
      </c>
      <c r="W494" s="987"/>
      <c r="X494" s="987"/>
      <c r="Y494" s="987"/>
      <c r="Z494" s="987"/>
      <c r="AA494" s="986"/>
    </row>
    <row r="495" hidden="1">
      <c r="A495" s="995">
        <v>281.0</v>
      </c>
      <c r="B495" s="988">
        <v>44596.0</v>
      </c>
      <c r="C495" s="989" t="s">
        <v>5167</v>
      </c>
      <c r="D495" s="434" t="s">
        <v>411</v>
      </c>
      <c r="E495" s="434" t="s">
        <v>702</v>
      </c>
      <c r="F495" s="434" t="s">
        <v>50</v>
      </c>
      <c r="G495" s="434" t="s">
        <v>103</v>
      </c>
      <c r="H495" s="989" t="s">
        <v>5168</v>
      </c>
      <c r="I495" s="993" t="s">
        <v>5169</v>
      </c>
      <c r="J495" s="987"/>
      <c r="K495" s="987"/>
      <c r="L495" s="436" t="s">
        <v>50</v>
      </c>
      <c r="M495" s="436" t="s">
        <v>50</v>
      </c>
      <c r="N495" s="987"/>
      <c r="O495" s="436" t="s">
        <v>62</v>
      </c>
      <c r="P495" s="995">
        <v>44607.0</v>
      </c>
      <c r="Q495" s="987"/>
      <c r="R495" s="987"/>
      <c r="S495" s="987"/>
      <c r="T495" s="987"/>
      <c r="U495" s="987"/>
      <c r="V495" s="987"/>
      <c r="W495" s="987"/>
      <c r="X495" s="987"/>
      <c r="Y495" s="987"/>
      <c r="Z495" s="987"/>
      <c r="AA495" s="986"/>
    </row>
    <row r="496" hidden="1">
      <c r="A496" s="995">
        <v>285.0</v>
      </c>
      <c r="B496" s="988">
        <v>44600.0</v>
      </c>
      <c r="C496" s="989" t="s">
        <v>4371</v>
      </c>
      <c r="D496" s="434" t="s">
        <v>89</v>
      </c>
      <c r="E496" s="434" t="s">
        <v>269</v>
      </c>
      <c r="F496" s="990">
        <v>1.5830929E7</v>
      </c>
      <c r="G496" s="434" t="s">
        <v>51</v>
      </c>
      <c r="H496" s="989" t="s">
        <v>5170</v>
      </c>
      <c r="I496" s="989" t="s">
        <v>5171</v>
      </c>
      <c r="J496" s="987"/>
      <c r="K496" s="436" t="s">
        <v>4654</v>
      </c>
      <c r="L496" s="436" t="s">
        <v>613</v>
      </c>
      <c r="M496" s="436" t="s">
        <v>610</v>
      </c>
      <c r="N496" s="987"/>
      <c r="O496" s="436" t="s">
        <v>62</v>
      </c>
      <c r="P496" s="987"/>
      <c r="Q496" s="987"/>
      <c r="R496" s="987"/>
      <c r="S496" s="987"/>
      <c r="T496" s="987"/>
      <c r="U496" s="436" t="s">
        <v>62</v>
      </c>
      <c r="V496" s="995">
        <v>44642.0</v>
      </c>
      <c r="W496" s="987"/>
      <c r="X496" s="987"/>
      <c r="Y496" s="987"/>
      <c r="Z496" s="987"/>
      <c r="AA496" s="986"/>
    </row>
    <row r="497" hidden="1">
      <c r="A497" s="995">
        <v>286.0</v>
      </c>
      <c r="B497" s="988">
        <v>44601.0</v>
      </c>
      <c r="C497" s="989" t="s">
        <v>5137</v>
      </c>
      <c r="D497" s="434" t="s">
        <v>367</v>
      </c>
      <c r="E497" s="434" t="s">
        <v>49</v>
      </c>
      <c r="F497" s="990">
        <v>1.4882346E7</v>
      </c>
      <c r="G497" s="434" t="s">
        <v>120</v>
      </c>
      <c r="H497" s="989" t="s">
        <v>5172</v>
      </c>
      <c r="I497" s="993" t="s">
        <v>5173</v>
      </c>
      <c r="J497" s="987"/>
      <c r="K497" s="436" t="s">
        <v>123</v>
      </c>
      <c r="L497" s="436" t="s">
        <v>5174</v>
      </c>
      <c r="M497" s="436" t="s">
        <v>4919</v>
      </c>
      <c r="N497" s="987"/>
      <c r="O497" s="436" t="s">
        <v>62</v>
      </c>
      <c r="P497" s="995">
        <v>44613.0</v>
      </c>
      <c r="Q497" s="987"/>
      <c r="R497" s="987"/>
      <c r="S497" s="987"/>
      <c r="T497" s="987"/>
      <c r="U497" s="987"/>
      <c r="V497" s="987"/>
      <c r="W497" s="987"/>
      <c r="X497" s="987"/>
      <c r="Y497" s="987"/>
      <c r="Z497" s="987"/>
      <c r="AA497" s="986"/>
    </row>
    <row r="498" hidden="1">
      <c r="A498" s="995">
        <v>287.0</v>
      </c>
      <c r="B498" s="988">
        <v>44608.0</v>
      </c>
      <c r="C498" s="989" t="s">
        <v>5175</v>
      </c>
      <c r="D498" s="434" t="s">
        <v>506</v>
      </c>
      <c r="E498" s="434" t="s">
        <v>49</v>
      </c>
      <c r="F498" s="990">
        <v>1.7242042E7</v>
      </c>
      <c r="G498" s="434" t="s">
        <v>200</v>
      </c>
      <c r="H498" s="989" t="s">
        <v>5176</v>
      </c>
      <c r="I498" s="1014" t="s">
        <v>5177</v>
      </c>
      <c r="J498" s="987"/>
      <c r="K498" s="436" t="s">
        <v>3079</v>
      </c>
      <c r="L498" s="436" t="s">
        <v>812</v>
      </c>
      <c r="M498" s="436" t="s">
        <v>610</v>
      </c>
      <c r="N498" s="987"/>
      <c r="O498" s="436" t="s">
        <v>62</v>
      </c>
      <c r="P498" s="995">
        <v>44711.0</v>
      </c>
      <c r="Q498" s="987"/>
      <c r="R498" s="987"/>
      <c r="S498" s="987"/>
      <c r="T498" s="987"/>
      <c r="U498" s="436" t="s">
        <v>62</v>
      </c>
      <c r="V498" s="995">
        <v>44732.0</v>
      </c>
      <c r="W498" s="987"/>
      <c r="X498" s="987"/>
      <c r="Y498" s="987"/>
      <c r="Z498" s="987"/>
      <c r="AA498" s="986"/>
    </row>
    <row r="499" hidden="1">
      <c r="A499" s="995">
        <v>288.0</v>
      </c>
      <c r="B499" s="988">
        <v>44608.0</v>
      </c>
      <c r="C499" s="989" t="s">
        <v>5178</v>
      </c>
      <c r="D499" s="434" t="s">
        <v>5179</v>
      </c>
      <c r="E499" s="434" t="s">
        <v>559</v>
      </c>
      <c r="F499" s="990">
        <v>1.7190531E7</v>
      </c>
      <c r="G499" s="434" t="s">
        <v>103</v>
      </c>
      <c r="H499" s="989" t="s">
        <v>5180</v>
      </c>
      <c r="I499" s="989" t="s">
        <v>5181</v>
      </c>
      <c r="J499" s="987"/>
      <c r="K499" s="436" t="s">
        <v>243</v>
      </c>
      <c r="L499" s="436" t="s">
        <v>4580</v>
      </c>
      <c r="M499" s="436" t="s">
        <v>4581</v>
      </c>
      <c r="N499" s="987"/>
      <c r="O499" s="436" t="s">
        <v>62</v>
      </c>
      <c r="P499" s="995">
        <v>44882.0</v>
      </c>
      <c r="Q499" s="987"/>
      <c r="R499" s="987"/>
      <c r="S499" s="436" t="s">
        <v>62</v>
      </c>
      <c r="T499" s="995">
        <v>44860.0</v>
      </c>
      <c r="U499" s="987"/>
      <c r="V499" s="987"/>
      <c r="W499" s="987"/>
      <c r="X499" s="987"/>
      <c r="Y499" s="987"/>
      <c r="Z499" s="987"/>
      <c r="AA499" s="986"/>
    </row>
    <row r="500" hidden="1">
      <c r="A500" s="995">
        <v>289.0</v>
      </c>
      <c r="B500" s="988">
        <v>44609.0</v>
      </c>
      <c r="C500" s="989" t="s">
        <v>5175</v>
      </c>
      <c r="D500" s="434" t="s">
        <v>506</v>
      </c>
      <c r="E500" s="434" t="s">
        <v>49</v>
      </c>
      <c r="F500" s="434" t="s">
        <v>5182</v>
      </c>
      <c r="G500" s="434" t="s">
        <v>200</v>
      </c>
      <c r="H500" s="989" t="s">
        <v>5183</v>
      </c>
      <c r="I500" s="993" t="s">
        <v>5184</v>
      </c>
      <c r="J500" s="987"/>
      <c r="K500" s="436" t="s">
        <v>3079</v>
      </c>
      <c r="L500" s="436" t="s">
        <v>812</v>
      </c>
      <c r="M500" s="436" t="s">
        <v>610</v>
      </c>
      <c r="N500" s="987"/>
      <c r="O500" s="987"/>
      <c r="P500" s="987"/>
      <c r="Q500" s="987"/>
      <c r="R500" s="987"/>
      <c r="S500" s="987"/>
      <c r="T500" s="987"/>
      <c r="U500" s="987"/>
      <c r="V500" s="987"/>
      <c r="W500" s="987"/>
      <c r="X500" s="987"/>
      <c r="Y500" s="987"/>
      <c r="Z500" s="987"/>
      <c r="AA500" s="986"/>
    </row>
    <row r="501" hidden="1">
      <c r="A501" s="995">
        <v>290.0</v>
      </c>
      <c r="B501" s="988">
        <v>44609.0</v>
      </c>
      <c r="C501" s="989" t="s">
        <v>5175</v>
      </c>
      <c r="D501" s="434" t="s">
        <v>506</v>
      </c>
      <c r="E501" s="434" t="s">
        <v>49</v>
      </c>
      <c r="F501" s="434" t="s">
        <v>5185</v>
      </c>
      <c r="G501" s="434" t="s">
        <v>200</v>
      </c>
      <c r="H501" s="989" t="s">
        <v>5176</v>
      </c>
      <c r="I501" s="989" t="s">
        <v>5186</v>
      </c>
      <c r="J501" s="987"/>
      <c r="K501" s="436" t="s">
        <v>3079</v>
      </c>
      <c r="L501" s="436" t="s">
        <v>812</v>
      </c>
      <c r="M501" s="436" t="s">
        <v>610</v>
      </c>
      <c r="N501" s="987"/>
      <c r="O501" s="987"/>
      <c r="P501" s="987"/>
      <c r="Q501" s="987"/>
      <c r="R501" s="987"/>
      <c r="S501" s="987"/>
      <c r="T501" s="987"/>
      <c r="U501" s="987"/>
      <c r="V501" s="987"/>
      <c r="W501" s="987"/>
      <c r="X501" s="987"/>
      <c r="Y501" s="987"/>
      <c r="Z501" s="987"/>
      <c r="AA501" s="986"/>
    </row>
    <row r="502" hidden="1">
      <c r="A502" s="995">
        <v>292.0</v>
      </c>
      <c r="B502" s="988">
        <v>44613.0</v>
      </c>
      <c r="C502" s="989" t="s">
        <v>5175</v>
      </c>
      <c r="D502" s="434" t="s">
        <v>506</v>
      </c>
      <c r="E502" s="434" t="s">
        <v>5187</v>
      </c>
      <c r="F502" s="434" t="s">
        <v>50</v>
      </c>
      <c r="G502" s="434" t="s">
        <v>200</v>
      </c>
      <c r="H502" s="989" t="s">
        <v>5188</v>
      </c>
      <c r="I502" s="993" t="s">
        <v>5189</v>
      </c>
      <c r="J502" s="987"/>
      <c r="K502" s="987"/>
      <c r="L502" s="987"/>
      <c r="M502" s="987"/>
      <c r="N502" s="987"/>
      <c r="O502" s="987"/>
      <c r="P502" s="987"/>
      <c r="Q502" s="987"/>
      <c r="R502" s="987"/>
      <c r="S502" s="987"/>
      <c r="T502" s="987"/>
      <c r="U502" s="987"/>
      <c r="V502" s="987"/>
      <c r="W502" s="987"/>
      <c r="X502" s="987"/>
      <c r="Y502" s="987"/>
      <c r="Z502" s="987"/>
      <c r="AA502" s="986"/>
    </row>
    <row r="503" hidden="1">
      <c r="A503" s="995">
        <v>293.0</v>
      </c>
      <c r="B503" s="988">
        <v>44617.0</v>
      </c>
      <c r="C503" s="989" t="s">
        <v>5175</v>
      </c>
      <c r="D503" s="434" t="s">
        <v>506</v>
      </c>
      <c r="E503" s="434" t="s">
        <v>49</v>
      </c>
      <c r="F503" s="434" t="s">
        <v>50</v>
      </c>
      <c r="G503" s="434" t="s">
        <v>200</v>
      </c>
      <c r="H503" s="989" t="s">
        <v>5190</v>
      </c>
      <c r="I503" s="993" t="s">
        <v>5191</v>
      </c>
      <c r="J503" s="987"/>
      <c r="K503" s="436" t="s">
        <v>3079</v>
      </c>
      <c r="L503" s="436" t="s">
        <v>965</v>
      </c>
      <c r="M503" s="436" t="s">
        <v>1234</v>
      </c>
      <c r="N503" s="987"/>
      <c r="O503" s="987"/>
      <c r="P503" s="987"/>
      <c r="Q503" s="987"/>
      <c r="R503" s="987"/>
      <c r="S503" s="987"/>
      <c r="T503" s="987"/>
      <c r="U503" s="987"/>
      <c r="V503" s="987"/>
      <c r="W503" s="987"/>
      <c r="X503" s="987"/>
      <c r="Y503" s="987"/>
      <c r="Z503" s="987"/>
      <c r="AA503" s="986"/>
    </row>
    <row r="504" hidden="1">
      <c r="A504" s="995">
        <v>294.0</v>
      </c>
      <c r="B504" s="988">
        <v>44617.0</v>
      </c>
      <c r="C504" s="989" t="s">
        <v>5192</v>
      </c>
      <c r="D504" s="434" t="s">
        <v>1106</v>
      </c>
      <c r="E504" s="434" t="s">
        <v>49</v>
      </c>
      <c r="F504" s="434" t="s">
        <v>50</v>
      </c>
      <c r="G504" s="434" t="s">
        <v>103</v>
      </c>
      <c r="H504" s="989" t="s">
        <v>5193</v>
      </c>
      <c r="I504" s="993" t="s">
        <v>5194</v>
      </c>
      <c r="J504" s="987"/>
      <c r="K504" s="436" t="s">
        <v>5195</v>
      </c>
      <c r="L504" s="436" t="s">
        <v>1705</v>
      </c>
      <c r="M504" s="436" t="s">
        <v>5196</v>
      </c>
      <c r="N504" s="987"/>
      <c r="O504" s="436" t="s">
        <v>62</v>
      </c>
      <c r="P504" s="995">
        <v>44669.0</v>
      </c>
      <c r="Q504" s="987"/>
      <c r="R504" s="987"/>
      <c r="S504" s="436" t="s">
        <v>62</v>
      </c>
      <c r="T504" s="995">
        <v>44666.0</v>
      </c>
      <c r="U504" s="987"/>
      <c r="V504" s="987"/>
      <c r="W504" s="987"/>
      <c r="X504" s="987"/>
      <c r="Y504" s="987"/>
      <c r="Z504" s="987"/>
      <c r="AA504" s="986"/>
    </row>
    <row r="505" hidden="1">
      <c r="A505" s="995">
        <v>295.0</v>
      </c>
      <c r="B505" s="991">
        <v>44124.0</v>
      </c>
      <c r="C505" s="989" t="s">
        <v>3969</v>
      </c>
      <c r="D505" s="434" t="s">
        <v>30</v>
      </c>
      <c r="E505" s="434" t="s">
        <v>3970</v>
      </c>
      <c r="F505" s="434" t="s">
        <v>5197</v>
      </c>
      <c r="G505" s="434" t="s">
        <v>32</v>
      </c>
      <c r="H505" s="989" t="s">
        <v>5198</v>
      </c>
      <c r="I505" s="993" t="s">
        <v>5199</v>
      </c>
      <c r="J505" s="987"/>
      <c r="K505" s="987"/>
      <c r="L505" s="987"/>
      <c r="M505" s="987"/>
      <c r="N505" s="987"/>
      <c r="O505" s="436" t="s">
        <v>62</v>
      </c>
      <c r="P505" s="995">
        <v>44617.0</v>
      </c>
      <c r="Q505" s="987"/>
      <c r="R505" s="987"/>
      <c r="S505" s="987"/>
      <c r="T505" s="987"/>
      <c r="U505" s="987"/>
      <c r="V505" s="987"/>
      <c r="W505" s="987"/>
      <c r="X505" s="987"/>
      <c r="Y505" s="987"/>
      <c r="Z505" s="987"/>
      <c r="AA505" s="986"/>
    </row>
    <row r="506" hidden="1">
      <c r="A506" s="995">
        <v>298.0</v>
      </c>
      <c r="B506" s="988">
        <v>44621.0</v>
      </c>
      <c r="C506" s="989" t="s">
        <v>5175</v>
      </c>
      <c r="D506" s="434" t="s">
        <v>506</v>
      </c>
      <c r="E506" s="434" t="s">
        <v>49</v>
      </c>
      <c r="F506" s="434" t="s">
        <v>50</v>
      </c>
      <c r="G506" s="434" t="s">
        <v>200</v>
      </c>
      <c r="H506" s="989" t="s">
        <v>5183</v>
      </c>
      <c r="I506" s="993" t="s">
        <v>5200</v>
      </c>
      <c r="J506" s="987"/>
      <c r="K506" s="436" t="s">
        <v>3079</v>
      </c>
      <c r="L506" s="436" t="s">
        <v>812</v>
      </c>
      <c r="M506" s="436" t="s">
        <v>610</v>
      </c>
      <c r="N506" s="987"/>
      <c r="O506" s="436" t="s">
        <v>62</v>
      </c>
      <c r="P506" s="995">
        <v>44853.0</v>
      </c>
      <c r="Q506" s="987"/>
      <c r="R506" s="987"/>
      <c r="S506" s="987"/>
      <c r="T506" s="987"/>
      <c r="U506" s="436" t="s">
        <v>62</v>
      </c>
      <c r="V506" s="995">
        <v>44854.0</v>
      </c>
      <c r="W506" s="987"/>
      <c r="X506" s="987"/>
      <c r="Y506" s="987"/>
      <c r="Z506" s="987"/>
      <c r="AA506" s="986"/>
    </row>
    <row r="507" hidden="1">
      <c r="A507" s="995">
        <v>299.0</v>
      </c>
      <c r="B507" s="988">
        <v>44621.0</v>
      </c>
      <c r="C507" s="989" t="s">
        <v>4371</v>
      </c>
      <c r="D507" s="434" t="s">
        <v>89</v>
      </c>
      <c r="E507" s="434" t="s">
        <v>269</v>
      </c>
      <c r="F507" s="990">
        <v>1.583094E7</v>
      </c>
      <c r="G507" s="434" t="s">
        <v>51</v>
      </c>
      <c r="H507" s="989" t="s">
        <v>5201</v>
      </c>
      <c r="I507" s="989" t="s">
        <v>5202</v>
      </c>
      <c r="J507" s="987"/>
      <c r="K507" s="436" t="s">
        <v>4654</v>
      </c>
      <c r="L507" s="436" t="s">
        <v>646</v>
      </c>
      <c r="M507" s="436" t="s">
        <v>610</v>
      </c>
      <c r="N507" s="987"/>
      <c r="O507" s="436" t="s">
        <v>62</v>
      </c>
      <c r="P507" s="995">
        <v>44623.0</v>
      </c>
      <c r="Q507" s="987"/>
      <c r="R507" s="987"/>
      <c r="S507" s="987"/>
      <c r="T507" s="987"/>
      <c r="U507" s="436" t="s">
        <v>62</v>
      </c>
      <c r="V507" s="995">
        <v>44678.0</v>
      </c>
      <c r="W507" s="987"/>
      <c r="X507" s="987"/>
      <c r="Y507" s="987"/>
      <c r="Z507" s="987"/>
      <c r="AA507" s="986"/>
    </row>
    <row r="508" hidden="1">
      <c r="A508" s="995">
        <v>301.0</v>
      </c>
      <c r="B508" s="988">
        <v>44624.0</v>
      </c>
      <c r="C508" s="989" t="s">
        <v>4801</v>
      </c>
      <c r="D508" s="434" t="s">
        <v>4028</v>
      </c>
      <c r="E508" s="434" t="s">
        <v>49</v>
      </c>
      <c r="F508" s="990">
        <v>1.5911749E7</v>
      </c>
      <c r="G508" s="434" t="s">
        <v>348</v>
      </c>
      <c r="H508" s="989" t="s">
        <v>5203</v>
      </c>
      <c r="I508" s="989" t="s">
        <v>5204</v>
      </c>
      <c r="J508" s="987"/>
      <c r="K508" s="436" t="s">
        <v>4856</v>
      </c>
      <c r="L508" s="436" t="s">
        <v>5205</v>
      </c>
      <c r="M508" s="436" t="s">
        <v>1111</v>
      </c>
      <c r="N508" s="987"/>
      <c r="O508" s="436" t="s">
        <v>62</v>
      </c>
      <c r="P508" s="995">
        <v>44624.0</v>
      </c>
      <c r="Q508" s="987"/>
      <c r="R508" s="987"/>
      <c r="S508" s="987"/>
      <c r="T508" s="987"/>
      <c r="U508" s="436" t="s">
        <v>62</v>
      </c>
      <c r="V508" s="995">
        <v>44628.0</v>
      </c>
      <c r="W508" s="987"/>
      <c r="X508" s="987"/>
      <c r="Y508" s="987"/>
      <c r="Z508" s="987"/>
      <c r="AA508" s="986"/>
    </row>
    <row r="509" hidden="1">
      <c r="A509" s="995">
        <v>302.0</v>
      </c>
      <c r="B509" s="988">
        <v>44624.0</v>
      </c>
      <c r="C509" s="989" t="s">
        <v>5175</v>
      </c>
      <c r="D509" s="434" t="s">
        <v>506</v>
      </c>
      <c r="E509" s="434" t="s">
        <v>49</v>
      </c>
      <c r="F509" s="434" t="s">
        <v>50</v>
      </c>
      <c r="G509" s="434" t="s">
        <v>200</v>
      </c>
      <c r="H509" s="989" t="s">
        <v>5183</v>
      </c>
      <c r="I509" s="993" t="s">
        <v>5206</v>
      </c>
      <c r="J509" s="987"/>
      <c r="K509" s="436" t="s">
        <v>4856</v>
      </c>
      <c r="L509" s="436" t="s">
        <v>812</v>
      </c>
      <c r="M509" s="436" t="s">
        <v>610</v>
      </c>
      <c r="N509" s="987"/>
      <c r="O509" s="436" t="s">
        <v>62</v>
      </c>
      <c r="P509" s="995">
        <v>44963.0</v>
      </c>
      <c r="Q509" s="987"/>
      <c r="R509" s="987"/>
      <c r="S509" s="987"/>
      <c r="T509" s="987"/>
      <c r="U509" s="987"/>
      <c r="V509" s="987"/>
      <c r="W509" s="987"/>
      <c r="X509" s="987"/>
      <c r="Y509" s="987"/>
      <c r="Z509" s="987"/>
      <c r="AA509" s="986"/>
    </row>
    <row r="510" hidden="1">
      <c r="A510" s="995">
        <v>305.0</v>
      </c>
      <c r="B510" s="988">
        <v>44629.0</v>
      </c>
      <c r="C510" s="989" t="s">
        <v>5137</v>
      </c>
      <c r="D510" s="434" t="s">
        <v>367</v>
      </c>
      <c r="E510" s="434" t="s">
        <v>1912</v>
      </c>
      <c r="F510" s="992"/>
      <c r="G510" s="434" t="s">
        <v>120</v>
      </c>
      <c r="H510" s="989" t="s">
        <v>5207</v>
      </c>
      <c r="I510" s="989" t="s">
        <v>5208</v>
      </c>
      <c r="J510" s="987"/>
      <c r="K510" s="436" t="s">
        <v>5209</v>
      </c>
      <c r="L510" s="436" t="s">
        <v>5210</v>
      </c>
      <c r="M510" s="436" t="s">
        <v>5211</v>
      </c>
      <c r="N510" s="987"/>
      <c r="O510" s="436" t="s">
        <v>62</v>
      </c>
      <c r="P510" s="995">
        <v>44631.0</v>
      </c>
      <c r="Q510" s="987"/>
      <c r="R510" s="987"/>
      <c r="S510" s="987"/>
      <c r="T510" s="987"/>
      <c r="U510" s="987"/>
      <c r="V510" s="987"/>
      <c r="W510" s="987"/>
      <c r="X510" s="987"/>
      <c r="Y510" s="987"/>
      <c r="Z510" s="987"/>
      <c r="AA510" s="986"/>
    </row>
    <row r="511" hidden="1">
      <c r="A511" s="995">
        <v>307.0</v>
      </c>
      <c r="B511" s="988">
        <v>44635.0</v>
      </c>
      <c r="C511" s="989" t="s">
        <v>5118</v>
      </c>
      <c r="D511" s="434" t="s">
        <v>2035</v>
      </c>
      <c r="E511" s="434" t="s">
        <v>269</v>
      </c>
      <c r="F511" s="990">
        <v>1.6600614E7</v>
      </c>
      <c r="G511" s="434" t="s">
        <v>51</v>
      </c>
      <c r="H511" s="989" t="s">
        <v>5212</v>
      </c>
      <c r="I511" s="993" t="s">
        <v>5213</v>
      </c>
      <c r="J511" s="987"/>
      <c r="K511" s="436" t="s">
        <v>2038</v>
      </c>
      <c r="L511" s="436" t="s">
        <v>812</v>
      </c>
      <c r="M511" s="436" t="s">
        <v>610</v>
      </c>
      <c r="N511" s="987"/>
      <c r="O511" s="436" t="s">
        <v>62</v>
      </c>
      <c r="P511" s="995">
        <v>44642.0</v>
      </c>
      <c r="Q511" s="987"/>
      <c r="R511" s="987"/>
      <c r="S511" s="987"/>
      <c r="T511" s="987"/>
      <c r="U511" s="436" t="s">
        <v>62</v>
      </c>
      <c r="V511" s="995">
        <v>44648.0</v>
      </c>
      <c r="W511" s="987"/>
      <c r="X511" s="987"/>
      <c r="Y511" s="987"/>
      <c r="Z511" s="987"/>
      <c r="AA511" s="986"/>
    </row>
    <row r="512" hidden="1">
      <c r="A512" s="995">
        <v>308.0</v>
      </c>
      <c r="B512" s="988">
        <v>44636.0</v>
      </c>
      <c r="C512" s="989" t="s">
        <v>4900</v>
      </c>
      <c r="D512" s="434" t="s">
        <v>326</v>
      </c>
      <c r="E512" s="434" t="s">
        <v>3277</v>
      </c>
      <c r="F512" s="434" t="s">
        <v>50</v>
      </c>
      <c r="G512" s="434" t="s">
        <v>112</v>
      </c>
      <c r="H512" s="989" t="s">
        <v>5214</v>
      </c>
      <c r="I512" s="993" t="s">
        <v>5215</v>
      </c>
      <c r="J512" s="987"/>
      <c r="K512" s="436" t="s">
        <v>427</v>
      </c>
      <c r="L512" s="436" t="s">
        <v>5216</v>
      </c>
      <c r="M512" s="987"/>
      <c r="N512" s="987"/>
      <c r="O512" s="987"/>
      <c r="P512" s="987"/>
      <c r="Q512" s="987"/>
      <c r="R512" s="987"/>
      <c r="S512" s="987"/>
      <c r="T512" s="987"/>
      <c r="U512" s="987"/>
      <c r="V512" s="987"/>
      <c r="W512" s="987"/>
      <c r="X512" s="987"/>
      <c r="Y512" s="987"/>
      <c r="Z512" s="987"/>
      <c r="AA512" s="986"/>
    </row>
    <row r="513" hidden="1">
      <c r="A513" s="995">
        <v>309.0</v>
      </c>
      <c r="B513" s="988">
        <v>44636.0</v>
      </c>
      <c r="C513" s="989" t="s">
        <v>5137</v>
      </c>
      <c r="D513" s="434" t="s">
        <v>367</v>
      </c>
      <c r="E513" s="434" t="s">
        <v>49</v>
      </c>
      <c r="F513" s="434" t="s">
        <v>50</v>
      </c>
      <c r="G513" s="434" t="s">
        <v>120</v>
      </c>
      <c r="H513" s="989" t="s">
        <v>5217</v>
      </c>
      <c r="I513" s="989" t="s">
        <v>5218</v>
      </c>
      <c r="J513" s="987"/>
      <c r="K513" s="436" t="s">
        <v>123</v>
      </c>
      <c r="L513" s="436" t="s">
        <v>5104</v>
      </c>
      <c r="M513" s="436" t="s">
        <v>4919</v>
      </c>
      <c r="N513" s="987"/>
      <c r="O513" s="436" t="s">
        <v>62</v>
      </c>
      <c r="P513" s="995">
        <v>44642.0</v>
      </c>
      <c r="Q513" s="987"/>
      <c r="R513" s="987"/>
      <c r="S513" s="987"/>
      <c r="T513" s="987"/>
      <c r="U513" s="987"/>
      <c r="V513" s="987"/>
      <c r="W513" s="987"/>
      <c r="X513" s="987"/>
      <c r="Y513" s="987"/>
      <c r="Z513" s="987"/>
      <c r="AA513" s="986"/>
    </row>
    <row r="514" hidden="1">
      <c r="A514" s="995">
        <v>311.0</v>
      </c>
      <c r="B514" s="988">
        <v>44657.0</v>
      </c>
      <c r="C514" s="989" t="s">
        <v>4990</v>
      </c>
      <c r="D514" s="434" t="s">
        <v>1312</v>
      </c>
      <c r="E514" s="434" t="s">
        <v>5219</v>
      </c>
      <c r="F514" s="434" t="s">
        <v>50</v>
      </c>
      <c r="G514" s="434" t="s">
        <v>200</v>
      </c>
      <c r="H514" s="989" t="s">
        <v>5220</v>
      </c>
      <c r="I514" s="989" t="s">
        <v>5221</v>
      </c>
      <c r="J514" s="987"/>
      <c r="K514" s="436" t="s">
        <v>1316</v>
      </c>
      <c r="L514" s="436" t="s">
        <v>5222</v>
      </c>
      <c r="M514" s="436" t="s">
        <v>5223</v>
      </c>
      <c r="N514" s="987"/>
      <c r="O514" s="436" t="s">
        <v>62</v>
      </c>
      <c r="P514" s="987"/>
      <c r="Q514" s="987"/>
      <c r="R514" s="987"/>
      <c r="S514" s="987"/>
      <c r="T514" s="987"/>
      <c r="U514" s="436" t="s">
        <v>62</v>
      </c>
      <c r="V514" s="995">
        <v>45118.0</v>
      </c>
      <c r="W514" s="987"/>
      <c r="X514" s="987"/>
      <c r="Y514" s="987"/>
      <c r="Z514" s="987"/>
      <c r="AA514" s="986"/>
    </row>
    <row r="515" hidden="1">
      <c r="A515" s="995">
        <v>312.0</v>
      </c>
      <c r="B515" s="988">
        <v>44664.0</v>
      </c>
      <c r="C515" s="989" t="s">
        <v>5224</v>
      </c>
      <c r="D515" s="434" t="s">
        <v>2021</v>
      </c>
      <c r="E515" s="434" t="s">
        <v>5225</v>
      </c>
      <c r="F515" s="434" t="s">
        <v>50</v>
      </c>
      <c r="G515" s="434" t="s">
        <v>42</v>
      </c>
      <c r="H515" s="989" t="s">
        <v>5226</v>
      </c>
      <c r="I515" s="993" t="s">
        <v>5227</v>
      </c>
      <c r="J515" s="987"/>
      <c r="K515" s="436" t="s">
        <v>3726</v>
      </c>
      <c r="L515" s="436" t="s">
        <v>5228</v>
      </c>
      <c r="M515" s="436" t="s">
        <v>5229</v>
      </c>
      <c r="N515" s="987"/>
      <c r="O515" s="987"/>
      <c r="P515" s="987"/>
      <c r="Q515" s="987"/>
      <c r="R515" s="987"/>
      <c r="S515" s="987"/>
      <c r="T515" s="987"/>
      <c r="U515" s="436" t="s">
        <v>62</v>
      </c>
      <c r="V515" s="995">
        <v>44704.0</v>
      </c>
      <c r="W515" s="987"/>
      <c r="X515" s="987"/>
      <c r="Y515" s="987"/>
      <c r="Z515" s="987"/>
      <c r="AA515" s="986"/>
    </row>
    <row r="516" hidden="1">
      <c r="A516" s="995">
        <v>313.0</v>
      </c>
      <c r="B516" s="988">
        <v>44664.0</v>
      </c>
      <c r="C516" s="989" t="s">
        <v>5230</v>
      </c>
      <c r="D516" s="434" t="s">
        <v>1568</v>
      </c>
      <c r="E516" s="434" t="s">
        <v>49</v>
      </c>
      <c r="F516" s="990">
        <v>1.6270279E7</v>
      </c>
      <c r="G516" s="434" t="s">
        <v>51</v>
      </c>
      <c r="H516" s="989" t="s">
        <v>5231</v>
      </c>
      <c r="I516" s="993" t="s">
        <v>5232</v>
      </c>
      <c r="J516" s="987"/>
      <c r="K516" s="987"/>
      <c r="L516" s="987"/>
      <c r="M516" s="987"/>
      <c r="N516" s="987"/>
      <c r="O516" s="987"/>
      <c r="P516" s="987"/>
      <c r="Q516" s="987"/>
      <c r="R516" s="987"/>
      <c r="S516" s="987"/>
      <c r="T516" s="987"/>
      <c r="U516" s="987"/>
      <c r="V516" s="987"/>
      <c r="W516" s="987"/>
      <c r="X516" s="987"/>
      <c r="Y516" s="987"/>
      <c r="Z516" s="987"/>
      <c r="AA516" s="986"/>
    </row>
    <row r="517" hidden="1">
      <c r="A517" s="995">
        <v>314.0</v>
      </c>
      <c r="B517" s="988">
        <v>44664.0</v>
      </c>
      <c r="C517" s="989" t="s">
        <v>5233</v>
      </c>
      <c r="D517" s="434" t="s">
        <v>475</v>
      </c>
      <c r="E517" s="434" t="s">
        <v>5234</v>
      </c>
      <c r="F517" s="434" t="s">
        <v>50</v>
      </c>
      <c r="G517" s="434" t="s">
        <v>348</v>
      </c>
      <c r="H517" s="989" t="s">
        <v>5235</v>
      </c>
      <c r="I517" s="989" t="s">
        <v>5236</v>
      </c>
      <c r="J517" s="987"/>
      <c r="K517" s="436" t="s">
        <v>479</v>
      </c>
      <c r="L517" s="436" t="s">
        <v>1136</v>
      </c>
      <c r="M517" s="436" t="s">
        <v>5237</v>
      </c>
      <c r="N517" s="987"/>
      <c r="O517" s="436" t="s">
        <v>62</v>
      </c>
      <c r="P517" s="995">
        <v>44665.0</v>
      </c>
      <c r="Q517" s="987"/>
      <c r="R517" s="987"/>
      <c r="S517" s="987"/>
      <c r="T517" s="987"/>
      <c r="U517" s="987"/>
      <c r="V517" s="987"/>
      <c r="W517" s="987"/>
      <c r="X517" s="987"/>
      <c r="Y517" s="987"/>
      <c r="Z517" s="987"/>
      <c r="AA517" s="986"/>
    </row>
    <row r="518" hidden="1">
      <c r="A518" s="995">
        <v>315.0</v>
      </c>
      <c r="B518" s="988">
        <v>44669.0</v>
      </c>
      <c r="C518" s="989" t="s">
        <v>5238</v>
      </c>
      <c r="D518" s="434" t="s">
        <v>2664</v>
      </c>
      <c r="E518" s="434" t="s">
        <v>49</v>
      </c>
      <c r="F518" s="434" t="s">
        <v>50</v>
      </c>
      <c r="G518" s="434" t="s">
        <v>51</v>
      </c>
      <c r="H518" s="989" t="s">
        <v>5239</v>
      </c>
      <c r="I518" s="993" t="s">
        <v>5240</v>
      </c>
      <c r="J518" s="987"/>
      <c r="K518" s="436" t="s">
        <v>5241</v>
      </c>
      <c r="L518" s="984" t="s">
        <v>5242</v>
      </c>
      <c r="M518" s="984" t="s">
        <v>5243</v>
      </c>
      <c r="N518" s="984" t="s">
        <v>5244</v>
      </c>
      <c r="O518" s="436" t="s">
        <v>62</v>
      </c>
      <c r="P518" s="995">
        <v>44700.0</v>
      </c>
      <c r="Q518" s="987"/>
      <c r="R518" s="987"/>
      <c r="S518" s="987"/>
      <c r="T518" s="987"/>
      <c r="U518" s="987"/>
      <c r="V518" s="987"/>
      <c r="W518" s="987"/>
      <c r="X518" s="987"/>
      <c r="Y518" s="987"/>
      <c r="Z518" s="987"/>
      <c r="AA518" s="986"/>
    </row>
    <row r="519" hidden="1">
      <c r="A519" s="995">
        <v>316.0</v>
      </c>
      <c r="B519" s="988">
        <v>44671.0</v>
      </c>
      <c r="C519" s="989" t="s">
        <v>5118</v>
      </c>
      <c r="D519" s="434" t="s">
        <v>2664</v>
      </c>
      <c r="E519" s="434" t="s">
        <v>49</v>
      </c>
      <c r="F519" s="434" t="s">
        <v>50</v>
      </c>
      <c r="G519" s="434" t="s">
        <v>51</v>
      </c>
      <c r="H519" s="989" t="s">
        <v>5245</v>
      </c>
      <c r="I519" s="989" t="s">
        <v>5246</v>
      </c>
      <c r="J519" s="987"/>
      <c r="K519" s="436" t="s">
        <v>5241</v>
      </c>
      <c r="L519" s="436" t="s">
        <v>5247</v>
      </c>
      <c r="M519" s="987"/>
      <c r="N519" s="987"/>
      <c r="O519" s="436" t="s">
        <v>62</v>
      </c>
      <c r="P519" s="995">
        <v>44742.0</v>
      </c>
      <c r="Q519" s="987"/>
      <c r="R519" s="987"/>
      <c r="S519" s="987"/>
      <c r="T519" s="987"/>
      <c r="U519" s="436" t="s">
        <v>62</v>
      </c>
      <c r="V519" s="995">
        <v>44743.0</v>
      </c>
      <c r="W519" s="987"/>
      <c r="X519" s="987"/>
      <c r="Y519" s="987"/>
      <c r="Z519" s="987"/>
      <c r="AA519" s="986"/>
    </row>
    <row r="520" hidden="1">
      <c r="A520" s="995">
        <v>317.0</v>
      </c>
      <c r="B520" s="996">
        <v>44671.0</v>
      </c>
      <c r="C520" s="984" t="s">
        <v>4819</v>
      </c>
      <c r="D520" s="436" t="s">
        <v>814</v>
      </c>
      <c r="E520" s="436" t="s">
        <v>559</v>
      </c>
      <c r="F520" s="995">
        <v>1.8020182E7</v>
      </c>
      <c r="G520" s="436" t="s">
        <v>32</v>
      </c>
      <c r="H520" s="997" t="s">
        <v>5248</v>
      </c>
      <c r="I520" s="997" t="s">
        <v>5249</v>
      </c>
      <c r="J520" s="987"/>
      <c r="K520" s="987"/>
      <c r="L520" s="987"/>
      <c r="M520" s="987"/>
      <c r="N520" s="987"/>
      <c r="O520" s="987"/>
      <c r="P520" s="987"/>
      <c r="Q520" s="987"/>
      <c r="R520" s="987"/>
      <c r="S520" s="987"/>
      <c r="T520" s="987"/>
      <c r="U520" s="987"/>
      <c r="V520" s="987"/>
      <c r="W520" s="987"/>
      <c r="X520" s="987"/>
      <c r="Y520" s="987"/>
      <c r="Z520" s="987"/>
      <c r="AA520" s="986"/>
    </row>
    <row r="521" hidden="1">
      <c r="A521" s="995">
        <v>318.0</v>
      </c>
      <c r="B521" s="988">
        <v>44671.0</v>
      </c>
      <c r="C521" s="989" t="s">
        <v>5250</v>
      </c>
      <c r="D521" s="434" t="s">
        <v>5251</v>
      </c>
      <c r="E521" s="434" t="s">
        <v>3043</v>
      </c>
      <c r="F521" s="434" t="s">
        <v>50</v>
      </c>
      <c r="G521" s="434" t="s">
        <v>348</v>
      </c>
      <c r="H521" s="989" t="s">
        <v>5252</v>
      </c>
      <c r="I521" s="989" t="s">
        <v>5253</v>
      </c>
      <c r="J521" s="987"/>
      <c r="K521" s="436" t="s">
        <v>2416</v>
      </c>
      <c r="L521" s="436" t="s">
        <v>2709</v>
      </c>
      <c r="M521" s="987"/>
      <c r="N521" s="987"/>
      <c r="O521" s="436" t="s">
        <v>62</v>
      </c>
      <c r="P521" s="995">
        <v>44676.0</v>
      </c>
      <c r="Q521" s="987"/>
      <c r="R521" s="987"/>
      <c r="S521" s="987"/>
      <c r="T521" s="987"/>
      <c r="U521" s="436" t="s">
        <v>62</v>
      </c>
      <c r="V521" s="995">
        <v>44676.0</v>
      </c>
      <c r="W521" s="987"/>
      <c r="X521" s="987"/>
      <c r="Y521" s="987"/>
      <c r="Z521" s="987"/>
      <c r="AA521" s="986"/>
    </row>
    <row r="522" hidden="1">
      <c r="A522" s="995">
        <v>321.0</v>
      </c>
      <c r="B522" s="988">
        <v>44690.0</v>
      </c>
      <c r="C522" s="989" t="s">
        <v>5254</v>
      </c>
      <c r="D522" s="434" t="s">
        <v>1386</v>
      </c>
      <c r="E522" s="434" t="s">
        <v>300</v>
      </c>
      <c r="F522" s="990">
        <v>1.5800258E7</v>
      </c>
      <c r="G522" s="434" t="s">
        <v>200</v>
      </c>
      <c r="H522" s="989" t="s">
        <v>5255</v>
      </c>
      <c r="I522" s="989" t="s">
        <v>5256</v>
      </c>
      <c r="J522" s="987"/>
      <c r="K522" s="436" t="s">
        <v>2416</v>
      </c>
      <c r="L522" s="436" t="s">
        <v>5257</v>
      </c>
      <c r="M522" s="987"/>
      <c r="N522" s="987"/>
      <c r="O522" s="436" t="s">
        <v>62</v>
      </c>
      <c r="P522" s="995">
        <v>44690.0</v>
      </c>
      <c r="Q522" s="987"/>
      <c r="R522" s="987"/>
      <c r="S522" s="987"/>
      <c r="T522" s="987"/>
      <c r="U522" s="436" t="s">
        <v>62</v>
      </c>
      <c r="V522" s="995">
        <v>44692.0</v>
      </c>
      <c r="W522" s="987"/>
      <c r="X522" s="987"/>
      <c r="Y522" s="987"/>
      <c r="Z522" s="987"/>
      <c r="AA522" s="986"/>
    </row>
    <row r="523" hidden="1">
      <c r="A523" s="995">
        <v>322.0</v>
      </c>
      <c r="B523" s="988">
        <v>44691.0</v>
      </c>
      <c r="C523" s="989" t="s">
        <v>5063</v>
      </c>
      <c r="D523" s="434" t="s">
        <v>73</v>
      </c>
      <c r="E523" s="434" t="s">
        <v>49</v>
      </c>
      <c r="F523" s="990">
        <v>1.6900123E7</v>
      </c>
      <c r="G523" s="434" t="s">
        <v>51</v>
      </c>
      <c r="H523" s="989" t="s">
        <v>5258</v>
      </c>
      <c r="I523" s="993" t="s">
        <v>5259</v>
      </c>
      <c r="J523" s="987"/>
      <c r="K523" s="436" t="s">
        <v>76</v>
      </c>
      <c r="L523" s="436" t="s">
        <v>1705</v>
      </c>
      <c r="M523" s="436" t="s">
        <v>5260</v>
      </c>
      <c r="N523" s="987"/>
      <c r="O523" s="987"/>
      <c r="P523" s="987"/>
      <c r="Q523" s="987"/>
      <c r="R523" s="987"/>
      <c r="S523" s="987"/>
      <c r="T523" s="987"/>
      <c r="U523" s="987"/>
      <c r="V523" s="987"/>
      <c r="W523" s="987"/>
      <c r="X523" s="987"/>
      <c r="Y523" s="987"/>
      <c r="Z523" s="987"/>
      <c r="AA523" s="986"/>
    </row>
    <row r="524" hidden="1">
      <c r="A524" s="995">
        <v>323.0</v>
      </c>
      <c r="B524" s="988">
        <v>44699.0</v>
      </c>
      <c r="C524" s="989" t="s">
        <v>5261</v>
      </c>
      <c r="D524" s="434" t="s">
        <v>514</v>
      </c>
      <c r="E524" s="434" t="s">
        <v>5262</v>
      </c>
      <c r="F524" s="990">
        <v>1.4800159E7</v>
      </c>
      <c r="G524" s="434" t="s">
        <v>200</v>
      </c>
      <c r="H524" s="989" t="s">
        <v>5263</v>
      </c>
      <c r="I524" s="993" t="s">
        <v>5264</v>
      </c>
      <c r="J524" s="987"/>
      <c r="K524" s="436" t="s">
        <v>519</v>
      </c>
      <c r="L524" s="436" t="s">
        <v>5265</v>
      </c>
      <c r="M524" s="436" t="s">
        <v>2852</v>
      </c>
      <c r="N524" s="987"/>
      <c r="O524" s="987"/>
      <c r="P524" s="987"/>
      <c r="Q524" s="987"/>
      <c r="R524" s="987"/>
      <c r="S524" s="987"/>
      <c r="T524" s="987"/>
      <c r="U524" s="987"/>
      <c r="V524" s="987"/>
      <c r="W524" s="987"/>
      <c r="X524" s="987"/>
      <c r="Y524" s="987"/>
      <c r="Z524" s="987"/>
      <c r="AA524" s="986"/>
    </row>
    <row r="525" hidden="1">
      <c r="A525" s="995">
        <v>324.0</v>
      </c>
      <c r="B525" s="988">
        <v>44699.0</v>
      </c>
      <c r="C525" s="989" t="s">
        <v>5266</v>
      </c>
      <c r="D525" s="434" t="s">
        <v>3809</v>
      </c>
      <c r="E525" s="434" t="s">
        <v>3810</v>
      </c>
      <c r="F525" s="434" t="s">
        <v>50</v>
      </c>
      <c r="G525" s="434" t="s">
        <v>200</v>
      </c>
      <c r="H525" s="989" t="s">
        <v>5267</v>
      </c>
      <c r="I525" s="989" t="s">
        <v>5268</v>
      </c>
      <c r="J525" s="987"/>
      <c r="K525" s="436" t="s">
        <v>4890</v>
      </c>
      <c r="L525" s="436" t="s">
        <v>4907</v>
      </c>
      <c r="M525" s="987"/>
      <c r="N525" s="987"/>
      <c r="O525" s="436" t="s">
        <v>62</v>
      </c>
      <c r="P525" s="987"/>
      <c r="Q525" s="987"/>
      <c r="R525" s="987"/>
      <c r="S525" s="987"/>
      <c r="T525" s="987"/>
      <c r="U525" s="987"/>
      <c r="V525" s="987"/>
      <c r="W525" s="987"/>
      <c r="X525" s="987"/>
      <c r="Y525" s="987"/>
      <c r="Z525" s="987"/>
      <c r="AA525" s="986"/>
    </row>
    <row r="526" hidden="1">
      <c r="A526" s="995">
        <v>325.0</v>
      </c>
      <c r="B526" s="988">
        <v>44704.0</v>
      </c>
      <c r="C526" s="989" t="s">
        <v>5269</v>
      </c>
      <c r="D526" s="434" t="s">
        <v>1101</v>
      </c>
      <c r="E526" s="434" t="s">
        <v>2920</v>
      </c>
      <c r="F526" s="990">
        <v>1.7160196E7</v>
      </c>
      <c r="G526" s="434" t="s">
        <v>103</v>
      </c>
      <c r="H526" s="989" t="s">
        <v>5270</v>
      </c>
      <c r="I526" s="989" t="s">
        <v>5271</v>
      </c>
      <c r="J526" s="987"/>
      <c r="K526" s="436" t="s">
        <v>2923</v>
      </c>
      <c r="L526" s="436" t="s">
        <v>5008</v>
      </c>
      <c r="M526" s="436" t="s">
        <v>4929</v>
      </c>
      <c r="N526" s="987"/>
      <c r="O526" s="436" t="s">
        <v>62</v>
      </c>
      <c r="P526" s="995">
        <v>44705.0</v>
      </c>
      <c r="Q526" s="987"/>
      <c r="R526" s="987"/>
      <c r="S526" s="987"/>
      <c r="T526" s="987"/>
      <c r="U526" s="436" t="s">
        <v>62</v>
      </c>
      <c r="V526" s="995">
        <v>44711.0</v>
      </c>
      <c r="W526" s="987"/>
      <c r="X526" s="987"/>
      <c r="Y526" s="987"/>
      <c r="Z526" s="987"/>
      <c r="AA526" s="986"/>
    </row>
    <row r="527" hidden="1">
      <c r="A527" s="995">
        <v>327.0</v>
      </c>
      <c r="B527" s="988">
        <v>44707.0</v>
      </c>
      <c r="C527" s="989" t="s">
        <v>5272</v>
      </c>
      <c r="D527" s="434" t="s">
        <v>5273</v>
      </c>
      <c r="E527" s="434" t="s">
        <v>1516</v>
      </c>
      <c r="F527" s="434" t="s">
        <v>50</v>
      </c>
      <c r="G527" s="434" t="s">
        <v>200</v>
      </c>
      <c r="H527" s="989" t="s">
        <v>5274</v>
      </c>
      <c r="I527" s="989" t="s">
        <v>5275</v>
      </c>
      <c r="J527" s="987"/>
      <c r="K527" s="436" t="s">
        <v>1519</v>
      </c>
      <c r="L527" s="436" t="s">
        <v>5276</v>
      </c>
      <c r="M527" s="436" t="s">
        <v>463</v>
      </c>
      <c r="N527" s="987"/>
      <c r="O527" s="987"/>
      <c r="P527" s="987"/>
      <c r="Q527" s="987"/>
      <c r="R527" s="987"/>
      <c r="S527" s="987"/>
      <c r="T527" s="987"/>
      <c r="U527" s="987"/>
      <c r="V527" s="987"/>
      <c r="W527" s="987"/>
      <c r="X527" s="987"/>
      <c r="Y527" s="987"/>
      <c r="Z527" s="987"/>
      <c r="AA527" s="986"/>
    </row>
    <row r="528" hidden="1">
      <c r="A528" s="995">
        <v>330.0</v>
      </c>
      <c r="B528" s="988">
        <v>44713.0</v>
      </c>
      <c r="C528" s="989" t="s">
        <v>5277</v>
      </c>
      <c r="D528" s="434" t="s">
        <v>89</v>
      </c>
      <c r="E528" s="434" t="s">
        <v>269</v>
      </c>
      <c r="F528" s="990">
        <v>1.5830962E7</v>
      </c>
      <c r="G528" s="434" t="s">
        <v>51</v>
      </c>
      <c r="H528" s="989" t="s">
        <v>5278</v>
      </c>
      <c r="I528" s="993" t="s">
        <v>5279</v>
      </c>
      <c r="J528" s="987"/>
      <c r="K528" s="436" t="s">
        <v>4654</v>
      </c>
      <c r="L528" s="987"/>
      <c r="M528" s="987"/>
      <c r="N528" s="987"/>
      <c r="O528" s="987"/>
      <c r="P528" s="987"/>
      <c r="Q528" s="987"/>
      <c r="R528" s="987"/>
      <c r="S528" s="987"/>
      <c r="T528" s="987"/>
      <c r="U528" s="987"/>
      <c r="V528" s="987"/>
      <c r="W528" s="987"/>
      <c r="X528" s="987"/>
      <c r="Y528" s="987"/>
      <c r="Z528" s="987"/>
      <c r="AA528" s="986"/>
    </row>
    <row r="529" hidden="1">
      <c r="A529" s="995">
        <v>332.0</v>
      </c>
      <c r="B529" s="988">
        <v>44588.0</v>
      </c>
      <c r="C529" s="989" t="s">
        <v>5280</v>
      </c>
      <c r="D529" s="434" t="s">
        <v>2964</v>
      </c>
      <c r="E529" s="434" t="s">
        <v>3043</v>
      </c>
      <c r="F529" s="990">
        <v>1.7940175E7</v>
      </c>
      <c r="G529" s="434" t="s">
        <v>200</v>
      </c>
      <c r="H529" s="989" t="s">
        <v>5281</v>
      </c>
      <c r="I529" s="989" t="s">
        <v>5282</v>
      </c>
      <c r="J529" s="987"/>
      <c r="K529" s="436" t="s">
        <v>5283</v>
      </c>
      <c r="L529" s="436" t="s">
        <v>36</v>
      </c>
      <c r="M529" s="436" t="s">
        <v>5284</v>
      </c>
      <c r="N529" s="987"/>
      <c r="O529" s="987"/>
      <c r="P529" s="987"/>
      <c r="Q529" s="987"/>
      <c r="R529" s="987"/>
      <c r="S529" s="987"/>
      <c r="T529" s="987"/>
      <c r="U529" s="987"/>
      <c r="V529" s="987"/>
      <c r="W529" s="987"/>
      <c r="X529" s="987"/>
      <c r="Y529" s="987"/>
      <c r="Z529" s="987"/>
      <c r="AA529" s="986"/>
    </row>
    <row r="530" hidden="1">
      <c r="A530" s="995">
        <v>333.0</v>
      </c>
      <c r="B530" s="988">
        <v>44715.0</v>
      </c>
      <c r="C530" s="989" t="s">
        <v>5285</v>
      </c>
      <c r="D530" s="434" t="s">
        <v>417</v>
      </c>
      <c r="E530" s="434" t="s">
        <v>3043</v>
      </c>
      <c r="F530" s="989" t="s">
        <v>5286</v>
      </c>
      <c r="G530" s="434" t="s">
        <v>200</v>
      </c>
      <c r="H530" s="989" t="s">
        <v>5287</v>
      </c>
      <c r="I530" s="993" t="s">
        <v>5288</v>
      </c>
      <c r="J530" s="987"/>
      <c r="K530" s="436" t="s">
        <v>265</v>
      </c>
      <c r="L530" s="436" t="s">
        <v>5289</v>
      </c>
      <c r="M530" s="436" t="s">
        <v>2852</v>
      </c>
      <c r="N530" s="987"/>
      <c r="O530" s="987"/>
      <c r="P530" s="987"/>
      <c r="Q530" s="987"/>
      <c r="R530" s="987"/>
      <c r="S530" s="987"/>
      <c r="T530" s="987"/>
      <c r="U530" s="987"/>
      <c r="V530" s="987"/>
      <c r="W530" s="987"/>
      <c r="X530" s="987"/>
      <c r="Y530" s="987"/>
      <c r="Z530" s="987"/>
      <c r="AA530" s="986"/>
    </row>
    <row r="531" hidden="1">
      <c r="A531" s="995">
        <v>334.0</v>
      </c>
      <c r="B531" s="988">
        <v>44718.0</v>
      </c>
      <c r="C531" s="989" t="s">
        <v>5285</v>
      </c>
      <c r="D531" s="434" t="s">
        <v>417</v>
      </c>
      <c r="E531" s="434" t="s">
        <v>3043</v>
      </c>
      <c r="F531" s="990">
        <v>1.6340436E7</v>
      </c>
      <c r="G531" s="434" t="s">
        <v>200</v>
      </c>
      <c r="H531" s="989" t="s">
        <v>5287</v>
      </c>
      <c r="I531" s="993" t="s">
        <v>5290</v>
      </c>
      <c r="J531" s="987"/>
      <c r="K531" s="436" t="s">
        <v>265</v>
      </c>
      <c r="L531" s="436" t="s">
        <v>5257</v>
      </c>
      <c r="M531" s="436" t="s">
        <v>2852</v>
      </c>
      <c r="N531" s="987"/>
      <c r="O531" s="987"/>
      <c r="P531" s="987"/>
      <c r="Q531" s="987"/>
      <c r="R531" s="987"/>
      <c r="S531" s="987"/>
      <c r="T531" s="987"/>
      <c r="U531" s="987"/>
      <c r="V531" s="987"/>
      <c r="W531" s="987"/>
      <c r="X531" s="987"/>
      <c r="Y531" s="987"/>
      <c r="Z531" s="987"/>
      <c r="AA531" s="986"/>
    </row>
    <row r="532" hidden="1">
      <c r="A532" s="995">
        <v>335.0</v>
      </c>
      <c r="B532" s="988">
        <v>44718.0</v>
      </c>
      <c r="C532" s="989" t="s">
        <v>5285</v>
      </c>
      <c r="D532" s="434" t="s">
        <v>417</v>
      </c>
      <c r="E532" s="434" t="s">
        <v>3043</v>
      </c>
      <c r="F532" s="990">
        <v>1.6340439E7</v>
      </c>
      <c r="G532" s="434" t="s">
        <v>200</v>
      </c>
      <c r="H532" s="989" t="s">
        <v>5291</v>
      </c>
      <c r="I532" s="993" t="s">
        <v>5290</v>
      </c>
      <c r="J532" s="987"/>
      <c r="K532" s="436" t="s">
        <v>265</v>
      </c>
      <c r="L532" s="436" t="s">
        <v>5292</v>
      </c>
      <c r="M532" s="436" t="s">
        <v>2852</v>
      </c>
      <c r="N532" s="987"/>
      <c r="O532" s="987"/>
      <c r="P532" s="987"/>
      <c r="Q532" s="987"/>
      <c r="R532" s="987"/>
      <c r="S532" s="987"/>
      <c r="T532" s="987"/>
      <c r="U532" s="987"/>
      <c r="V532" s="987"/>
      <c r="W532" s="987"/>
      <c r="X532" s="987"/>
      <c r="Y532" s="987"/>
      <c r="Z532" s="987"/>
      <c r="AA532" s="986"/>
    </row>
    <row r="533" hidden="1">
      <c r="A533" s="995">
        <v>336.0</v>
      </c>
      <c r="B533" s="988">
        <v>44718.0</v>
      </c>
      <c r="C533" s="989" t="s">
        <v>5285</v>
      </c>
      <c r="D533" s="434" t="s">
        <v>417</v>
      </c>
      <c r="E533" s="434" t="s">
        <v>3043</v>
      </c>
      <c r="F533" s="990">
        <v>1.634044E7</v>
      </c>
      <c r="G533" s="434" t="s">
        <v>200</v>
      </c>
      <c r="H533" s="989" t="s">
        <v>5287</v>
      </c>
      <c r="I533" s="993" t="s">
        <v>5290</v>
      </c>
      <c r="J533" s="987"/>
      <c r="K533" s="436" t="s">
        <v>265</v>
      </c>
      <c r="L533" s="436" t="s">
        <v>5257</v>
      </c>
      <c r="M533" s="436" t="s">
        <v>2852</v>
      </c>
      <c r="N533" s="987"/>
      <c r="O533" s="987"/>
      <c r="P533" s="987"/>
      <c r="Q533" s="987"/>
      <c r="R533" s="987"/>
      <c r="S533" s="987"/>
      <c r="T533" s="987"/>
      <c r="U533" s="987"/>
      <c r="V533" s="987"/>
      <c r="W533" s="987"/>
      <c r="X533" s="987"/>
      <c r="Y533" s="987"/>
      <c r="Z533" s="987"/>
      <c r="AA533" s="986"/>
    </row>
    <row r="534" hidden="1">
      <c r="A534" s="995">
        <v>337.0</v>
      </c>
      <c r="B534" s="988">
        <v>44719.0</v>
      </c>
      <c r="C534" s="989" t="s">
        <v>5285</v>
      </c>
      <c r="D534" s="434" t="s">
        <v>417</v>
      </c>
      <c r="E534" s="434" t="s">
        <v>3043</v>
      </c>
      <c r="F534" s="990">
        <v>1.6340437E7</v>
      </c>
      <c r="G534" s="434" t="s">
        <v>200</v>
      </c>
      <c r="H534" s="989" t="s">
        <v>5287</v>
      </c>
      <c r="I534" s="993" t="s">
        <v>5290</v>
      </c>
      <c r="J534" s="987"/>
      <c r="K534" s="436" t="s">
        <v>265</v>
      </c>
      <c r="L534" s="436" t="s">
        <v>5257</v>
      </c>
      <c r="M534" s="436" t="s">
        <v>2852</v>
      </c>
      <c r="N534" s="987"/>
      <c r="O534" s="987"/>
      <c r="P534" s="987"/>
      <c r="Q534" s="987"/>
      <c r="R534" s="987"/>
      <c r="S534" s="987"/>
      <c r="T534" s="987"/>
      <c r="U534" s="987"/>
      <c r="V534" s="987"/>
      <c r="W534" s="987"/>
      <c r="X534" s="987"/>
      <c r="Y534" s="987"/>
      <c r="Z534" s="987"/>
      <c r="AA534" s="986"/>
    </row>
    <row r="535" hidden="1">
      <c r="A535" s="995">
        <v>338.0</v>
      </c>
      <c r="B535" s="988">
        <v>44719.0</v>
      </c>
      <c r="C535" s="989" t="s">
        <v>5285</v>
      </c>
      <c r="D535" s="434" t="s">
        <v>417</v>
      </c>
      <c r="E535" s="434" t="s">
        <v>3043</v>
      </c>
      <c r="F535" s="990">
        <v>1.6340441E7</v>
      </c>
      <c r="G535" s="434" t="s">
        <v>200</v>
      </c>
      <c r="H535" s="989" t="s">
        <v>5287</v>
      </c>
      <c r="I535" s="993" t="s">
        <v>5290</v>
      </c>
      <c r="J535" s="987"/>
      <c r="K535" s="436" t="s">
        <v>265</v>
      </c>
      <c r="L535" s="436" t="s">
        <v>4998</v>
      </c>
      <c r="M535" s="436" t="s">
        <v>2852</v>
      </c>
      <c r="N535" s="987"/>
      <c r="O535" s="987"/>
      <c r="P535" s="987"/>
      <c r="Q535" s="987"/>
      <c r="R535" s="987"/>
      <c r="S535" s="987"/>
      <c r="T535" s="987"/>
      <c r="U535" s="987"/>
      <c r="V535" s="987"/>
      <c r="W535" s="987"/>
      <c r="X535" s="987"/>
      <c r="Y535" s="987"/>
      <c r="Z535" s="987"/>
      <c r="AA535" s="986"/>
    </row>
    <row r="536" hidden="1">
      <c r="A536" s="995">
        <v>339.0</v>
      </c>
      <c r="B536" s="988">
        <v>44719.0</v>
      </c>
      <c r="C536" s="989" t="s">
        <v>5285</v>
      </c>
      <c r="D536" s="434" t="s">
        <v>417</v>
      </c>
      <c r="E536" s="434" t="s">
        <v>3043</v>
      </c>
      <c r="F536" s="990">
        <v>1.6340442E7</v>
      </c>
      <c r="G536" s="434" t="s">
        <v>200</v>
      </c>
      <c r="H536" s="989" t="s">
        <v>5287</v>
      </c>
      <c r="I536" s="993" t="s">
        <v>5290</v>
      </c>
      <c r="J536" s="987"/>
      <c r="K536" s="436" t="s">
        <v>265</v>
      </c>
      <c r="L536" s="436" t="s">
        <v>5257</v>
      </c>
      <c r="M536" s="436" t="s">
        <v>2852</v>
      </c>
      <c r="N536" s="987"/>
      <c r="O536" s="987"/>
      <c r="P536" s="987"/>
      <c r="Q536" s="987"/>
      <c r="R536" s="987"/>
      <c r="S536" s="987"/>
      <c r="T536" s="987"/>
      <c r="U536" s="987"/>
      <c r="V536" s="987"/>
      <c r="W536" s="987"/>
      <c r="X536" s="987"/>
      <c r="Y536" s="987"/>
      <c r="Z536" s="987"/>
      <c r="AA536" s="986"/>
    </row>
    <row r="537" hidden="1">
      <c r="A537" s="995">
        <v>340.0</v>
      </c>
      <c r="B537" s="988">
        <v>44719.0</v>
      </c>
      <c r="C537" s="989" t="s">
        <v>5285</v>
      </c>
      <c r="D537" s="434" t="s">
        <v>417</v>
      </c>
      <c r="E537" s="434" t="s">
        <v>3043</v>
      </c>
      <c r="F537" s="990">
        <v>1.6340445E7</v>
      </c>
      <c r="G537" s="434" t="s">
        <v>200</v>
      </c>
      <c r="H537" s="989" t="s">
        <v>5287</v>
      </c>
      <c r="I537" s="993" t="s">
        <v>5290</v>
      </c>
      <c r="J537" s="987"/>
      <c r="K537" s="436" t="s">
        <v>265</v>
      </c>
      <c r="L537" s="436" t="s">
        <v>3694</v>
      </c>
      <c r="M537" s="436" t="s">
        <v>2852</v>
      </c>
      <c r="N537" s="987"/>
      <c r="O537" s="987"/>
      <c r="P537" s="987"/>
      <c r="Q537" s="987"/>
      <c r="R537" s="987"/>
      <c r="S537" s="987"/>
      <c r="T537" s="987"/>
      <c r="U537" s="987"/>
      <c r="V537" s="987"/>
      <c r="W537" s="987"/>
      <c r="X537" s="987"/>
      <c r="Y537" s="987"/>
      <c r="Z537" s="987"/>
      <c r="AA537" s="986"/>
    </row>
    <row r="538" hidden="1">
      <c r="A538" s="995">
        <v>341.0</v>
      </c>
      <c r="B538" s="988">
        <v>44719.0</v>
      </c>
      <c r="C538" s="989" t="s">
        <v>5293</v>
      </c>
      <c r="D538" s="434" t="s">
        <v>367</v>
      </c>
      <c r="E538" s="434" t="s">
        <v>49</v>
      </c>
      <c r="F538" s="434" t="s">
        <v>50</v>
      </c>
      <c r="G538" s="434" t="s">
        <v>120</v>
      </c>
      <c r="H538" s="989" t="s">
        <v>5294</v>
      </c>
      <c r="I538" s="993" t="s">
        <v>5295</v>
      </c>
      <c r="J538" s="987"/>
      <c r="K538" s="436" t="s">
        <v>123</v>
      </c>
      <c r="L538" s="436" t="s">
        <v>5104</v>
      </c>
      <c r="M538" s="436" t="s">
        <v>4919</v>
      </c>
      <c r="N538" s="987"/>
      <c r="O538" s="436" t="s">
        <v>62</v>
      </c>
      <c r="P538" s="995">
        <v>44725.0</v>
      </c>
      <c r="Q538" s="987"/>
      <c r="R538" s="987"/>
      <c r="S538" s="987"/>
      <c r="T538" s="987"/>
      <c r="U538" s="436" t="s">
        <v>62</v>
      </c>
      <c r="V538" s="995">
        <v>44725.0</v>
      </c>
      <c r="W538" s="987"/>
      <c r="X538" s="987"/>
      <c r="Y538" s="987"/>
      <c r="Z538" s="987"/>
      <c r="AA538" s="986"/>
    </row>
    <row r="539" hidden="1">
      <c r="A539" s="995">
        <v>342.0</v>
      </c>
      <c r="B539" s="988">
        <v>44719.0</v>
      </c>
      <c r="C539" s="989" t="s">
        <v>5293</v>
      </c>
      <c r="D539" s="434" t="s">
        <v>367</v>
      </c>
      <c r="E539" s="434" t="s">
        <v>49</v>
      </c>
      <c r="F539" s="434" t="s">
        <v>50</v>
      </c>
      <c r="G539" s="434" t="s">
        <v>120</v>
      </c>
      <c r="H539" s="989" t="s">
        <v>5296</v>
      </c>
      <c r="I539" s="993" t="s">
        <v>5297</v>
      </c>
      <c r="J539" s="987"/>
      <c r="K539" s="436" t="s">
        <v>123</v>
      </c>
      <c r="L539" s="436" t="s">
        <v>4918</v>
      </c>
      <c r="M539" s="436" t="s">
        <v>4919</v>
      </c>
      <c r="N539" s="987"/>
      <c r="O539" s="436" t="s">
        <v>62</v>
      </c>
      <c r="P539" s="995">
        <v>44725.0</v>
      </c>
      <c r="Q539" s="987"/>
      <c r="R539" s="987"/>
      <c r="S539" s="987"/>
      <c r="T539" s="987"/>
      <c r="U539" s="436" t="s">
        <v>62</v>
      </c>
      <c r="V539" s="995">
        <v>44725.0</v>
      </c>
      <c r="W539" s="987"/>
      <c r="X539" s="987"/>
      <c r="Y539" s="987"/>
      <c r="Z539" s="987"/>
      <c r="AA539" s="986"/>
    </row>
    <row r="540" hidden="1">
      <c r="A540" s="995">
        <v>343.0</v>
      </c>
      <c r="B540" s="988">
        <v>44719.0</v>
      </c>
      <c r="C540" s="989" t="s">
        <v>5293</v>
      </c>
      <c r="D540" s="434" t="s">
        <v>367</v>
      </c>
      <c r="E540" s="434" t="s">
        <v>49</v>
      </c>
      <c r="F540" s="434" t="s">
        <v>50</v>
      </c>
      <c r="G540" s="434" t="s">
        <v>120</v>
      </c>
      <c r="H540" s="989" t="s">
        <v>5296</v>
      </c>
      <c r="I540" s="993" t="s">
        <v>5297</v>
      </c>
      <c r="J540" s="987"/>
      <c r="K540" s="436" t="s">
        <v>123</v>
      </c>
      <c r="L540" s="436" t="s">
        <v>4918</v>
      </c>
      <c r="M540" s="436" t="s">
        <v>4919</v>
      </c>
      <c r="N540" s="987"/>
      <c r="O540" s="436" t="s">
        <v>62</v>
      </c>
      <c r="P540" s="995">
        <v>44725.0</v>
      </c>
      <c r="Q540" s="987"/>
      <c r="R540" s="987"/>
      <c r="S540" s="987"/>
      <c r="T540" s="987"/>
      <c r="U540" s="436" t="s">
        <v>62</v>
      </c>
      <c r="V540" s="995">
        <v>44725.0</v>
      </c>
      <c r="W540" s="987"/>
      <c r="X540" s="987"/>
      <c r="Y540" s="987"/>
      <c r="Z540" s="987"/>
      <c r="AA540" s="986"/>
    </row>
    <row r="541" hidden="1">
      <c r="A541" s="995">
        <v>344.0</v>
      </c>
      <c r="B541" s="988">
        <v>44673.0</v>
      </c>
      <c r="C541" s="989" t="s">
        <v>5250</v>
      </c>
      <c r="D541" s="434" t="s">
        <v>5251</v>
      </c>
      <c r="E541" s="434" t="s">
        <v>300</v>
      </c>
      <c r="F541" s="990">
        <v>1.6210152E7</v>
      </c>
      <c r="G541" s="434" t="s">
        <v>348</v>
      </c>
      <c r="H541" s="989" t="s">
        <v>5298</v>
      </c>
      <c r="I541" s="993" t="s">
        <v>5299</v>
      </c>
      <c r="J541" s="987"/>
      <c r="K541" s="436" t="s">
        <v>2416</v>
      </c>
      <c r="L541" s="436" t="s">
        <v>3694</v>
      </c>
      <c r="M541" s="436" t="s">
        <v>2852</v>
      </c>
      <c r="N541" s="987"/>
      <c r="O541" s="436" t="s">
        <v>62</v>
      </c>
      <c r="P541" s="995">
        <v>44728.0</v>
      </c>
      <c r="Q541" s="987"/>
      <c r="R541" s="987"/>
      <c r="S541" s="987"/>
      <c r="T541" s="987"/>
      <c r="U541" s="987"/>
      <c r="V541" s="995">
        <v>44739.0</v>
      </c>
      <c r="W541" s="987"/>
      <c r="X541" s="987"/>
      <c r="Y541" s="987"/>
      <c r="Z541" s="987"/>
      <c r="AA541" s="986"/>
    </row>
    <row r="542" hidden="1">
      <c r="A542" s="995">
        <v>345.0</v>
      </c>
      <c r="B542" s="988">
        <v>44725.0</v>
      </c>
      <c r="C542" s="989" t="s">
        <v>4914</v>
      </c>
      <c r="D542" s="434" t="s">
        <v>918</v>
      </c>
      <c r="E542" s="434" t="s">
        <v>1467</v>
      </c>
      <c r="F542" s="990">
        <v>1.635119E7</v>
      </c>
      <c r="G542" s="434" t="s">
        <v>32</v>
      </c>
      <c r="H542" s="989" t="s">
        <v>5300</v>
      </c>
      <c r="I542" s="989" t="s">
        <v>5301</v>
      </c>
      <c r="J542" s="987"/>
      <c r="K542" s="987"/>
      <c r="L542" s="436" t="s">
        <v>50</v>
      </c>
      <c r="M542" s="987"/>
      <c r="N542" s="987"/>
      <c r="O542" s="987"/>
      <c r="P542" s="987"/>
      <c r="Q542" s="987"/>
      <c r="R542" s="987"/>
      <c r="S542" s="987"/>
      <c r="T542" s="987"/>
      <c r="U542" s="436" t="s">
        <v>62</v>
      </c>
      <c r="V542" s="995">
        <v>45034.0</v>
      </c>
      <c r="W542" s="987"/>
      <c r="X542" s="987"/>
      <c r="Y542" s="987"/>
      <c r="Z542" s="987"/>
      <c r="AA542" s="986"/>
    </row>
    <row r="543" hidden="1">
      <c r="A543" s="995">
        <v>346.0</v>
      </c>
      <c r="B543" s="988">
        <v>44727.0</v>
      </c>
      <c r="C543" s="989" t="s">
        <v>5302</v>
      </c>
      <c r="D543" s="434" t="s">
        <v>918</v>
      </c>
      <c r="E543" s="434" t="s">
        <v>300</v>
      </c>
      <c r="F543" s="434" t="s">
        <v>5303</v>
      </c>
      <c r="G543" s="434" t="s">
        <v>32</v>
      </c>
      <c r="H543" s="989" t="s">
        <v>5287</v>
      </c>
      <c r="I543" s="993" t="s">
        <v>5304</v>
      </c>
      <c r="J543" s="987"/>
      <c r="K543" s="436" t="s">
        <v>265</v>
      </c>
      <c r="L543" s="436" t="s">
        <v>5305</v>
      </c>
      <c r="M543" s="436" t="s">
        <v>2852</v>
      </c>
      <c r="N543" s="987"/>
      <c r="O543" s="987"/>
      <c r="P543" s="987"/>
      <c r="Q543" s="987"/>
      <c r="R543" s="987"/>
      <c r="S543" s="987"/>
      <c r="T543" s="987"/>
      <c r="U543" s="987"/>
      <c r="V543" s="987"/>
      <c r="W543" s="987"/>
      <c r="X543" s="987"/>
      <c r="Y543" s="987"/>
      <c r="Z543" s="987"/>
      <c r="AA543" s="986"/>
    </row>
    <row r="544" hidden="1">
      <c r="A544" s="995">
        <v>347.0</v>
      </c>
      <c r="B544" s="988">
        <v>44729.0</v>
      </c>
      <c r="C544" s="989" t="s">
        <v>5302</v>
      </c>
      <c r="D544" s="434" t="s">
        <v>918</v>
      </c>
      <c r="E544" s="434" t="s">
        <v>261</v>
      </c>
      <c r="F544" s="990">
        <v>1.6351244E7</v>
      </c>
      <c r="G544" s="434" t="s">
        <v>32</v>
      </c>
      <c r="H544" s="989" t="s">
        <v>5040</v>
      </c>
      <c r="I544" s="989" t="s">
        <v>5306</v>
      </c>
      <c r="J544" s="987"/>
      <c r="K544" s="436" t="s">
        <v>278</v>
      </c>
      <c r="L544" s="436" t="s">
        <v>1351</v>
      </c>
      <c r="M544" s="436" t="s">
        <v>280</v>
      </c>
      <c r="N544" s="436" t="s">
        <v>5042</v>
      </c>
      <c r="O544" s="987"/>
      <c r="P544" s="995">
        <v>44836.0</v>
      </c>
      <c r="Q544" s="987"/>
      <c r="R544" s="987"/>
      <c r="S544" s="987"/>
      <c r="T544" s="987"/>
      <c r="U544" s="987"/>
      <c r="V544" s="995">
        <v>44851.0</v>
      </c>
      <c r="W544" s="987"/>
      <c r="X544" s="987"/>
      <c r="Y544" s="987"/>
      <c r="Z544" s="987"/>
      <c r="AA544" s="986"/>
    </row>
    <row r="545" hidden="1">
      <c r="A545" s="995">
        <v>348.0</v>
      </c>
      <c r="B545" s="988">
        <v>44732.0</v>
      </c>
      <c r="C545" s="989" t="s">
        <v>5302</v>
      </c>
      <c r="D545" s="434" t="s">
        <v>918</v>
      </c>
      <c r="E545" s="434" t="s">
        <v>261</v>
      </c>
      <c r="F545" s="990">
        <v>1.6351255E7</v>
      </c>
      <c r="G545" s="434" t="s">
        <v>32</v>
      </c>
      <c r="H545" s="989" t="s">
        <v>5307</v>
      </c>
      <c r="I545" s="989" t="s">
        <v>5306</v>
      </c>
      <c r="J545" s="987"/>
      <c r="K545" s="436" t="s">
        <v>278</v>
      </c>
      <c r="L545" s="436" t="s">
        <v>5308</v>
      </c>
      <c r="M545" s="436" t="s">
        <v>280</v>
      </c>
      <c r="N545" s="987"/>
      <c r="O545" s="987"/>
      <c r="P545" s="995">
        <v>44836.0</v>
      </c>
      <c r="Q545" s="987"/>
      <c r="R545" s="987"/>
      <c r="S545" s="987"/>
      <c r="T545" s="987"/>
      <c r="U545" s="436" t="s">
        <v>62</v>
      </c>
      <c r="V545" s="995">
        <v>44851.0</v>
      </c>
      <c r="W545" s="987"/>
      <c r="X545" s="987"/>
      <c r="Y545" s="987"/>
      <c r="Z545" s="987"/>
      <c r="AA545" s="986"/>
    </row>
    <row r="546" hidden="1">
      <c r="A546" s="995">
        <v>353.0</v>
      </c>
      <c r="B546" s="988">
        <v>44735.0</v>
      </c>
      <c r="C546" s="989" t="s">
        <v>5309</v>
      </c>
      <c r="D546" s="434" t="s">
        <v>48</v>
      </c>
      <c r="E546" s="434" t="s">
        <v>49</v>
      </c>
      <c r="F546" s="434" t="s">
        <v>50</v>
      </c>
      <c r="G546" s="434" t="s">
        <v>51</v>
      </c>
      <c r="H546" s="989" t="s">
        <v>5310</v>
      </c>
      <c r="I546" s="989" t="s">
        <v>5311</v>
      </c>
      <c r="J546" s="987"/>
      <c r="K546" s="436" t="s">
        <v>143</v>
      </c>
      <c r="L546" s="436" t="s">
        <v>1356</v>
      </c>
      <c r="M546" s="436" t="s">
        <v>610</v>
      </c>
      <c r="N546" s="987"/>
      <c r="O546" s="987"/>
      <c r="P546" s="987"/>
      <c r="Q546" s="987"/>
      <c r="R546" s="987"/>
      <c r="S546" s="987"/>
      <c r="T546" s="987"/>
      <c r="U546" s="987"/>
      <c r="V546" s="987"/>
      <c r="W546" s="987"/>
      <c r="X546" s="987"/>
      <c r="Y546" s="987"/>
      <c r="Z546" s="987"/>
      <c r="AA546" s="986"/>
    </row>
    <row r="547" hidden="1">
      <c r="A547" s="995">
        <v>354.0</v>
      </c>
      <c r="B547" s="988">
        <v>44732.0</v>
      </c>
      <c r="C547" s="989" t="s">
        <v>5277</v>
      </c>
      <c r="D547" s="434" t="s">
        <v>89</v>
      </c>
      <c r="E547" s="434" t="s">
        <v>269</v>
      </c>
      <c r="F547" s="990">
        <v>1.5830953E7</v>
      </c>
      <c r="G547" s="434" t="s">
        <v>51</v>
      </c>
      <c r="H547" s="989" t="s">
        <v>5312</v>
      </c>
      <c r="I547" s="993" t="s">
        <v>5313</v>
      </c>
      <c r="J547" s="987"/>
      <c r="K547" s="436" t="s">
        <v>4654</v>
      </c>
      <c r="L547" s="436" t="s">
        <v>5314</v>
      </c>
      <c r="M547" s="436" t="s">
        <v>610</v>
      </c>
      <c r="N547" s="987"/>
      <c r="O547" s="436" t="s">
        <v>62</v>
      </c>
      <c r="P547" s="995">
        <v>44747.0</v>
      </c>
      <c r="Q547" s="987"/>
      <c r="R547" s="987"/>
      <c r="S547" s="987"/>
      <c r="T547" s="987"/>
      <c r="U547" s="436" t="s">
        <v>62</v>
      </c>
      <c r="V547" s="995">
        <v>44802.0</v>
      </c>
      <c r="W547" s="987"/>
      <c r="X547" s="987"/>
      <c r="Y547" s="987"/>
      <c r="Z547" s="987"/>
      <c r="AA547" s="986"/>
    </row>
    <row r="548" hidden="1">
      <c r="A548" s="995">
        <v>355.0</v>
      </c>
      <c r="B548" s="988">
        <v>44740.0</v>
      </c>
      <c r="C548" s="989" t="s">
        <v>5302</v>
      </c>
      <c r="D548" s="434" t="s">
        <v>918</v>
      </c>
      <c r="E548" s="434" t="s">
        <v>261</v>
      </c>
      <c r="F548" s="990">
        <v>1.6351264E7</v>
      </c>
      <c r="G548" s="434" t="s">
        <v>32</v>
      </c>
      <c r="H548" s="989" t="s">
        <v>5315</v>
      </c>
      <c r="I548" s="989" t="s">
        <v>5306</v>
      </c>
      <c r="J548" s="987"/>
      <c r="K548" s="436" t="s">
        <v>278</v>
      </c>
      <c r="L548" s="436" t="s">
        <v>1473</v>
      </c>
      <c r="M548" s="436" t="s">
        <v>280</v>
      </c>
      <c r="N548" s="987"/>
      <c r="O548" s="987"/>
      <c r="P548" s="995">
        <v>44836.0</v>
      </c>
      <c r="Q548" s="987"/>
      <c r="R548" s="987"/>
      <c r="S548" s="987"/>
      <c r="T548" s="987"/>
      <c r="U548" s="436" t="s">
        <v>62</v>
      </c>
      <c r="V548" s="995">
        <v>44851.0</v>
      </c>
      <c r="W548" s="987"/>
      <c r="X548" s="987"/>
      <c r="Y548" s="987"/>
      <c r="Z548" s="987"/>
      <c r="AA548" s="986"/>
    </row>
    <row r="549" hidden="1">
      <c r="A549" s="995">
        <v>356.0</v>
      </c>
      <c r="B549" s="988">
        <v>44749.0</v>
      </c>
      <c r="C549" s="989" t="s">
        <v>5302</v>
      </c>
      <c r="D549" s="434" t="s">
        <v>918</v>
      </c>
      <c r="E549" s="434" t="s">
        <v>261</v>
      </c>
      <c r="F549" s="990">
        <v>1.6351272E7</v>
      </c>
      <c r="G549" s="434" t="s">
        <v>32</v>
      </c>
      <c r="H549" s="989" t="s">
        <v>5316</v>
      </c>
      <c r="I549" s="989" t="s">
        <v>5317</v>
      </c>
      <c r="J549" s="987"/>
      <c r="K549" s="436" t="s">
        <v>278</v>
      </c>
      <c r="L549" s="436" t="s">
        <v>5318</v>
      </c>
      <c r="M549" s="436" t="s">
        <v>280</v>
      </c>
      <c r="N549" s="987"/>
      <c r="O549" s="987"/>
      <c r="P549" s="995">
        <v>44836.0</v>
      </c>
      <c r="Q549" s="987"/>
      <c r="R549" s="987"/>
      <c r="S549" s="987"/>
      <c r="T549" s="987"/>
      <c r="U549" s="436" t="s">
        <v>62</v>
      </c>
      <c r="V549" s="995">
        <v>44851.0</v>
      </c>
      <c r="W549" s="987"/>
      <c r="X549" s="987"/>
      <c r="Y549" s="987"/>
      <c r="Z549" s="987"/>
      <c r="AA549" s="986"/>
    </row>
    <row r="550" hidden="1">
      <c r="A550" s="995">
        <v>357.0</v>
      </c>
      <c r="B550" s="988">
        <v>44755.0</v>
      </c>
      <c r="C550" s="989" t="s">
        <v>5302</v>
      </c>
      <c r="D550" s="434" t="s">
        <v>918</v>
      </c>
      <c r="E550" s="434" t="s">
        <v>261</v>
      </c>
      <c r="F550" s="990">
        <v>1.6351271E7</v>
      </c>
      <c r="G550" s="434" t="s">
        <v>32</v>
      </c>
      <c r="H550" s="989" t="s">
        <v>5043</v>
      </c>
      <c r="I550" s="989" t="s">
        <v>5317</v>
      </c>
      <c r="J550" s="987"/>
      <c r="K550" s="436" t="s">
        <v>278</v>
      </c>
      <c r="L550" s="436" t="s">
        <v>4721</v>
      </c>
      <c r="M550" s="436" t="s">
        <v>280</v>
      </c>
      <c r="N550" s="987"/>
      <c r="O550" s="987"/>
      <c r="P550" s="995">
        <v>44836.0</v>
      </c>
      <c r="Q550" s="987"/>
      <c r="R550" s="987"/>
      <c r="S550" s="987"/>
      <c r="T550" s="987"/>
      <c r="U550" s="436" t="s">
        <v>62</v>
      </c>
      <c r="V550" s="995">
        <v>44851.0</v>
      </c>
      <c r="W550" s="987"/>
      <c r="X550" s="987"/>
      <c r="Y550" s="987"/>
      <c r="Z550" s="987"/>
      <c r="AA550" s="986"/>
    </row>
    <row r="551" hidden="1">
      <c r="A551" s="995">
        <v>359.0</v>
      </c>
      <c r="B551" s="996">
        <v>44756.0</v>
      </c>
      <c r="C551" s="984" t="s">
        <v>5319</v>
      </c>
      <c r="D551" s="436" t="s">
        <v>309</v>
      </c>
      <c r="E551" s="436" t="s">
        <v>49</v>
      </c>
      <c r="F551" s="995">
        <v>1.8030432E7</v>
      </c>
      <c r="G551" s="436" t="s">
        <v>103</v>
      </c>
      <c r="H551" s="984" t="s">
        <v>5320</v>
      </c>
      <c r="I551" s="999" t="s">
        <v>5321</v>
      </c>
      <c r="J551" s="987"/>
      <c r="K551" s="436" t="s">
        <v>3088</v>
      </c>
      <c r="L551" s="436" t="s">
        <v>5322</v>
      </c>
      <c r="M551" s="436" t="s">
        <v>737</v>
      </c>
      <c r="N551" s="987"/>
      <c r="O551" s="987"/>
      <c r="P551" s="987"/>
      <c r="Q551" s="987"/>
      <c r="R551" s="987"/>
      <c r="S551" s="987"/>
      <c r="T551" s="987"/>
      <c r="U551" s="987"/>
      <c r="V551" s="987"/>
      <c r="W551" s="987"/>
      <c r="X551" s="987"/>
      <c r="Y551" s="987"/>
      <c r="Z551" s="987"/>
      <c r="AA551" s="986"/>
    </row>
    <row r="552" hidden="1">
      <c r="A552" s="995">
        <v>360.0</v>
      </c>
      <c r="B552" s="996">
        <v>44756.0</v>
      </c>
      <c r="C552" s="984" t="s">
        <v>5319</v>
      </c>
      <c r="D552" s="436" t="s">
        <v>309</v>
      </c>
      <c r="E552" s="436" t="s">
        <v>49</v>
      </c>
      <c r="F552" s="995">
        <v>1.8030433E7</v>
      </c>
      <c r="G552" s="436" t="s">
        <v>103</v>
      </c>
      <c r="H552" s="984" t="s">
        <v>5320</v>
      </c>
      <c r="I552" s="997" t="s">
        <v>5323</v>
      </c>
      <c r="J552" s="987"/>
      <c r="K552" s="436" t="s">
        <v>3088</v>
      </c>
      <c r="L552" s="436" t="s">
        <v>5324</v>
      </c>
      <c r="M552" s="436" t="s">
        <v>737</v>
      </c>
      <c r="N552" s="987"/>
      <c r="O552" s="987"/>
      <c r="P552" s="987"/>
      <c r="Q552" s="987"/>
      <c r="R552" s="987"/>
      <c r="S552" s="987"/>
      <c r="T552" s="987"/>
      <c r="U552" s="987"/>
      <c r="V552" s="987"/>
      <c r="W552" s="987"/>
      <c r="X552" s="987"/>
      <c r="Y552" s="987"/>
      <c r="Z552" s="987"/>
      <c r="AA552" s="986"/>
    </row>
    <row r="553" hidden="1">
      <c r="A553" s="995">
        <v>361.0</v>
      </c>
      <c r="B553" s="988">
        <v>44763.0</v>
      </c>
      <c r="C553" s="989" t="s">
        <v>5302</v>
      </c>
      <c r="D553" s="434" t="s">
        <v>918</v>
      </c>
      <c r="E553" s="434" t="s">
        <v>261</v>
      </c>
      <c r="F553" s="990">
        <v>1.6351276E7</v>
      </c>
      <c r="G553" s="434" t="s">
        <v>32</v>
      </c>
      <c r="H553" s="989" t="s">
        <v>5307</v>
      </c>
      <c r="I553" s="989" t="s">
        <v>5317</v>
      </c>
      <c r="J553" s="987"/>
      <c r="K553" s="436" t="s">
        <v>278</v>
      </c>
      <c r="L553" s="436" t="s">
        <v>5308</v>
      </c>
      <c r="M553" s="436" t="s">
        <v>280</v>
      </c>
      <c r="N553" s="987"/>
      <c r="O553" s="987"/>
      <c r="P553" s="995">
        <v>44836.0</v>
      </c>
      <c r="Q553" s="987"/>
      <c r="R553" s="987"/>
      <c r="S553" s="987"/>
      <c r="T553" s="987"/>
      <c r="U553" s="436" t="s">
        <v>62</v>
      </c>
      <c r="V553" s="995">
        <v>44851.0</v>
      </c>
      <c r="W553" s="987"/>
      <c r="X553" s="987"/>
      <c r="Y553" s="987"/>
      <c r="Z553" s="987"/>
      <c r="AA553" s="986"/>
    </row>
    <row r="554" hidden="1">
      <c r="A554" s="995">
        <v>362.0</v>
      </c>
      <c r="B554" s="988">
        <v>44763.0</v>
      </c>
      <c r="C554" s="989" t="s">
        <v>5302</v>
      </c>
      <c r="D554" s="434" t="s">
        <v>918</v>
      </c>
      <c r="E554" s="434" t="s">
        <v>261</v>
      </c>
      <c r="F554" s="990">
        <v>1.6351278E7</v>
      </c>
      <c r="G554" s="434" t="s">
        <v>32</v>
      </c>
      <c r="H554" s="989" t="s">
        <v>5325</v>
      </c>
      <c r="I554" s="989" t="s">
        <v>5317</v>
      </c>
      <c r="J554" s="987"/>
      <c r="K554" s="436" t="s">
        <v>278</v>
      </c>
      <c r="L554" s="436" t="s">
        <v>3407</v>
      </c>
      <c r="M554" s="436" t="s">
        <v>280</v>
      </c>
      <c r="N554" s="987"/>
      <c r="O554" s="987"/>
      <c r="P554" s="995">
        <v>44836.0</v>
      </c>
      <c r="Q554" s="987"/>
      <c r="R554" s="987"/>
      <c r="S554" s="987"/>
      <c r="T554" s="987"/>
      <c r="U554" s="436" t="s">
        <v>62</v>
      </c>
      <c r="V554" s="995">
        <v>44851.0</v>
      </c>
      <c r="W554" s="987"/>
      <c r="X554" s="987"/>
      <c r="Y554" s="987"/>
      <c r="Z554" s="987"/>
      <c r="AA554" s="986"/>
    </row>
    <row r="555" hidden="1">
      <c r="A555" s="995">
        <v>363.0</v>
      </c>
      <c r="B555" s="988">
        <v>44763.0</v>
      </c>
      <c r="C555" s="989" t="s">
        <v>5326</v>
      </c>
      <c r="D555" s="434" t="s">
        <v>910</v>
      </c>
      <c r="E555" s="434" t="s">
        <v>160</v>
      </c>
      <c r="F555" s="990">
        <v>1.597162E7</v>
      </c>
      <c r="G555" s="434" t="s">
        <v>120</v>
      </c>
      <c r="H555" s="989" t="s">
        <v>5327</v>
      </c>
      <c r="I555" s="993" t="s">
        <v>5328</v>
      </c>
      <c r="J555" s="987"/>
      <c r="K555" s="436" t="s">
        <v>5329</v>
      </c>
      <c r="L555" s="436" t="s">
        <v>914</v>
      </c>
      <c r="M555" s="436" t="s">
        <v>5330</v>
      </c>
      <c r="N555" s="987"/>
      <c r="O555" s="436" t="s">
        <v>62</v>
      </c>
      <c r="P555" s="995">
        <v>44987.0</v>
      </c>
      <c r="Q555" s="987"/>
      <c r="R555" s="987"/>
      <c r="S555" s="987"/>
      <c r="T555" s="987"/>
      <c r="U555" s="436" t="s">
        <v>62</v>
      </c>
      <c r="V555" s="995">
        <v>44988.0</v>
      </c>
      <c r="W555" s="987"/>
      <c r="X555" s="987"/>
      <c r="Y555" s="987"/>
      <c r="Z555" s="987"/>
      <c r="AA555" s="986"/>
    </row>
    <row r="556" hidden="1">
      <c r="A556" s="995">
        <v>364.0</v>
      </c>
      <c r="B556" s="988">
        <v>44768.0</v>
      </c>
      <c r="C556" s="989" t="s">
        <v>5331</v>
      </c>
      <c r="D556" s="434" t="s">
        <v>2939</v>
      </c>
      <c r="E556" s="434" t="s">
        <v>3022</v>
      </c>
      <c r="F556" s="990">
        <v>1.4810191E7</v>
      </c>
      <c r="G556" s="434" t="s">
        <v>200</v>
      </c>
      <c r="H556" s="989" t="s">
        <v>5332</v>
      </c>
      <c r="I556" s="993" t="s">
        <v>5333</v>
      </c>
      <c r="J556" s="987"/>
      <c r="K556" s="436" t="s">
        <v>5334</v>
      </c>
      <c r="L556" s="436" t="s">
        <v>5335</v>
      </c>
      <c r="M556" s="436" t="s">
        <v>2852</v>
      </c>
      <c r="N556" s="987"/>
      <c r="O556" s="987"/>
      <c r="P556" s="987"/>
      <c r="Q556" s="987"/>
      <c r="R556" s="987"/>
      <c r="S556" s="987"/>
      <c r="T556" s="987"/>
      <c r="U556" s="987"/>
      <c r="V556" s="987"/>
      <c r="W556" s="987"/>
      <c r="X556" s="987"/>
      <c r="Y556" s="987"/>
      <c r="Z556" s="987"/>
      <c r="AA556" s="986"/>
    </row>
    <row r="557" hidden="1">
      <c r="A557" s="995">
        <v>367.0</v>
      </c>
      <c r="B557" s="988">
        <v>44775.0</v>
      </c>
      <c r="C557" s="989" t="s">
        <v>5302</v>
      </c>
      <c r="D557" s="434" t="s">
        <v>918</v>
      </c>
      <c r="E557" s="434" t="s">
        <v>261</v>
      </c>
      <c r="F557" s="990">
        <v>1.6351282E7</v>
      </c>
      <c r="G557" s="434" t="s">
        <v>32</v>
      </c>
      <c r="H557" s="989" t="s">
        <v>5336</v>
      </c>
      <c r="I557" s="989" t="s">
        <v>5337</v>
      </c>
      <c r="J557" s="987"/>
      <c r="K557" s="436" t="s">
        <v>278</v>
      </c>
      <c r="L557" s="436" t="s">
        <v>335</v>
      </c>
      <c r="M557" s="436" t="s">
        <v>280</v>
      </c>
      <c r="N557" s="987"/>
      <c r="O557" s="987"/>
      <c r="P557" s="987"/>
      <c r="Q557" s="987"/>
      <c r="R557" s="987"/>
      <c r="S557" s="987"/>
      <c r="T557" s="987"/>
      <c r="U557" s="436" t="s">
        <v>62</v>
      </c>
      <c r="V557" s="987"/>
      <c r="W557" s="987"/>
      <c r="X557" s="987"/>
      <c r="Y557" s="987"/>
      <c r="Z557" s="987"/>
      <c r="AA557" s="986"/>
    </row>
    <row r="558" hidden="1">
      <c r="A558" s="995">
        <v>369.0</v>
      </c>
      <c r="B558" s="988">
        <v>44776.0</v>
      </c>
      <c r="C558" s="989" t="s">
        <v>5338</v>
      </c>
      <c r="D558" s="434" t="s">
        <v>239</v>
      </c>
      <c r="E558" s="434" t="s">
        <v>559</v>
      </c>
      <c r="F558" s="990">
        <v>1.7190575E7</v>
      </c>
      <c r="G558" s="434" t="s">
        <v>103</v>
      </c>
      <c r="H558" s="989" t="s">
        <v>5339</v>
      </c>
      <c r="I558" s="993" t="s">
        <v>5340</v>
      </c>
      <c r="J558" s="987"/>
      <c r="K558" s="436" t="s">
        <v>243</v>
      </c>
      <c r="L558" s="436" t="s">
        <v>5341</v>
      </c>
      <c r="M558" s="436" t="s">
        <v>5342</v>
      </c>
      <c r="N558" s="987"/>
      <c r="O558" s="436" t="s">
        <v>62</v>
      </c>
      <c r="P558" s="995">
        <v>45412.0</v>
      </c>
      <c r="Q558" s="987"/>
      <c r="R558" s="987"/>
      <c r="S558" s="436" t="s">
        <v>62</v>
      </c>
      <c r="T558" s="987"/>
      <c r="U558" s="987"/>
      <c r="V558" s="987"/>
      <c r="W558" s="987"/>
      <c r="X558" s="987"/>
      <c r="Y558" s="987"/>
      <c r="Z558" s="987"/>
      <c r="AA558" s="986"/>
    </row>
    <row r="559" hidden="1">
      <c r="A559" s="995">
        <v>372.0</v>
      </c>
      <c r="B559" s="996">
        <v>44777.0</v>
      </c>
      <c r="C559" s="984" t="s">
        <v>5343</v>
      </c>
      <c r="D559" s="436" t="s">
        <v>3326</v>
      </c>
      <c r="E559" s="436" t="s">
        <v>49</v>
      </c>
      <c r="F559" s="995">
        <v>1.3521419E7</v>
      </c>
      <c r="G559" s="436" t="s">
        <v>51</v>
      </c>
      <c r="H559" s="984" t="s">
        <v>5344</v>
      </c>
      <c r="I559" s="997" t="s">
        <v>5345</v>
      </c>
      <c r="J559" s="987"/>
      <c r="K559" s="987"/>
      <c r="L559" s="987"/>
      <c r="M559" s="987"/>
      <c r="N559" s="987"/>
      <c r="O559" s="987"/>
      <c r="P559" s="987"/>
      <c r="Q559" s="987"/>
      <c r="R559" s="987"/>
      <c r="S559" s="987"/>
      <c r="T559" s="987"/>
      <c r="U559" s="987"/>
      <c r="V559" s="987"/>
      <c r="W559" s="987"/>
      <c r="X559" s="987"/>
      <c r="Y559" s="987"/>
      <c r="Z559" s="987"/>
      <c r="AA559" s="986"/>
    </row>
    <row r="560" hidden="1">
      <c r="A560" s="995">
        <v>374.0</v>
      </c>
      <c r="B560" s="988">
        <v>44778.0</v>
      </c>
      <c r="C560" s="989" t="s">
        <v>5346</v>
      </c>
      <c r="D560" s="434" t="s">
        <v>885</v>
      </c>
      <c r="E560" s="434" t="s">
        <v>49</v>
      </c>
      <c r="F560" s="434" t="s">
        <v>50</v>
      </c>
      <c r="G560" s="434" t="s">
        <v>32</v>
      </c>
      <c r="H560" s="989" t="s">
        <v>5347</v>
      </c>
      <c r="I560" s="1014" t="s">
        <v>5348</v>
      </c>
      <c r="J560" s="987"/>
      <c r="K560" s="436" t="s">
        <v>1244</v>
      </c>
      <c r="L560" s="436" t="s">
        <v>613</v>
      </c>
      <c r="M560" s="436" t="s">
        <v>1234</v>
      </c>
      <c r="N560" s="987"/>
      <c r="O560" s="987"/>
      <c r="P560" s="987"/>
      <c r="Q560" s="987"/>
      <c r="R560" s="987"/>
      <c r="S560" s="987"/>
      <c r="T560" s="987"/>
      <c r="U560" s="987"/>
      <c r="V560" s="987"/>
      <c r="W560" s="987"/>
      <c r="X560" s="987"/>
      <c r="Y560" s="987"/>
      <c r="Z560" s="987"/>
      <c r="AA560" s="986"/>
    </row>
    <row r="561" hidden="1">
      <c r="A561" s="995">
        <v>375.0</v>
      </c>
      <c r="B561" s="988">
        <v>44789.0</v>
      </c>
      <c r="C561" s="989" t="s">
        <v>5346</v>
      </c>
      <c r="D561" s="434" t="s">
        <v>885</v>
      </c>
      <c r="E561" s="434" t="s">
        <v>49</v>
      </c>
      <c r="F561" s="434" t="s">
        <v>50</v>
      </c>
      <c r="G561" s="434" t="s">
        <v>32</v>
      </c>
      <c r="H561" s="989" t="s">
        <v>5349</v>
      </c>
      <c r="I561" s="1014" t="s">
        <v>5350</v>
      </c>
      <c r="J561" s="987"/>
      <c r="K561" s="436" t="s">
        <v>1244</v>
      </c>
      <c r="L561" s="436" t="s">
        <v>1257</v>
      </c>
      <c r="M561" s="436" t="s">
        <v>1234</v>
      </c>
      <c r="N561" s="987"/>
      <c r="O561" s="987"/>
      <c r="P561" s="987"/>
      <c r="Q561" s="987"/>
      <c r="R561" s="987"/>
      <c r="S561" s="987"/>
      <c r="T561" s="987"/>
      <c r="U561" s="987"/>
      <c r="V561" s="987"/>
      <c r="W561" s="987"/>
      <c r="X561" s="987"/>
      <c r="Y561" s="987"/>
      <c r="Z561" s="987"/>
      <c r="AA561" s="986"/>
    </row>
    <row r="562" hidden="1">
      <c r="A562" s="995">
        <v>376.0</v>
      </c>
      <c r="B562" s="988">
        <v>44789.0</v>
      </c>
      <c r="C562" s="989" t="s">
        <v>5338</v>
      </c>
      <c r="D562" s="434" t="s">
        <v>239</v>
      </c>
      <c r="E562" s="434" t="s">
        <v>559</v>
      </c>
      <c r="F562" s="990">
        <v>1.7190598E7</v>
      </c>
      <c r="G562" s="434" t="s">
        <v>103</v>
      </c>
      <c r="H562" s="989" t="s">
        <v>5339</v>
      </c>
      <c r="I562" s="1014" t="s">
        <v>5351</v>
      </c>
      <c r="J562" s="987"/>
      <c r="K562" s="436" t="s">
        <v>243</v>
      </c>
      <c r="L562" s="436" t="s">
        <v>5341</v>
      </c>
      <c r="M562" s="436" t="s">
        <v>5342</v>
      </c>
      <c r="N562" s="987"/>
      <c r="O562" s="436" t="s">
        <v>62</v>
      </c>
      <c r="P562" s="995">
        <v>45412.0</v>
      </c>
      <c r="Q562" s="987"/>
      <c r="R562" s="987"/>
      <c r="S562" s="436" t="s">
        <v>62</v>
      </c>
      <c r="T562" s="987"/>
      <c r="U562" s="987"/>
      <c r="V562" s="987"/>
      <c r="W562" s="987"/>
      <c r="X562" s="987"/>
      <c r="Y562" s="987"/>
      <c r="Z562" s="987"/>
      <c r="AA562" s="986"/>
    </row>
    <row r="563" hidden="1">
      <c r="A563" s="995">
        <v>378.0</v>
      </c>
      <c r="B563" s="988">
        <v>44775.0</v>
      </c>
      <c r="C563" s="989" t="s">
        <v>5302</v>
      </c>
      <c r="D563" s="434" t="s">
        <v>918</v>
      </c>
      <c r="E563" s="434" t="s">
        <v>261</v>
      </c>
      <c r="F563" s="990">
        <v>1.635128E7</v>
      </c>
      <c r="G563" s="434" t="s">
        <v>32</v>
      </c>
      <c r="H563" s="989" t="s">
        <v>5352</v>
      </c>
      <c r="I563" s="989" t="s">
        <v>5317</v>
      </c>
      <c r="J563" s="987"/>
      <c r="K563" s="436" t="s">
        <v>278</v>
      </c>
      <c r="L563" s="436" t="s">
        <v>5353</v>
      </c>
      <c r="M563" s="436" t="s">
        <v>280</v>
      </c>
      <c r="N563" s="987"/>
      <c r="O563" s="987"/>
      <c r="P563" s="995">
        <v>44836.0</v>
      </c>
      <c r="Q563" s="987"/>
      <c r="R563" s="987"/>
      <c r="S563" s="987"/>
      <c r="T563" s="987"/>
      <c r="U563" s="987"/>
      <c r="V563" s="995">
        <v>44851.0</v>
      </c>
      <c r="W563" s="987"/>
      <c r="X563" s="987"/>
      <c r="Y563" s="987"/>
      <c r="Z563" s="987"/>
      <c r="AA563" s="986"/>
    </row>
    <row r="564" hidden="1">
      <c r="A564" s="995">
        <v>379.0</v>
      </c>
      <c r="B564" s="988">
        <v>44791.0</v>
      </c>
      <c r="C564" s="989" t="s">
        <v>5346</v>
      </c>
      <c r="D564" s="434" t="s">
        <v>885</v>
      </c>
      <c r="E564" s="434" t="s">
        <v>49</v>
      </c>
      <c r="F564" s="434" t="s">
        <v>50</v>
      </c>
      <c r="G564" s="434" t="s">
        <v>32</v>
      </c>
      <c r="H564" s="989" t="s">
        <v>5354</v>
      </c>
      <c r="I564" s="989" t="s">
        <v>5355</v>
      </c>
      <c r="J564" s="987"/>
      <c r="K564" s="436" t="s">
        <v>1244</v>
      </c>
      <c r="L564" s="436" t="s">
        <v>5356</v>
      </c>
      <c r="M564" s="436" t="s">
        <v>1234</v>
      </c>
      <c r="N564" s="987"/>
      <c r="O564" s="987"/>
      <c r="P564" s="987"/>
      <c r="Q564" s="987"/>
      <c r="R564" s="987"/>
      <c r="S564" s="987"/>
      <c r="T564" s="987"/>
      <c r="U564" s="987"/>
      <c r="V564" s="987"/>
      <c r="W564" s="987"/>
      <c r="X564" s="987"/>
      <c r="Y564" s="987"/>
      <c r="Z564" s="987"/>
      <c r="AA564" s="986"/>
    </row>
    <row r="565" hidden="1">
      <c r="A565" s="995">
        <v>380.0</v>
      </c>
      <c r="B565" s="988">
        <v>44791.0</v>
      </c>
      <c r="C565" s="989" t="s">
        <v>5357</v>
      </c>
      <c r="D565" s="434" t="s">
        <v>5358</v>
      </c>
      <c r="E565" s="434" t="s">
        <v>5359</v>
      </c>
      <c r="F565" s="990">
        <v>1.6740043E7</v>
      </c>
      <c r="G565" s="434" t="s">
        <v>200</v>
      </c>
      <c r="H565" s="989" t="s">
        <v>5360</v>
      </c>
      <c r="I565" s="989" t="s">
        <v>5361</v>
      </c>
      <c r="J565" s="987"/>
      <c r="K565" s="436" t="s">
        <v>5362</v>
      </c>
      <c r="L565" s="436" t="s">
        <v>5363</v>
      </c>
      <c r="M565" s="436" t="s">
        <v>5364</v>
      </c>
      <c r="N565" s="987"/>
      <c r="O565" s="987"/>
      <c r="P565" s="987"/>
      <c r="Q565" s="987"/>
      <c r="R565" s="987"/>
      <c r="S565" s="987"/>
      <c r="T565" s="987"/>
      <c r="U565" s="987"/>
      <c r="V565" s="987"/>
      <c r="W565" s="987"/>
      <c r="X565" s="987"/>
      <c r="Y565" s="987"/>
      <c r="Z565" s="987"/>
      <c r="AA565" s="986"/>
    </row>
    <row r="566" hidden="1">
      <c r="A566" s="995">
        <v>383.0</v>
      </c>
      <c r="B566" s="988">
        <v>44802.0</v>
      </c>
      <c r="C566" s="989" t="s">
        <v>5365</v>
      </c>
      <c r="D566" s="434" t="s">
        <v>499</v>
      </c>
      <c r="E566" s="434" t="s">
        <v>1610</v>
      </c>
      <c r="F566" s="434" t="s">
        <v>50</v>
      </c>
      <c r="G566" s="434" t="s">
        <v>348</v>
      </c>
      <c r="H566" s="989" t="s">
        <v>5366</v>
      </c>
      <c r="I566" s="993" t="s">
        <v>5367</v>
      </c>
      <c r="J566" s="987"/>
      <c r="K566" s="436" t="s">
        <v>1613</v>
      </c>
      <c r="L566" s="436" t="s">
        <v>5368</v>
      </c>
      <c r="M566" s="436" t="s">
        <v>1669</v>
      </c>
      <c r="N566" s="987"/>
      <c r="O566" s="987"/>
      <c r="P566" s="987"/>
      <c r="Q566" s="987"/>
      <c r="R566" s="987"/>
      <c r="S566" s="987"/>
      <c r="T566" s="987"/>
      <c r="U566" s="987"/>
      <c r="V566" s="987"/>
      <c r="W566" s="987"/>
      <c r="X566" s="987"/>
      <c r="Y566" s="987"/>
      <c r="Z566" s="987"/>
      <c r="AA566" s="986"/>
    </row>
    <row r="567" hidden="1">
      <c r="A567" s="995">
        <v>385.0</v>
      </c>
      <c r="B567" s="996">
        <v>44809.0</v>
      </c>
      <c r="C567" s="984" t="s">
        <v>5369</v>
      </c>
      <c r="D567" s="436" t="s">
        <v>2804</v>
      </c>
      <c r="E567" s="436" t="s">
        <v>2218</v>
      </c>
      <c r="F567" s="436" t="s">
        <v>50</v>
      </c>
      <c r="G567" s="436" t="s">
        <v>348</v>
      </c>
      <c r="H567" s="984" t="s">
        <v>5370</v>
      </c>
      <c r="I567" s="997" t="s">
        <v>5371</v>
      </c>
      <c r="J567" s="987"/>
      <c r="K567" s="436" t="s">
        <v>5372</v>
      </c>
      <c r="L567" s="436" t="s">
        <v>4677</v>
      </c>
      <c r="M567" s="436" t="s">
        <v>5373</v>
      </c>
      <c r="N567" s="987"/>
      <c r="O567" s="987"/>
      <c r="P567" s="987"/>
      <c r="Q567" s="987"/>
      <c r="R567" s="987"/>
      <c r="S567" s="987"/>
      <c r="T567" s="987"/>
      <c r="U567" s="987"/>
      <c r="V567" s="987"/>
      <c r="W567" s="987"/>
      <c r="X567" s="987"/>
      <c r="Y567" s="987"/>
      <c r="Z567" s="987"/>
      <c r="AA567" s="986"/>
    </row>
    <row r="568" hidden="1">
      <c r="A568" s="995">
        <v>387.0</v>
      </c>
      <c r="B568" s="988">
        <v>44813.0</v>
      </c>
      <c r="C568" s="989" t="s">
        <v>5285</v>
      </c>
      <c r="D568" s="434" t="s">
        <v>417</v>
      </c>
      <c r="E568" s="434" t="s">
        <v>3043</v>
      </c>
      <c r="F568" s="434" t="s">
        <v>50</v>
      </c>
      <c r="G568" s="434" t="s">
        <v>200</v>
      </c>
      <c r="H568" s="989" t="s">
        <v>5374</v>
      </c>
      <c r="I568" s="989" t="s">
        <v>5375</v>
      </c>
      <c r="J568" s="987"/>
      <c r="K568" s="436" t="s">
        <v>265</v>
      </c>
      <c r="L568" s="436" t="s">
        <v>5376</v>
      </c>
      <c r="M568" s="436" t="s">
        <v>267</v>
      </c>
      <c r="N568" s="987"/>
      <c r="O568" s="987"/>
      <c r="P568" s="987"/>
      <c r="Q568" s="987"/>
      <c r="R568" s="987"/>
      <c r="S568" s="987"/>
      <c r="T568" s="987"/>
      <c r="U568" s="436" t="s">
        <v>62</v>
      </c>
      <c r="V568" s="995">
        <v>45125.0</v>
      </c>
      <c r="W568" s="987"/>
      <c r="X568" s="987"/>
      <c r="Y568" s="987"/>
      <c r="Z568" s="987"/>
      <c r="AA568" s="986"/>
    </row>
    <row r="569" hidden="1">
      <c r="A569" s="995">
        <v>388.0</v>
      </c>
      <c r="B569" s="988">
        <v>44810.0</v>
      </c>
      <c r="C569" s="989" t="s">
        <v>5309</v>
      </c>
      <c r="D569" s="434" t="s">
        <v>48</v>
      </c>
      <c r="E569" s="434" t="s">
        <v>49</v>
      </c>
      <c r="F569" s="990">
        <v>1.4961964E7</v>
      </c>
      <c r="G569" s="434" t="s">
        <v>51</v>
      </c>
      <c r="H569" s="989" t="s">
        <v>5377</v>
      </c>
      <c r="I569" s="989" t="s">
        <v>5378</v>
      </c>
      <c r="J569" s="987"/>
      <c r="K569" s="436" t="s">
        <v>143</v>
      </c>
      <c r="L569" s="436" t="s">
        <v>640</v>
      </c>
      <c r="M569" s="436" t="s">
        <v>610</v>
      </c>
      <c r="N569" s="987"/>
      <c r="O569" s="436" t="s">
        <v>62</v>
      </c>
      <c r="P569" s="995">
        <v>44813.0</v>
      </c>
      <c r="Q569" s="987"/>
      <c r="R569" s="987"/>
      <c r="S569" s="987"/>
      <c r="T569" s="987"/>
      <c r="U569" s="436" t="s">
        <v>62</v>
      </c>
      <c r="V569" s="995">
        <v>44818.0</v>
      </c>
      <c r="W569" s="987"/>
      <c r="X569" s="987"/>
      <c r="Y569" s="987"/>
      <c r="Z569" s="987"/>
      <c r="AA569" s="986"/>
    </row>
    <row r="570" hidden="1">
      <c r="A570" s="995">
        <v>389.0</v>
      </c>
      <c r="B570" s="988">
        <v>44813.0</v>
      </c>
      <c r="C570" s="989" t="s">
        <v>5331</v>
      </c>
      <c r="D570" s="434" t="s">
        <v>2939</v>
      </c>
      <c r="E570" s="434" t="s">
        <v>3022</v>
      </c>
      <c r="F570" s="434" t="s">
        <v>50</v>
      </c>
      <c r="G570" s="434" t="s">
        <v>200</v>
      </c>
      <c r="H570" s="989" t="s">
        <v>5379</v>
      </c>
      <c r="I570" s="989" t="s">
        <v>5380</v>
      </c>
      <c r="J570" s="987"/>
      <c r="K570" s="436" t="s">
        <v>5381</v>
      </c>
      <c r="L570" s="436" t="s">
        <v>5335</v>
      </c>
      <c r="M570" s="436" t="s">
        <v>2852</v>
      </c>
      <c r="N570" s="987"/>
      <c r="O570" s="987"/>
      <c r="P570" s="987"/>
      <c r="Q570" s="987"/>
      <c r="R570" s="987"/>
      <c r="S570" s="987"/>
      <c r="T570" s="987"/>
      <c r="U570" s="987"/>
      <c r="V570" s="987"/>
      <c r="W570" s="987"/>
      <c r="X570" s="987"/>
      <c r="Y570" s="987"/>
      <c r="Z570" s="987"/>
      <c r="AA570" s="986"/>
    </row>
    <row r="571" hidden="1">
      <c r="A571" s="995">
        <v>392.0</v>
      </c>
      <c r="B571" s="988">
        <v>44818.0</v>
      </c>
      <c r="C571" s="989" t="s">
        <v>5382</v>
      </c>
      <c r="D571" s="434" t="s">
        <v>4095</v>
      </c>
      <c r="E571" s="434" t="s">
        <v>49</v>
      </c>
      <c r="F571" s="434" t="s">
        <v>50</v>
      </c>
      <c r="G571" s="434" t="s">
        <v>120</v>
      </c>
      <c r="H571" s="989" t="s">
        <v>5383</v>
      </c>
      <c r="I571" s="989" t="s">
        <v>5384</v>
      </c>
      <c r="J571" s="987"/>
      <c r="K571" s="436" t="s">
        <v>5385</v>
      </c>
      <c r="L571" s="436" t="s">
        <v>5386</v>
      </c>
      <c r="M571" s="436" t="s">
        <v>1065</v>
      </c>
      <c r="N571" s="987"/>
      <c r="O571" s="987"/>
      <c r="P571" s="987"/>
      <c r="Q571" s="987"/>
      <c r="R571" s="987"/>
      <c r="S571" s="987"/>
      <c r="T571" s="987"/>
      <c r="U571" s="987"/>
      <c r="V571" s="987"/>
      <c r="W571" s="987"/>
      <c r="X571" s="987"/>
      <c r="Y571" s="987"/>
      <c r="Z571" s="987"/>
      <c r="AA571" s="986"/>
    </row>
    <row r="572" hidden="1">
      <c r="A572" s="995">
        <v>394.0</v>
      </c>
      <c r="B572" s="988">
        <v>44823.0</v>
      </c>
      <c r="C572" s="989" t="s">
        <v>3285</v>
      </c>
      <c r="D572" s="434" t="s">
        <v>205</v>
      </c>
      <c r="E572" s="434" t="s">
        <v>49</v>
      </c>
      <c r="F572" s="989" t="s">
        <v>5387</v>
      </c>
      <c r="G572" s="434" t="s">
        <v>51</v>
      </c>
      <c r="H572" s="989" t="s">
        <v>5388</v>
      </c>
      <c r="I572" s="993" t="s">
        <v>5389</v>
      </c>
      <c r="J572" s="987"/>
      <c r="K572" s="436" t="s">
        <v>3663</v>
      </c>
      <c r="L572" s="436" t="s">
        <v>3089</v>
      </c>
      <c r="M572" s="436" t="s">
        <v>1847</v>
      </c>
      <c r="N572" s="436" t="s">
        <v>5390</v>
      </c>
      <c r="O572" s="436" t="s">
        <v>62</v>
      </c>
      <c r="P572" s="995">
        <v>44832.0</v>
      </c>
      <c r="Q572" s="987"/>
      <c r="R572" s="987"/>
      <c r="S572" s="987"/>
      <c r="T572" s="987"/>
      <c r="U572" s="436" t="s">
        <v>62</v>
      </c>
      <c r="V572" s="995">
        <v>44832.0</v>
      </c>
      <c r="W572" s="987"/>
      <c r="X572" s="987"/>
      <c r="Y572" s="987"/>
      <c r="Z572" s="987"/>
      <c r="AA572" s="986"/>
    </row>
    <row r="573" hidden="1">
      <c r="A573" s="995">
        <v>395.0</v>
      </c>
      <c r="B573" s="988">
        <v>44824.0</v>
      </c>
      <c r="C573" s="989" t="s">
        <v>3285</v>
      </c>
      <c r="D573" s="434" t="s">
        <v>205</v>
      </c>
      <c r="E573" s="434" t="s">
        <v>49</v>
      </c>
      <c r="F573" s="990">
        <v>1.8240292E7</v>
      </c>
      <c r="G573" s="434" t="s">
        <v>51</v>
      </c>
      <c r="H573" s="989" t="s">
        <v>3242</v>
      </c>
      <c r="I573" s="989" t="s">
        <v>3242</v>
      </c>
      <c r="J573" s="987"/>
      <c r="K573" s="436" t="s">
        <v>3663</v>
      </c>
      <c r="L573" s="436" t="s">
        <v>3089</v>
      </c>
      <c r="M573" s="436" t="s">
        <v>1847</v>
      </c>
      <c r="N573" s="436" t="s">
        <v>5390</v>
      </c>
      <c r="O573" s="436" t="s">
        <v>62</v>
      </c>
      <c r="P573" s="995">
        <v>44832.0</v>
      </c>
      <c r="Q573" s="987"/>
      <c r="R573" s="987"/>
      <c r="S573" s="987"/>
      <c r="T573" s="987"/>
      <c r="U573" s="436" t="s">
        <v>62</v>
      </c>
      <c r="V573" s="995">
        <v>44832.0</v>
      </c>
      <c r="W573" s="987"/>
      <c r="X573" s="987"/>
      <c r="Y573" s="987"/>
      <c r="Z573" s="987"/>
      <c r="AA573" s="986"/>
    </row>
    <row r="574" hidden="1">
      <c r="A574" s="995">
        <v>396.0</v>
      </c>
      <c r="B574" s="988">
        <v>44824.0</v>
      </c>
      <c r="C574" s="989" t="s">
        <v>3285</v>
      </c>
      <c r="D574" s="434" t="s">
        <v>205</v>
      </c>
      <c r="E574" s="434" t="s">
        <v>49</v>
      </c>
      <c r="F574" s="990">
        <v>1.8240293E7</v>
      </c>
      <c r="G574" s="434" t="s">
        <v>51</v>
      </c>
      <c r="H574" s="989" t="s">
        <v>5391</v>
      </c>
      <c r="I574" s="989" t="s">
        <v>3242</v>
      </c>
      <c r="J574" s="987"/>
      <c r="K574" s="436" t="s">
        <v>3663</v>
      </c>
      <c r="L574" s="436" t="s">
        <v>3089</v>
      </c>
      <c r="M574" s="436" t="s">
        <v>1847</v>
      </c>
      <c r="N574" s="436" t="s">
        <v>5390</v>
      </c>
      <c r="O574" s="436" t="s">
        <v>62</v>
      </c>
      <c r="P574" s="995">
        <v>44832.0</v>
      </c>
      <c r="Q574" s="987"/>
      <c r="R574" s="987"/>
      <c r="S574" s="987"/>
      <c r="T574" s="987"/>
      <c r="U574" s="436" t="s">
        <v>62</v>
      </c>
      <c r="V574" s="995">
        <v>44832.0</v>
      </c>
      <c r="W574" s="987"/>
      <c r="X574" s="987"/>
      <c r="Y574" s="987"/>
      <c r="Z574" s="987"/>
      <c r="AA574" s="986"/>
    </row>
    <row r="575" hidden="1">
      <c r="A575" s="995">
        <v>397.0</v>
      </c>
      <c r="B575" s="988">
        <v>44824.0</v>
      </c>
      <c r="C575" s="989" t="s">
        <v>3285</v>
      </c>
      <c r="D575" s="434" t="s">
        <v>205</v>
      </c>
      <c r="E575" s="434" t="s">
        <v>49</v>
      </c>
      <c r="F575" s="990">
        <v>1.8240299E7</v>
      </c>
      <c r="G575" s="434" t="s">
        <v>51</v>
      </c>
      <c r="H575" s="989" t="s">
        <v>3242</v>
      </c>
      <c r="I575" s="989" t="s">
        <v>3242</v>
      </c>
      <c r="J575" s="987"/>
      <c r="K575" s="436" t="s">
        <v>3663</v>
      </c>
      <c r="L575" s="436" t="s">
        <v>3089</v>
      </c>
      <c r="M575" s="436" t="s">
        <v>1847</v>
      </c>
      <c r="N575" s="436" t="s">
        <v>5390</v>
      </c>
      <c r="O575" s="436" t="s">
        <v>62</v>
      </c>
      <c r="P575" s="995">
        <v>44832.0</v>
      </c>
      <c r="Q575" s="987"/>
      <c r="R575" s="987"/>
      <c r="S575" s="987"/>
      <c r="T575" s="987"/>
      <c r="U575" s="436" t="s">
        <v>62</v>
      </c>
      <c r="V575" s="995">
        <v>44832.0</v>
      </c>
      <c r="W575" s="987"/>
      <c r="X575" s="987"/>
      <c r="Y575" s="987"/>
      <c r="Z575" s="987"/>
      <c r="AA575" s="986"/>
    </row>
    <row r="576" hidden="1">
      <c r="A576" s="995">
        <v>398.0</v>
      </c>
      <c r="B576" s="988">
        <v>44827.0</v>
      </c>
      <c r="C576" s="989" t="s">
        <v>5392</v>
      </c>
      <c r="D576" s="434" t="s">
        <v>482</v>
      </c>
      <c r="E576" s="434" t="s">
        <v>483</v>
      </c>
      <c r="F576" s="990">
        <v>1.6010141E7</v>
      </c>
      <c r="G576" s="434" t="s">
        <v>51</v>
      </c>
      <c r="H576" s="989" t="s">
        <v>5393</v>
      </c>
      <c r="I576" s="989" t="s">
        <v>5394</v>
      </c>
      <c r="J576" s="987"/>
      <c r="K576" s="436" t="s">
        <v>486</v>
      </c>
      <c r="L576" s="436" t="s">
        <v>1868</v>
      </c>
      <c r="M576" s="436" t="s">
        <v>5395</v>
      </c>
      <c r="N576" s="987"/>
      <c r="O576" s="436" t="s">
        <v>62</v>
      </c>
      <c r="P576" s="995">
        <v>44832.0</v>
      </c>
      <c r="Q576" s="987"/>
      <c r="R576" s="987"/>
      <c r="S576" s="987"/>
      <c r="T576" s="987"/>
      <c r="U576" s="436" t="s">
        <v>62</v>
      </c>
      <c r="V576" s="995">
        <v>44832.0</v>
      </c>
      <c r="W576" s="987"/>
      <c r="X576" s="987"/>
      <c r="Y576" s="987"/>
      <c r="Z576" s="987"/>
      <c r="AA576" s="986"/>
    </row>
    <row r="577" hidden="1">
      <c r="A577" s="995">
        <v>399.0</v>
      </c>
      <c r="B577" s="988">
        <v>44827.0</v>
      </c>
      <c r="C577" s="989" t="s">
        <v>5392</v>
      </c>
      <c r="D577" s="434" t="s">
        <v>482</v>
      </c>
      <c r="E577" s="434" t="s">
        <v>483</v>
      </c>
      <c r="F577" s="990">
        <v>1.6010142E7</v>
      </c>
      <c r="G577" s="434" t="s">
        <v>51</v>
      </c>
      <c r="H577" s="989" t="s">
        <v>5396</v>
      </c>
      <c r="I577" s="994"/>
      <c r="J577" s="987"/>
      <c r="K577" s="436" t="s">
        <v>486</v>
      </c>
      <c r="L577" s="436" t="s">
        <v>2411</v>
      </c>
      <c r="M577" s="436" t="s">
        <v>5395</v>
      </c>
      <c r="N577" s="987"/>
      <c r="O577" s="436" t="s">
        <v>62</v>
      </c>
      <c r="P577" s="995">
        <v>44832.0</v>
      </c>
      <c r="Q577" s="987"/>
      <c r="R577" s="987"/>
      <c r="S577" s="987"/>
      <c r="T577" s="987"/>
      <c r="U577" s="436" t="s">
        <v>62</v>
      </c>
      <c r="V577" s="995">
        <v>44832.0</v>
      </c>
      <c r="W577" s="987"/>
      <c r="X577" s="987"/>
      <c r="Y577" s="987"/>
      <c r="Z577" s="987"/>
      <c r="AA577" s="986"/>
    </row>
    <row r="578" hidden="1">
      <c r="A578" s="995">
        <v>400.0</v>
      </c>
      <c r="B578" s="988">
        <v>44827.0</v>
      </c>
      <c r="C578" s="989" t="s">
        <v>5392</v>
      </c>
      <c r="D578" s="434" t="s">
        <v>482</v>
      </c>
      <c r="E578" s="434" t="s">
        <v>483</v>
      </c>
      <c r="F578" s="990">
        <v>1.6010143E7</v>
      </c>
      <c r="G578" s="434" t="s">
        <v>51</v>
      </c>
      <c r="H578" s="989" t="s">
        <v>5393</v>
      </c>
      <c r="I578" s="994"/>
      <c r="J578" s="987"/>
      <c r="K578" s="436" t="s">
        <v>486</v>
      </c>
      <c r="L578" s="436" t="s">
        <v>1868</v>
      </c>
      <c r="M578" s="436" t="s">
        <v>5395</v>
      </c>
      <c r="N578" s="987"/>
      <c r="O578" s="436" t="s">
        <v>62</v>
      </c>
      <c r="P578" s="995">
        <v>44832.0</v>
      </c>
      <c r="Q578" s="987"/>
      <c r="R578" s="987"/>
      <c r="S578" s="987"/>
      <c r="T578" s="987"/>
      <c r="U578" s="436" t="s">
        <v>62</v>
      </c>
      <c r="V578" s="995">
        <v>44832.0</v>
      </c>
      <c r="W578" s="987"/>
      <c r="X578" s="987"/>
      <c r="Y578" s="987"/>
      <c r="Z578" s="987"/>
      <c r="AA578" s="986"/>
    </row>
    <row r="579" hidden="1">
      <c r="A579" s="995">
        <v>401.0</v>
      </c>
      <c r="B579" s="988">
        <v>44827.0</v>
      </c>
      <c r="C579" s="989" t="s">
        <v>5392</v>
      </c>
      <c r="D579" s="434" t="s">
        <v>482</v>
      </c>
      <c r="E579" s="434" t="s">
        <v>483</v>
      </c>
      <c r="F579" s="990">
        <v>1.6010144E7</v>
      </c>
      <c r="G579" s="434" t="s">
        <v>51</v>
      </c>
      <c r="H579" s="989" t="s">
        <v>5393</v>
      </c>
      <c r="I579" s="994"/>
      <c r="J579" s="987"/>
      <c r="K579" s="436" t="s">
        <v>486</v>
      </c>
      <c r="L579" s="436" t="s">
        <v>1868</v>
      </c>
      <c r="M579" s="436" t="s">
        <v>5395</v>
      </c>
      <c r="N579" s="987"/>
      <c r="O579" s="436" t="s">
        <v>62</v>
      </c>
      <c r="P579" s="995">
        <v>44832.0</v>
      </c>
      <c r="Q579" s="987"/>
      <c r="R579" s="987"/>
      <c r="S579" s="987"/>
      <c r="T579" s="987"/>
      <c r="U579" s="436" t="s">
        <v>62</v>
      </c>
      <c r="V579" s="995">
        <v>44832.0</v>
      </c>
      <c r="W579" s="987"/>
      <c r="X579" s="987"/>
      <c r="Y579" s="987"/>
      <c r="Z579" s="987"/>
      <c r="AA579" s="986"/>
    </row>
    <row r="580" hidden="1">
      <c r="A580" s="995">
        <v>403.0</v>
      </c>
      <c r="B580" s="988">
        <v>44831.0</v>
      </c>
      <c r="C580" s="989" t="s">
        <v>5272</v>
      </c>
      <c r="D580" s="434" t="s">
        <v>5273</v>
      </c>
      <c r="E580" s="434" t="s">
        <v>1516</v>
      </c>
      <c r="F580" s="990">
        <v>1.5320494E7</v>
      </c>
      <c r="G580" s="434" t="s">
        <v>200</v>
      </c>
      <c r="H580" s="989" t="s">
        <v>5379</v>
      </c>
      <c r="I580" s="989" t="s">
        <v>5397</v>
      </c>
      <c r="J580" s="987"/>
      <c r="K580" s="436" t="s">
        <v>1519</v>
      </c>
      <c r="L580" s="436" t="s">
        <v>5398</v>
      </c>
      <c r="M580" s="436" t="s">
        <v>5399</v>
      </c>
      <c r="N580" s="987"/>
      <c r="O580" s="987"/>
      <c r="P580" s="987"/>
      <c r="Q580" s="987"/>
      <c r="R580" s="987"/>
      <c r="S580" s="987"/>
      <c r="T580" s="987"/>
      <c r="U580" s="987"/>
      <c r="V580" s="987"/>
      <c r="W580" s="987"/>
      <c r="X580" s="987"/>
      <c r="Y580" s="987"/>
      <c r="Z580" s="987"/>
      <c r="AA580" s="986"/>
    </row>
    <row r="581" hidden="1">
      <c r="A581" s="995">
        <v>404.0</v>
      </c>
      <c r="B581" s="988">
        <v>44833.0</v>
      </c>
      <c r="C581" s="989" t="s">
        <v>5400</v>
      </c>
      <c r="D581" s="434" t="s">
        <v>119</v>
      </c>
      <c r="E581" s="434" t="s">
        <v>49</v>
      </c>
      <c r="F581" s="434" t="s">
        <v>50</v>
      </c>
      <c r="G581" s="434" t="s">
        <v>120</v>
      </c>
      <c r="H581" s="989" t="s">
        <v>5401</v>
      </c>
      <c r="I581" s="993" t="s">
        <v>5402</v>
      </c>
      <c r="J581" s="987"/>
      <c r="K581" s="436" t="s">
        <v>370</v>
      </c>
      <c r="L581" s="436" t="s">
        <v>5002</v>
      </c>
      <c r="M581" s="436" t="s">
        <v>890</v>
      </c>
      <c r="N581" s="987"/>
      <c r="O581" s="987"/>
      <c r="P581" s="987"/>
      <c r="Q581" s="987"/>
      <c r="R581" s="987"/>
      <c r="S581" s="987"/>
      <c r="T581" s="987"/>
      <c r="U581" s="987"/>
      <c r="V581" s="987"/>
      <c r="W581" s="987"/>
      <c r="X581" s="987"/>
      <c r="Y581" s="987"/>
      <c r="Z581" s="987"/>
      <c r="AA581" s="986"/>
    </row>
    <row r="582" hidden="1">
      <c r="A582" s="995">
        <v>405.0</v>
      </c>
      <c r="B582" s="996">
        <v>44748.0</v>
      </c>
      <c r="C582" s="984" t="s">
        <v>5343</v>
      </c>
      <c r="D582" s="436" t="s">
        <v>3326</v>
      </c>
      <c r="E582" s="436" t="s">
        <v>295</v>
      </c>
      <c r="F582" s="436" t="s">
        <v>50</v>
      </c>
      <c r="G582" s="436" t="s">
        <v>51</v>
      </c>
      <c r="H582" s="984" t="s">
        <v>5403</v>
      </c>
      <c r="I582" s="997" t="s">
        <v>5404</v>
      </c>
      <c r="J582" s="987"/>
      <c r="K582" s="436" t="s">
        <v>3329</v>
      </c>
      <c r="L582" s="436" t="s">
        <v>5405</v>
      </c>
      <c r="M582" s="436" t="s">
        <v>5406</v>
      </c>
      <c r="N582" s="436" t="s">
        <v>5407</v>
      </c>
      <c r="O582" s="987"/>
      <c r="P582" s="987"/>
      <c r="Q582" s="987"/>
      <c r="R582" s="987"/>
      <c r="S582" s="987"/>
      <c r="T582" s="987"/>
      <c r="U582" s="987"/>
      <c r="V582" s="987"/>
      <c r="W582" s="987"/>
      <c r="X582" s="987"/>
      <c r="Y582" s="987"/>
      <c r="Z582" s="987"/>
      <c r="AA582" s="986"/>
    </row>
    <row r="583" hidden="1">
      <c r="A583" s="995">
        <v>411.0</v>
      </c>
      <c r="B583" s="991">
        <v>44852.0</v>
      </c>
      <c r="C583" s="989" t="s">
        <v>5408</v>
      </c>
      <c r="D583" s="434" t="s">
        <v>119</v>
      </c>
      <c r="E583" s="434" t="s">
        <v>49</v>
      </c>
      <c r="F583" s="434" t="s">
        <v>50</v>
      </c>
      <c r="G583" s="434" t="s">
        <v>120</v>
      </c>
      <c r="H583" s="989" t="s">
        <v>5409</v>
      </c>
      <c r="I583" s="989" t="s">
        <v>5410</v>
      </c>
      <c r="J583" s="987"/>
      <c r="K583" s="436" t="s">
        <v>370</v>
      </c>
      <c r="L583" s="987"/>
      <c r="M583" s="987"/>
      <c r="N583" s="987"/>
      <c r="O583" s="436" t="s">
        <v>62</v>
      </c>
      <c r="P583" s="987"/>
      <c r="Q583" s="987"/>
      <c r="R583" s="987"/>
      <c r="S583" s="987"/>
      <c r="T583" s="987"/>
      <c r="U583" s="436" t="s">
        <v>62</v>
      </c>
      <c r="V583" s="995">
        <v>45110.0</v>
      </c>
      <c r="W583" s="987"/>
      <c r="X583" s="987"/>
      <c r="Y583" s="987"/>
      <c r="Z583" s="987"/>
      <c r="AA583" s="986"/>
    </row>
    <row r="584" hidden="1">
      <c r="A584" s="995">
        <v>412.0</v>
      </c>
      <c r="B584" s="991">
        <v>44853.0</v>
      </c>
      <c r="C584" s="989" t="s">
        <v>5411</v>
      </c>
      <c r="D584" s="434" t="s">
        <v>2572</v>
      </c>
      <c r="E584" s="434" t="s">
        <v>383</v>
      </c>
      <c r="F584" s="434" t="s">
        <v>50</v>
      </c>
      <c r="G584" s="434" t="s">
        <v>348</v>
      </c>
      <c r="H584" s="989" t="s">
        <v>5412</v>
      </c>
      <c r="I584" s="993" t="s">
        <v>5413</v>
      </c>
      <c r="J584" s="987"/>
      <c r="K584" s="436" t="s">
        <v>5414</v>
      </c>
      <c r="L584" s="436" t="s">
        <v>5415</v>
      </c>
      <c r="M584" s="436" t="s">
        <v>5416</v>
      </c>
      <c r="N584" s="987"/>
      <c r="O584" s="987"/>
      <c r="P584" s="987"/>
      <c r="Q584" s="987"/>
      <c r="R584" s="987"/>
      <c r="S584" s="987"/>
      <c r="T584" s="987"/>
      <c r="U584" s="987"/>
      <c r="V584" s="987"/>
      <c r="W584" s="987"/>
      <c r="X584" s="987"/>
      <c r="Y584" s="987"/>
      <c r="Z584" s="987"/>
      <c r="AA584" s="986"/>
    </row>
    <row r="585" hidden="1">
      <c r="A585" s="995">
        <v>413.0</v>
      </c>
      <c r="B585" s="991">
        <v>44852.0</v>
      </c>
      <c r="C585" s="989" t="s">
        <v>5417</v>
      </c>
      <c r="D585" s="434" t="s">
        <v>89</v>
      </c>
      <c r="E585" s="434" t="s">
        <v>2536</v>
      </c>
      <c r="F585" s="990">
        <v>1.5830978E7</v>
      </c>
      <c r="G585" s="434" t="s">
        <v>51</v>
      </c>
      <c r="H585" s="989" t="s">
        <v>5418</v>
      </c>
      <c r="I585" s="989" t="s">
        <v>5419</v>
      </c>
      <c r="J585" s="987"/>
      <c r="K585" s="436" t="s">
        <v>92</v>
      </c>
      <c r="L585" s="436" t="s">
        <v>5420</v>
      </c>
      <c r="M585" s="987"/>
      <c r="N585" s="987"/>
      <c r="O585" s="436" t="s">
        <v>62</v>
      </c>
      <c r="P585" s="995">
        <v>45092.0</v>
      </c>
      <c r="Q585" s="987"/>
      <c r="R585" s="987"/>
      <c r="S585" s="987"/>
      <c r="T585" s="987"/>
      <c r="U585" s="987"/>
      <c r="V585" s="987"/>
      <c r="W585" s="987"/>
      <c r="X585" s="987"/>
      <c r="Y585" s="987"/>
      <c r="Z585" s="987"/>
      <c r="AA585" s="986"/>
    </row>
    <row r="586" hidden="1">
      <c r="A586" s="995">
        <v>414.0</v>
      </c>
      <c r="B586" s="991">
        <v>44853.0</v>
      </c>
      <c r="C586" s="989" t="s">
        <v>3285</v>
      </c>
      <c r="D586" s="434" t="s">
        <v>205</v>
      </c>
      <c r="E586" s="434" t="s">
        <v>49</v>
      </c>
      <c r="F586" s="990">
        <v>1.824031E7</v>
      </c>
      <c r="G586" s="434" t="s">
        <v>51</v>
      </c>
      <c r="H586" s="989" t="s">
        <v>5421</v>
      </c>
      <c r="I586" s="989" t="s">
        <v>5422</v>
      </c>
      <c r="J586" s="987"/>
      <c r="K586" s="436" t="s">
        <v>3663</v>
      </c>
      <c r="L586" s="436" t="s">
        <v>5423</v>
      </c>
      <c r="M586" s="436" t="s">
        <v>5424</v>
      </c>
      <c r="N586" s="436" t="s">
        <v>5425</v>
      </c>
      <c r="O586" s="436" t="s">
        <v>62</v>
      </c>
      <c r="P586" s="995">
        <v>44853.0</v>
      </c>
      <c r="Q586" s="987"/>
      <c r="R586" s="987"/>
      <c r="S586" s="987"/>
      <c r="T586" s="987"/>
      <c r="U586" s="987"/>
      <c r="V586" s="987"/>
      <c r="W586" s="987"/>
      <c r="X586" s="987"/>
      <c r="Y586" s="987"/>
      <c r="Z586" s="987"/>
      <c r="AA586" s="986"/>
    </row>
    <row r="587" hidden="1">
      <c r="A587" s="995">
        <v>416.0</v>
      </c>
      <c r="B587" s="991">
        <v>44854.0</v>
      </c>
      <c r="C587" s="989" t="s">
        <v>5426</v>
      </c>
      <c r="D587" s="434" t="s">
        <v>2035</v>
      </c>
      <c r="E587" s="434" t="s">
        <v>2536</v>
      </c>
      <c r="F587" s="990">
        <v>1.6600682E7</v>
      </c>
      <c r="G587" s="434" t="s">
        <v>51</v>
      </c>
      <c r="H587" s="989" t="s">
        <v>5427</v>
      </c>
      <c r="I587" s="989" t="s">
        <v>5428</v>
      </c>
      <c r="J587" s="987"/>
      <c r="K587" s="436" t="s">
        <v>2038</v>
      </c>
      <c r="L587" s="436" t="s">
        <v>965</v>
      </c>
      <c r="M587" s="436" t="s">
        <v>610</v>
      </c>
      <c r="N587" s="987"/>
      <c r="O587" s="436" t="s">
        <v>62</v>
      </c>
      <c r="P587" s="995">
        <v>44854.0</v>
      </c>
      <c r="Q587" s="987"/>
      <c r="R587" s="987"/>
      <c r="S587" s="987"/>
      <c r="T587" s="987"/>
      <c r="U587" s="436" t="s">
        <v>62</v>
      </c>
      <c r="V587" s="995">
        <v>44965.0</v>
      </c>
      <c r="W587" s="987"/>
      <c r="X587" s="987"/>
      <c r="Y587" s="987"/>
      <c r="Z587" s="987"/>
      <c r="AA587" s="986"/>
    </row>
    <row r="588" hidden="1">
      <c r="A588" s="995">
        <v>417.0</v>
      </c>
      <c r="B588" s="991">
        <v>44854.0</v>
      </c>
      <c r="C588" s="989" t="s">
        <v>5429</v>
      </c>
      <c r="D588" s="434" t="s">
        <v>918</v>
      </c>
      <c r="E588" s="434" t="s">
        <v>261</v>
      </c>
      <c r="F588" s="990">
        <v>1.6351313E7</v>
      </c>
      <c r="G588" s="434" t="s">
        <v>32</v>
      </c>
      <c r="H588" s="989" t="s">
        <v>5430</v>
      </c>
      <c r="I588" s="989" t="s">
        <v>5431</v>
      </c>
      <c r="J588" s="987"/>
      <c r="K588" s="436" t="s">
        <v>278</v>
      </c>
      <c r="L588" s="436" t="s">
        <v>5432</v>
      </c>
      <c r="M588" s="436" t="s">
        <v>280</v>
      </c>
      <c r="N588" s="987"/>
      <c r="O588" s="436" t="s">
        <v>62</v>
      </c>
      <c r="P588" s="995">
        <v>44931.0</v>
      </c>
      <c r="Q588" s="987"/>
      <c r="R588" s="987"/>
      <c r="S588" s="987"/>
      <c r="T588" s="987"/>
      <c r="U588" s="436" t="s">
        <v>62</v>
      </c>
      <c r="V588" s="995">
        <v>44974.0</v>
      </c>
      <c r="W588" s="987"/>
      <c r="X588" s="987"/>
      <c r="Y588" s="987"/>
      <c r="Z588" s="987"/>
      <c r="AA588" s="986"/>
    </row>
    <row r="589" hidden="1">
      <c r="A589" s="995">
        <v>419.0</v>
      </c>
      <c r="B589" s="1006">
        <v>44858.0</v>
      </c>
      <c r="C589" s="984" t="s">
        <v>5433</v>
      </c>
      <c r="D589" s="436" t="s">
        <v>819</v>
      </c>
      <c r="E589" s="436" t="s">
        <v>5434</v>
      </c>
      <c r="F589" s="995">
        <v>1.6041923E7</v>
      </c>
      <c r="G589" s="436" t="s">
        <v>200</v>
      </c>
      <c r="H589" s="984" t="s">
        <v>5435</v>
      </c>
      <c r="I589" s="997" t="s">
        <v>5436</v>
      </c>
      <c r="J589" s="987"/>
      <c r="K589" s="436" t="s">
        <v>823</v>
      </c>
      <c r="L589" s="987"/>
      <c r="M589" s="987"/>
      <c r="N589" s="987"/>
      <c r="O589" s="987"/>
      <c r="P589" s="987"/>
      <c r="Q589" s="987"/>
      <c r="R589" s="987"/>
      <c r="S589" s="987"/>
      <c r="T589" s="987"/>
      <c r="U589" s="987"/>
      <c r="V589" s="987"/>
      <c r="W589" s="987"/>
      <c r="X589" s="987"/>
      <c r="Y589" s="987"/>
      <c r="Z589" s="987"/>
      <c r="AA589" s="986"/>
    </row>
    <row r="590" hidden="1">
      <c r="A590" s="995">
        <v>420.0</v>
      </c>
      <c r="B590" s="991">
        <v>44855.0</v>
      </c>
      <c r="C590" s="989" t="s">
        <v>5437</v>
      </c>
      <c r="D590" s="434" t="s">
        <v>5438</v>
      </c>
      <c r="E590" s="434" t="s">
        <v>5439</v>
      </c>
      <c r="F590" s="990">
        <v>1.4030374E7</v>
      </c>
      <c r="G590" s="434" t="s">
        <v>200</v>
      </c>
      <c r="H590" s="989" t="s">
        <v>5440</v>
      </c>
      <c r="I590" s="989" t="s">
        <v>5441</v>
      </c>
      <c r="J590" s="987"/>
      <c r="K590" s="436" t="s">
        <v>1970</v>
      </c>
      <c r="L590" s="436" t="s">
        <v>958</v>
      </c>
      <c r="M590" s="436" t="s">
        <v>5442</v>
      </c>
      <c r="N590" s="987"/>
      <c r="O590" s="436" t="s">
        <v>62</v>
      </c>
      <c r="P590" s="995">
        <v>44859.0</v>
      </c>
      <c r="Q590" s="987"/>
      <c r="R590" s="987"/>
      <c r="S590" s="987"/>
      <c r="T590" s="987"/>
      <c r="U590" s="987"/>
      <c r="V590" s="987"/>
      <c r="W590" s="987"/>
      <c r="X590" s="987"/>
      <c r="Y590" s="987"/>
      <c r="Z590" s="987"/>
      <c r="AA590" s="986"/>
    </row>
    <row r="591" hidden="1">
      <c r="A591" s="995">
        <v>421.0</v>
      </c>
      <c r="B591" s="991">
        <v>44860.0</v>
      </c>
      <c r="C591" s="989" t="s">
        <v>5443</v>
      </c>
      <c r="D591" s="434" t="s">
        <v>4612</v>
      </c>
      <c r="E591" s="434" t="s">
        <v>5444</v>
      </c>
      <c r="F591" s="434" t="s">
        <v>50</v>
      </c>
      <c r="G591" s="434" t="s">
        <v>3857</v>
      </c>
      <c r="H591" s="989" t="s">
        <v>5445</v>
      </c>
      <c r="I591" s="989" t="s">
        <v>5446</v>
      </c>
      <c r="J591" s="987"/>
      <c r="K591" s="987"/>
      <c r="L591" s="987"/>
      <c r="M591" s="987"/>
      <c r="N591" s="987"/>
      <c r="O591" s="987"/>
      <c r="P591" s="987"/>
      <c r="Q591" s="987"/>
      <c r="R591" s="987"/>
      <c r="S591" s="987"/>
      <c r="T591" s="987"/>
      <c r="U591" s="987"/>
      <c r="V591" s="987"/>
      <c r="W591" s="987"/>
      <c r="X591" s="987"/>
      <c r="Y591" s="987"/>
      <c r="Z591" s="987"/>
      <c r="AA591" s="986"/>
    </row>
    <row r="592" hidden="1">
      <c r="A592" s="995">
        <v>423.0</v>
      </c>
      <c r="B592" s="988">
        <v>44869.0</v>
      </c>
      <c r="C592" s="989" t="s">
        <v>5447</v>
      </c>
      <c r="D592" s="434" t="s">
        <v>4268</v>
      </c>
      <c r="E592" s="434" t="s">
        <v>160</v>
      </c>
      <c r="F592" s="990">
        <v>1.4850784E7</v>
      </c>
      <c r="G592" s="434" t="s">
        <v>51</v>
      </c>
      <c r="H592" s="989" t="s">
        <v>5448</v>
      </c>
      <c r="I592" s="989" t="s">
        <v>5449</v>
      </c>
      <c r="J592" s="987"/>
      <c r="K592" s="436" t="s">
        <v>4913</v>
      </c>
      <c r="L592" s="436" t="s">
        <v>5099</v>
      </c>
      <c r="M592" s="436" t="s">
        <v>5100</v>
      </c>
      <c r="N592" s="436" t="s">
        <v>5101</v>
      </c>
      <c r="O592" s="436" t="s">
        <v>62</v>
      </c>
      <c r="P592" s="987"/>
      <c r="Q592" s="987"/>
      <c r="R592" s="987"/>
      <c r="S592" s="987"/>
      <c r="T592" s="987"/>
      <c r="U592" s="987"/>
      <c r="V592" s="987"/>
      <c r="W592" s="987"/>
      <c r="X592" s="987"/>
      <c r="Y592" s="987"/>
      <c r="Z592" s="987"/>
      <c r="AA592" s="986"/>
    </row>
    <row r="593" hidden="1">
      <c r="A593" s="995">
        <v>424.0</v>
      </c>
      <c r="B593" s="988">
        <v>44869.0</v>
      </c>
      <c r="C593" s="989" t="s">
        <v>5450</v>
      </c>
      <c r="D593" s="434" t="s">
        <v>4836</v>
      </c>
      <c r="E593" s="434" t="s">
        <v>4837</v>
      </c>
      <c r="F593" s="990">
        <v>1.765019E7</v>
      </c>
      <c r="G593" s="434" t="s">
        <v>200</v>
      </c>
      <c r="H593" s="989" t="s">
        <v>5451</v>
      </c>
      <c r="I593" s="989" t="s">
        <v>5452</v>
      </c>
      <c r="J593" s="987"/>
      <c r="K593" s="436" t="s">
        <v>4840</v>
      </c>
      <c r="L593" s="436" t="s">
        <v>285</v>
      </c>
      <c r="M593" s="436" t="s">
        <v>4841</v>
      </c>
      <c r="N593" s="987"/>
      <c r="O593" s="436" t="s">
        <v>62</v>
      </c>
      <c r="P593" s="995">
        <v>44869.0</v>
      </c>
      <c r="Q593" s="987"/>
      <c r="R593" s="987"/>
      <c r="S593" s="987"/>
      <c r="T593" s="987"/>
      <c r="U593" s="987"/>
      <c r="V593" s="987"/>
      <c r="W593" s="987"/>
      <c r="X593" s="987"/>
      <c r="Y593" s="987"/>
      <c r="Z593" s="987"/>
      <c r="AA593" s="986"/>
    </row>
    <row r="594" hidden="1">
      <c r="A594" s="995">
        <v>425.0</v>
      </c>
      <c r="B594" s="991">
        <v>44855.0</v>
      </c>
      <c r="C594" s="989" t="s">
        <v>5429</v>
      </c>
      <c r="D594" s="434" t="s">
        <v>918</v>
      </c>
      <c r="E594" s="434" t="s">
        <v>261</v>
      </c>
      <c r="F594" s="990">
        <v>1.6351318E7</v>
      </c>
      <c r="G594" s="434" t="s">
        <v>32</v>
      </c>
      <c r="H594" s="989" t="s">
        <v>5453</v>
      </c>
      <c r="I594" s="989" t="s">
        <v>5454</v>
      </c>
      <c r="J594" s="987"/>
      <c r="K594" s="436" t="s">
        <v>278</v>
      </c>
      <c r="L594" s="436" t="s">
        <v>279</v>
      </c>
      <c r="M594" s="436" t="s">
        <v>280</v>
      </c>
      <c r="N594" s="987"/>
      <c r="O594" s="436" t="s">
        <v>62</v>
      </c>
      <c r="P594" s="995">
        <v>44931.0</v>
      </c>
      <c r="Q594" s="987"/>
      <c r="R594" s="987"/>
      <c r="S594" s="987"/>
      <c r="T594" s="987"/>
      <c r="U594" s="436" t="s">
        <v>62</v>
      </c>
      <c r="V594" s="995">
        <v>44974.0</v>
      </c>
      <c r="W594" s="987"/>
      <c r="X594" s="987"/>
      <c r="Y594" s="987"/>
      <c r="Z594" s="987"/>
      <c r="AA594" s="986"/>
    </row>
    <row r="595" hidden="1">
      <c r="A595" s="995">
        <v>426.0</v>
      </c>
      <c r="B595" s="988">
        <v>44873.0</v>
      </c>
      <c r="C595" s="989" t="s">
        <v>5455</v>
      </c>
      <c r="D595" s="434" t="s">
        <v>4566</v>
      </c>
      <c r="E595" s="434" t="s">
        <v>466</v>
      </c>
      <c r="F595" s="990">
        <v>1.5430565E7</v>
      </c>
      <c r="G595" s="434" t="s">
        <v>51</v>
      </c>
      <c r="H595" s="989" t="s">
        <v>5456</v>
      </c>
      <c r="I595" s="989" t="s">
        <v>5457</v>
      </c>
      <c r="J595" s="987"/>
      <c r="K595" s="436" t="s">
        <v>4570</v>
      </c>
      <c r="L595" s="436" t="s">
        <v>50</v>
      </c>
      <c r="M595" s="436" t="s">
        <v>50</v>
      </c>
      <c r="N595" s="987"/>
      <c r="O595" s="436" t="s">
        <v>62</v>
      </c>
      <c r="P595" s="995">
        <v>44873.0</v>
      </c>
      <c r="Q595" s="987"/>
      <c r="R595" s="987"/>
      <c r="S595" s="987"/>
      <c r="T595" s="987"/>
      <c r="U595" s="436" t="s">
        <v>62</v>
      </c>
      <c r="V595" s="995">
        <v>44880.0</v>
      </c>
      <c r="W595" s="987"/>
      <c r="X595" s="987"/>
      <c r="Y595" s="987"/>
      <c r="Z595" s="987"/>
      <c r="AA595" s="986"/>
    </row>
    <row r="596" hidden="1">
      <c r="A596" s="995">
        <v>427.0</v>
      </c>
      <c r="B596" s="988">
        <v>44874.0</v>
      </c>
      <c r="C596" s="989" t="s">
        <v>5429</v>
      </c>
      <c r="D596" s="434" t="s">
        <v>918</v>
      </c>
      <c r="E596" s="434" t="s">
        <v>261</v>
      </c>
      <c r="F596" s="990">
        <v>1.6351321E7</v>
      </c>
      <c r="G596" s="434" t="s">
        <v>32</v>
      </c>
      <c r="H596" s="989" t="s">
        <v>5458</v>
      </c>
      <c r="I596" s="989" t="s">
        <v>5459</v>
      </c>
      <c r="J596" s="987"/>
      <c r="K596" s="436" t="s">
        <v>278</v>
      </c>
      <c r="L596" s="436" t="s">
        <v>5318</v>
      </c>
      <c r="M596" s="436" t="s">
        <v>280</v>
      </c>
      <c r="N596" s="987"/>
      <c r="O596" s="436" t="s">
        <v>62</v>
      </c>
      <c r="P596" s="995">
        <v>44994.0</v>
      </c>
      <c r="Q596" s="987"/>
      <c r="R596" s="987"/>
      <c r="S596" s="987"/>
      <c r="T596" s="987"/>
      <c r="U596" s="436" t="s">
        <v>62</v>
      </c>
      <c r="V596" s="995">
        <v>44994.0</v>
      </c>
      <c r="W596" s="987"/>
      <c r="X596" s="987"/>
      <c r="Y596" s="987"/>
      <c r="Z596" s="987"/>
      <c r="AA596" s="986"/>
    </row>
    <row r="597" hidden="1">
      <c r="A597" s="995">
        <v>428.0</v>
      </c>
      <c r="B597" s="988">
        <v>44874.0</v>
      </c>
      <c r="C597" s="989" t="s">
        <v>5429</v>
      </c>
      <c r="D597" s="434" t="s">
        <v>918</v>
      </c>
      <c r="E597" s="434" t="s">
        <v>261</v>
      </c>
      <c r="F597" s="990">
        <v>1.6351325E7</v>
      </c>
      <c r="G597" s="434" t="s">
        <v>32</v>
      </c>
      <c r="H597" s="989" t="s">
        <v>5460</v>
      </c>
      <c r="I597" s="989" t="s">
        <v>5459</v>
      </c>
      <c r="J597" s="987"/>
      <c r="K597" s="436" t="s">
        <v>278</v>
      </c>
      <c r="L597" s="436" t="s">
        <v>1288</v>
      </c>
      <c r="M597" s="436" t="s">
        <v>280</v>
      </c>
      <c r="N597" s="987"/>
      <c r="O597" s="436" t="s">
        <v>62</v>
      </c>
      <c r="P597" s="995">
        <v>44958.0</v>
      </c>
      <c r="Q597" s="987"/>
      <c r="R597" s="987"/>
      <c r="S597" s="987"/>
      <c r="T597" s="987"/>
      <c r="U597" s="436" t="s">
        <v>62</v>
      </c>
      <c r="V597" s="995">
        <v>44958.0</v>
      </c>
      <c r="W597" s="987"/>
      <c r="X597" s="987"/>
      <c r="Y597" s="987"/>
      <c r="Z597" s="987"/>
      <c r="AA597" s="986"/>
    </row>
    <row r="598" hidden="1">
      <c r="A598" s="995">
        <v>429.0</v>
      </c>
      <c r="B598" s="988">
        <v>44790.0</v>
      </c>
      <c r="C598" s="989" t="s">
        <v>5429</v>
      </c>
      <c r="D598" s="434" t="s">
        <v>918</v>
      </c>
      <c r="E598" s="434" t="s">
        <v>261</v>
      </c>
      <c r="F598" s="990">
        <v>1.6351291E7</v>
      </c>
      <c r="G598" s="434" t="s">
        <v>32</v>
      </c>
      <c r="H598" s="989" t="s">
        <v>5460</v>
      </c>
      <c r="I598" s="989" t="s">
        <v>5461</v>
      </c>
      <c r="J598" s="987"/>
      <c r="K598" s="436" t="s">
        <v>278</v>
      </c>
      <c r="L598" s="436" t="s">
        <v>1288</v>
      </c>
      <c r="M598" s="436" t="s">
        <v>280</v>
      </c>
      <c r="N598" s="987"/>
      <c r="O598" s="436" t="s">
        <v>62</v>
      </c>
      <c r="P598" s="995">
        <v>44949.0</v>
      </c>
      <c r="Q598" s="987"/>
      <c r="R598" s="987"/>
      <c r="S598" s="987"/>
      <c r="T598" s="987"/>
      <c r="U598" s="436" t="s">
        <v>62</v>
      </c>
      <c r="V598" s="995">
        <v>44949.0</v>
      </c>
      <c r="W598" s="987"/>
      <c r="X598" s="987"/>
      <c r="Y598" s="987"/>
      <c r="Z598" s="987"/>
      <c r="AA598" s="986"/>
    </row>
    <row r="599" hidden="1">
      <c r="A599" s="995">
        <v>432.0</v>
      </c>
      <c r="B599" s="991">
        <v>44875.0</v>
      </c>
      <c r="C599" s="989" t="s">
        <v>5462</v>
      </c>
      <c r="D599" s="434" t="s">
        <v>506</v>
      </c>
      <c r="E599" s="434" t="s">
        <v>300</v>
      </c>
      <c r="F599" s="434" t="s">
        <v>296</v>
      </c>
      <c r="G599" s="434" t="s">
        <v>200</v>
      </c>
      <c r="H599" s="989" t="s">
        <v>5463</v>
      </c>
      <c r="I599" s="989" t="s">
        <v>5464</v>
      </c>
      <c r="J599" s="987"/>
      <c r="K599" s="436" t="s">
        <v>5465</v>
      </c>
      <c r="L599" s="436" t="s">
        <v>3694</v>
      </c>
      <c r="M599" s="436" t="s">
        <v>5466</v>
      </c>
      <c r="N599" s="987"/>
      <c r="O599" s="987"/>
      <c r="P599" s="987"/>
      <c r="Q599" s="987"/>
      <c r="R599" s="987"/>
      <c r="S599" s="987"/>
      <c r="T599" s="987"/>
      <c r="U599" s="987"/>
      <c r="V599" s="987"/>
      <c r="W599" s="987"/>
      <c r="X599" s="987"/>
      <c r="Y599" s="987"/>
      <c r="Z599" s="987"/>
      <c r="AA599" s="986"/>
    </row>
    <row r="600" hidden="1">
      <c r="A600" s="995">
        <v>433.0</v>
      </c>
      <c r="B600" s="991">
        <v>44875.0</v>
      </c>
      <c r="C600" s="989" t="s">
        <v>5429</v>
      </c>
      <c r="D600" s="434" t="s">
        <v>918</v>
      </c>
      <c r="E600" s="434" t="s">
        <v>261</v>
      </c>
      <c r="F600" s="990">
        <v>1.6351327E7</v>
      </c>
      <c r="G600" s="434" t="s">
        <v>32</v>
      </c>
      <c r="H600" s="989" t="s">
        <v>5467</v>
      </c>
      <c r="I600" s="994"/>
      <c r="J600" s="987"/>
      <c r="K600" s="436" t="s">
        <v>278</v>
      </c>
      <c r="L600" s="436" t="s">
        <v>5468</v>
      </c>
      <c r="M600" s="436" t="s">
        <v>280</v>
      </c>
      <c r="N600" s="987"/>
      <c r="O600" s="436" t="s">
        <v>62</v>
      </c>
      <c r="P600" s="995">
        <v>44958.0</v>
      </c>
      <c r="Q600" s="987"/>
      <c r="R600" s="987"/>
      <c r="S600" s="987"/>
      <c r="T600" s="987"/>
      <c r="U600" s="436" t="s">
        <v>62</v>
      </c>
      <c r="V600" s="995">
        <v>44958.0</v>
      </c>
      <c r="W600" s="987"/>
      <c r="X600" s="987"/>
      <c r="Y600" s="987"/>
      <c r="Z600" s="987"/>
      <c r="AA600" s="986"/>
    </row>
    <row r="601" hidden="1">
      <c r="A601" s="995">
        <v>435.0</v>
      </c>
      <c r="B601" s="991">
        <v>44876.0</v>
      </c>
      <c r="C601" s="989" t="s">
        <v>5469</v>
      </c>
      <c r="D601" s="434" t="s">
        <v>133</v>
      </c>
      <c r="E601" s="434" t="s">
        <v>134</v>
      </c>
      <c r="F601" s="434" t="s">
        <v>50</v>
      </c>
      <c r="G601" s="434" t="s">
        <v>135</v>
      </c>
      <c r="H601" s="989" t="s">
        <v>5470</v>
      </c>
      <c r="I601" s="989" t="s">
        <v>5471</v>
      </c>
      <c r="J601" s="987"/>
      <c r="K601" s="436" t="s">
        <v>5472</v>
      </c>
      <c r="L601" s="436" t="s">
        <v>5473</v>
      </c>
      <c r="M601" s="436" t="s">
        <v>5474</v>
      </c>
      <c r="N601" s="987"/>
      <c r="O601" s="436" t="s">
        <v>62</v>
      </c>
      <c r="P601" s="995">
        <v>44879.0</v>
      </c>
      <c r="Q601" s="987"/>
      <c r="R601" s="987"/>
      <c r="S601" s="987"/>
      <c r="T601" s="987"/>
      <c r="U601" s="987"/>
      <c r="V601" s="987"/>
      <c r="W601" s="987"/>
      <c r="X601" s="987"/>
      <c r="Y601" s="987"/>
      <c r="Z601" s="987"/>
      <c r="AA601" s="986"/>
    </row>
    <row r="602" hidden="1">
      <c r="A602" s="995">
        <v>436.0</v>
      </c>
      <c r="B602" s="991">
        <v>44876.0</v>
      </c>
      <c r="C602" s="989" t="s">
        <v>5475</v>
      </c>
      <c r="D602" s="434" t="s">
        <v>367</v>
      </c>
      <c r="E602" s="434" t="s">
        <v>49</v>
      </c>
      <c r="F602" s="434" t="s">
        <v>50</v>
      </c>
      <c r="G602" s="434" t="s">
        <v>120</v>
      </c>
      <c r="H602" s="989" t="s">
        <v>5217</v>
      </c>
      <c r="I602" s="989" t="s">
        <v>5476</v>
      </c>
      <c r="J602" s="987"/>
      <c r="K602" s="436" t="s">
        <v>123</v>
      </c>
      <c r="L602" s="436" t="s">
        <v>4918</v>
      </c>
      <c r="M602" s="436" t="s">
        <v>4919</v>
      </c>
      <c r="N602" s="987"/>
      <c r="O602" s="987"/>
      <c r="P602" s="987"/>
      <c r="Q602" s="987"/>
      <c r="R602" s="987"/>
      <c r="S602" s="987"/>
      <c r="T602" s="987"/>
      <c r="U602" s="987"/>
      <c r="V602" s="987"/>
      <c r="W602" s="987"/>
      <c r="X602" s="987"/>
      <c r="Y602" s="987"/>
      <c r="Z602" s="987"/>
      <c r="AA602" s="986"/>
    </row>
    <row r="603" hidden="1">
      <c r="A603" s="995">
        <v>437.0</v>
      </c>
      <c r="B603" s="991">
        <v>44876.0</v>
      </c>
      <c r="C603" s="989" t="s">
        <v>5475</v>
      </c>
      <c r="D603" s="434" t="s">
        <v>367</v>
      </c>
      <c r="E603" s="434" t="s">
        <v>49</v>
      </c>
      <c r="F603" s="434" t="s">
        <v>50</v>
      </c>
      <c r="G603" s="434" t="s">
        <v>120</v>
      </c>
      <c r="H603" s="989" t="s">
        <v>5217</v>
      </c>
      <c r="I603" s="989" t="s">
        <v>5477</v>
      </c>
      <c r="J603" s="987"/>
      <c r="K603" s="436" t="s">
        <v>123</v>
      </c>
      <c r="L603" s="436" t="s">
        <v>5104</v>
      </c>
      <c r="M603" s="436" t="s">
        <v>4919</v>
      </c>
      <c r="N603" s="987"/>
      <c r="O603" s="987"/>
      <c r="P603" s="987"/>
      <c r="Q603" s="987"/>
      <c r="R603" s="987"/>
      <c r="S603" s="987"/>
      <c r="T603" s="987"/>
      <c r="U603" s="987"/>
      <c r="V603" s="987"/>
      <c r="W603" s="987"/>
      <c r="X603" s="987"/>
      <c r="Y603" s="987"/>
      <c r="Z603" s="987"/>
      <c r="AA603" s="986"/>
    </row>
    <row r="604" hidden="1">
      <c r="A604" s="995">
        <v>438.0</v>
      </c>
      <c r="B604" s="991">
        <v>44876.0</v>
      </c>
      <c r="C604" s="989" t="s">
        <v>5475</v>
      </c>
      <c r="D604" s="434" t="s">
        <v>367</v>
      </c>
      <c r="E604" s="434" t="s">
        <v>49</v>
      </c>
      <c r="F604" s="434" t="s">
        <v>50</v>
      </c>
      <c r="G604" s="434" t="s">
        <v>120</v>
      </c>
      <c r="H604" s="989" t="s">
        <v>5217</v>
      </c>
      <c r="I604" s="989" t="s">
        <v>5478</v>
      </c>
      <c r="J604" s="987"/>
      <c r="K604" s="436" t="s">
        <v>123</v>
      </c>
      <c r="L604" s="436" t="s">
        <v>50</v>
      </c>
      <c r="M604" s="987"/>
      <c r="N604" s="987"/>
      <c r="O604" s="987"/>
      <c r="P604" s="987"/>
      <c r="Q604" s="987"/>
      <c r="R604" s="987"/>
      <c r="S604" s="987"/>
      <c r="T604" s="987"/>
      <c r="U604" s="987"/>
      <c r="V604" s="987"/>
      <c r="W604" s="987"/>
      <c r="X604" s="987"/>
      <c r="Y604" s="987"/>
      <c r="Z604" s="987"/>
      <c r="AA604" s="986"/>
    </row>
    <row r="605" hidden="1">
      <c r="A605" s="995">
        <v>439.0</v>
      </c>
      <c r="B605" s="991">
        <v>44876.0</v>
      </c>
      <c r="C605" s="989" t="s">
        <v>5475</v>
      </c>
      <c r="D605" s="434" t="s">
        <v>367</v>
      </c>
      <c r="E605" s="434" t="s">
        <v>49</v>
      </c>
      <c r="F605" s="434" t="s">
        <v>50</v>
      </c>
      <c r="G605" s="434" t="s">
        <v>120</v>
      </c>
      <c r="H605" s="989" t="s">
        <v>5217</v>
      </c>
      <c r="I605" s="989" t="s">
        <v>5477</v>
      </c>
      <c r="J605" s="987"/>
      <c r="K605" s="436" t="s">
        <v>123</v>
      </c>
      <c r="L605" s="436" t="s">
        <v>5104</v>
      </c>
      <c r="M605" s="436" t="s">
        <v>4919</v>
      </c>
      <c r="N605" s="987"/>
      <c r="O605" s="987"/>
      <c r="P605" s="987"/>
      <c r="Q605" s="987"/>
      <c r="R605" s="987"/>
      <c r="S605" s="987"/>
      <c r="T605" s="987"/>
      <c r="U605" s="987"/>
      <c r="V605" s="987"/>
      <c r="W605" s="987"/>
      <c r="X605" s="987"/>
      <c r="Y605" s="987"/>
      <c r="Z605" s="987"/>
      <c r="AA605" s="986"/>
    </row>
    <row r="606" hidden="1">
      <c r="A606" s="995">
        <v>440.0</v>
      </c>
      <c r="B606" s="991">
        <v>44876.0</v>
      </c>
      <c r="C606" s="989" t="s">
        <v>5475</v>
      </c>
      <c r="D606" s="434" t="s">
        <v>367</v>
      </c>
      <c r="E606" s="434" t="s">
        <v>49</v>
      </c>
      <c r="F606" s="434" t="s">
        <v>50</v>
      </c>
      <c r="G606" s="434" t="s">
        <v>120</v>
      </c>
      <c r="H606" s="989" t="s">
        <v>5217</v>
      </c>
      <c r="I606" s="989" t="s">
        <v>5479</v>
      </c>
      <c r="J606" s="987"/>
      <c r="K606" s="436" t="s">
        <v>123</v>
      </c>
      <c r="L606" s="436" t="s">
        <v>4918</v>
      </c>
      <c r="M606" s="436" t="s">
        <v>4919</v>
      </c>
      <c r="N606" s="987"/>
      <c r="O606" s="987"/>
      <c r="P606" s="987"/>
      <c r="Q606" s="987"/>
      <c r="R606" s="987"/>
      <c r="S606" s="987"/>
      <c r="T606" s="987"/>
      <c r="U606" s="987"/>
      <c r="V606" s="987"/>
      <c r="W606" s="987"/>
      <c r="X606" s="987"/>
      <c r="Y606" s="987"/>
      <c r="Z606" s="987"/>
      <c r="AA606" s="986"/>
    </row>
    <row r="607" hidden="1">
      <c r="A607" s="995">
        <v>441.0</v>
      </c>
      <c r="B607" s="991">
        <v>44876.0</v>
      </c>
      <c r="C607" s="989" t="s">
        <v>5475</v>
      </c>
      <c r="D607" s="434" t="s">
        <v>367</v>
      </c>
      <c r="E607" s="434" t="s">
        <v>49</v>
      </c>
      <c r="F607" s="434" t="s">
        <v>50</v>
      </c>
      <c r="G607" s="434" t="s">
        <v>120</v>
      </c>
      <c r="H607" s="989" t="s">
        <v>5217</v>
      </c>
      <c r="I607" s="989" t="s">
        <v>5480</v>
      </c>
      <c r="J607" s="987"/>
      <c r="K607" s="436" t="s">
        <v>123</v>
      </c>
      <c r="L607" s="987"/>
      <c r="M607" s="987"/>
      <c r="N607" s="987"/>
      <c r="O607" s="987"/>
      <c r="P607" s="987"/>
      <c r="Q607" s="987"/>
      <c r="R607" s="987"/>
      <c r="S607" s="987"/>
      <c r="T607" s="987"/>
      <c r="U607" s="987"/>
      <c r="V607" s="987"/>
      <c r="W607" s="987"/>
      <c r="X607" s="987"/>
      <c r="Y607" s="987"/>
      <c r="Z607" s="987"/>
      <c r="AA607" s="986"/>
    </row>
    <row r="608" hidden="1">
      <c r="A608" s="995">
        <v>442.0</v>
      </c>
      <c r="B608" s="991">
        <v>44876.0</v>
      </c>
      <c r="C608" s="989" t="s">
        <v>5475</v>
      </c>
      <c r="D608" s="434" t="s">
        <v>367</v>
      </c>
      <c r="E608" s="434" t="s">
        <v>49</v>
      </c>
      <c r="F608" s="434" t="s">
        <v>50</v>
      </c>
      <c r="G608" s="434" t="s">
        <v>120</v>
      </c>
      <c r="H608" s="989" t="s">
        <v>5217</v>
      </c>
      <c r="I608" s="989" t="s">
        <v>5480</v>
      </c>
      <c r="J608" s="987"/>
      <c r="K608" s="436" t="s">
        <v>123</v>
      </c>
      <c r="L608" s="987"/>
      <c r="M608" s="987"/>
      <c r="N608" s="987"/>
      <c r="O608" s="987"/>
      <c r="P608" s="987"/>
      <c r="Q608" s="987"/>
      <c r="R608" s="987"/>
      <c r="S608" s="987"/>
      <c r="T608" s="987"/>
      <c r="U608" s="987"/>
      <c r="V608" s="987"/>
      <c r="W608" s="987"/>
      <c r="X608" s="987"/>
      <c r="Y608" s="987"/>
      <c r="Z608" s="987"/>
      <c r="AA608" s="986"/>
    </row>
    <row r="609" hidden="1">
      <c r="A609" s="995">
        <v>443.0</v>
      </c>
      <c r="B609" s="991">
        <v>44876.0</v>
      </c>
      <c r="C609" s="989" t="s">
        <v>5475</v>
      </c>
      <c r="D609" s="434" t="s">
        <v>367</v>
      </c>
      <c r="E609" s="434" t="s">
        <v>49</v>
      </c>
      <c r="F609" s="434" t="s">
        <v>50</v>
      </c>
      <c r="G609" s="434" t="s">
        <v>120</v>
      </c>
      <c r="H609" s="989" t="s">
        <v>5217</v>
      </c>
      <c r="I609" s="989" t="s">
        <v>5480</v>
      </c>
      <c r="J609" s="987"/>
      <c r="K609" s="436" t="s">
        <v>123</v>
      </c>
      <c r="L609" s="987"/>
      <c r="M609" s="987"/>
      <c r="N609" s="987"/>
      <c r="O609" s="987"/>
      <c r="P609" s="987"/>
      <c r="Q609" s="987"/>
      <c r="R609" s="987"/>
      <c r="S609" s="987"/>
      <c r="T609" s="987"/>
      <c r="U609" s="987"/>
      <c r="V609" s="987"/>
      <c r="W609" s="987"/>
      <c r="X609" s="987"/>
      <c r="Y609" s="987"/>
      <c r="Z609" s="987"/>
      <c r="AA609" s="986"/>
    </row>
    <row r="610" hidden="1">
      <c r="A610" s="995">
        <v>444.0</v>
      </c>
      <c r="B610" s="991">
        <v>44876.0</v>
      </c>
      <c r="C610" s="989" t="s">
        <v>5475</v>
      </c>
      <c r="D610" s="434" t="s">
        <v>367</v>
      </c>
      <c r="E610" s="434" t="s">
        <v>49</v>
      </c>
      <c r="F610" s="434" t="s">
        <v>50</v>
      </c>
      <c r="G610" s="434" t="s">
        <v>120</v>
      </c>
      <c r="H610" s="989" t="s">
        <v>5217</v>
      </c>
      <c r="I610" s="989" t="s">
        <v>5481</v>
      </c>
      <c r="J610" s="987"/>
      <c r="K610" s="436" t="s">
        <v>123</v>
      </c>
      <c r="L610" s="436" t="s">
        <v>4918</v>
      </c>
      <c r="M610" s="436" t="s">
        <v>4919</v>
      </c>
      <c r="N610" s="987"/>
      <c r="O610" s="987"/>
      <c r="P610" s="987"/>
      <c r="Q610" s="987"/>
      <c r="R610" s="987"/>
      <c r="S610" s="987"/>
      <c r="T610" s="987"/>
      <c r="U610" s="987"/>
      <c r="V610" s="987"/>
      <c r="W610" s="987"/>
      <c r="X610" s="987"/>
      <c r="Y610" s="987"/>
      <c r="Z610" s="987"/>
      <c r="AA610" s="986"/>
    </row>
    <row r="611" hidden="1">
      <c r="A611" s="995">
        <v>445.0</v>
      </c>
      <c r="B611" s="991">
        <v>44876.0</v>
      </c>
      <c r="C611" s="989" t="s">
        <v>5475</v>
      </c>
      <c r="D611" s="434" t="s">
        <v>367</v>
      </c>
      <c r="E611" s="434" t="s">
        <v>49</v>
      </c>
      <c r="F611" s="434" t="s">
        <v>50</v>
      </c>
      <c r="G611" s="434" t="s">
        <v>120</v>
      </c>
      <c r="H611" s="989" t="s">
        <v>5217</v>
      </c>
      <c r="I611" s="989" t="s">
        <v>5482</v>
      </c>
      <c r="J611" s="987"/>
      <c r="K611" s="436" t="s">
        <v>123</v>
      </c>
      <c r="L611" s="436" t="s">
        <v>5104</v>
      </c>
      <c r="M611" s="436" t="s">
        <v>4919</v>
      </c>
      <c r="N611" s="987"/>
      <c r="O611" s="987"/>
      <c r="P611" s="987"/>
      <c r="Q611" s="987"/>
      <c r="R611" s="987"/>
      <c r="S611" s="987"/>
      <c r="T611" s="987"/>
      <c r="U611" s="987"/>
      <c r="V611" s="987"/>
      <c r="W611" s="987"/>
      <c r="X611" s="987"/>
      <c r="Y611" s="987"/>
      <c r="Z611" s="987"/>
      <c r="AA611" s="986"/>
    </row>
    <row r="612" hidden="1">
      <c r="A612" s="995">
        <v>446.0</v>
      </c>
      <c r="B612" s="991">
        <v>44876.0</v>
      </c>
      <c r="C612" s="989" t="s">
        <v>5475</v>
      </c>
      <c r="D612" s="434" t="s">
        <v>367</v>
      </c>
      <c r="E612" s="434" t="s">
        <v>49</v>
      </c>
      <c r="F612" s="434" t="s">
        <v>50</v>
      </c>
      <c r="G612" s="434" t="s">
        <v>120</v>
      </c>
      <c r="H612" s="989" t="s">
        <v>5217</v>
      </c>
      <c r="I612" s="989" t="s">
        <v>5483</v>
      </c>
      <c r="J612" s="987"/>
      <c r="K612" s="436" t="s">
        <v>123</v>
      </c>
      <c r="L612" s="987"/>
      <c r="M612" s="987"/>
      <c r="N612" s="987"/>
      <c r="O612" s="987"/>
      <c r="P612" s="987"/>
      <c r="Q612" s="987"/>
      <c r="R612" s="987"/>
      <c r="S612" s="987"/>
      <c r="T612" s="987"/>
      <c r="U612" s="987"/>
      <c r="V612" s="987"/>
      <c r="W612" s="987"/>
      <c r="X612" s="987"/>
      <c r="Y612" s="987"/>
      <c r="Z612" s="987"/>
      <c r="AA612" s="986"/>
    </row>
    <row r="613" hidden="1">
      <c r="A613" s="995">
        <v>447.0</v>
      </c>
      <c r="B613" s="991">
        <v>44876.0</v>
      </c>
      <c r="C613" s="989" t="s">
        <v>5475</v>
      </c>
      <c r="D613" s="434" t="s">
        <v>367</v>
      </c>
      <c r="E613" s="434" t="s">
        <v>49</v>
      </c>
      <c r="F613" s="434" t="s">
        <v>50</v>
      </c>
      <c r="G613" s="434" t="s">
        <v>120</v>
      </c>
      <c r="H613" s="989" t="s">
        <v>5217</v>
      </c>
      <c r="I613" s="989" t="s">
        <v>5484</v>
      </c>
      <c r="J613" s="987"/>
      <c r="K613" s="436" t="s">
        <v>123</v>
      </c>
      <c r="L613" s="436" t="s">
        <v>4918</v>
      </c>
      <c r="M613" s="436" t="s">
        <v>4919</v>
      </c>
      <c r="N613" s="987"/>
      <c r="O613" s="987"/>
      <c r="P613" s="987"/>
      <c r="Q613" s="987"/>
      <c r="R613" s="987"/>
      <c r="S613" s="987"/>
      <c r="T613" s="987"/>
      <c r="U613" s="987"/>
      <c r="V613" s="987"/>
      <c r="W613" s="987"/>
      <c r="X613" s="987"/>
      <c r="Y613" s="987"/>
      <c r="Z613" s="987"/>
      <c r="AA613" s="986"/>
    </row>
    <row r="614" hidden="1">
      <c r="A614" s="995">
        <v>448.0</v>
      </c>
      <c r="B614" s="991">
        <v>44876.0</v>
      </c>
      <c r="C614" s="989" t="s">
        <v>5475</v>
      </c>
      <c r="D614" s="434" t="s">
        <v>367</v>
      </c>
      <c r="E614" s="434" t="s">
        <v>49</v>
      </c>
      <c r="F614" s="434" t="s">
        <v>50</v>
      </c>
      <c r="G614" s="434" t="s">
        <v>120</v>
      </c>
      <c r="H614" s="989" t="s">
        <v>5217</v>
      </c>
      <c r="I614" s="989" t="s">
        <v>5485</v>
      </c>
      <c r="J614" s="987"/>
      <c r="K614" s="436" t="s">
        <v>123</v>
      </c>
      <c r="L614" s="436" t="s">
        <v>5104</v>
      </c>
      <c r="M614" s="436" t="s">
        <v>4919</v>
      </c>
      <c r="N614" s="987"/>
      <c r="O614" s="987"/>
      <c r="P614" s="987"/>
      <c r="Q614" s="987"/>
      <c r="R614" s="987"/>
      <c r="S614" s="987"/>
      <c r="T614" s="987"/>
      <c r="U614" s="987"/>
      <c r="V614" s="987"/>
      <c r="W614" s="987"/>
      <c r="X614" s="987"/>
      <c r="Y614" s="987"/>
      <c r="Z614" s="987"/>
      <c r="AA614" s="986"/>
    </row>
    <row r="615" hidden="1">
      <c r="A615" s="995">
        <v>449.0</v>
      </c>
      <c r="B615" s="991">
        <v>44879.0</v>
      </c>
      <c r="C615" s="989" t="s">
        <v>5475</v>
      </c>
      <c r="D615" s="434" t="s">
        <v>367</v>
      </c>
      <c r="E615" s="434" t="s">
        <v>49</v>
      </c>
      <c r="F615" s="434" t="s">
        <v>50</v>
      </c>
      <c r="G615" s="434" t="s">
        <v>120</v>
      </c>
      <c r="H615" s="989" t="s">
        <v>5217</v>
      </c>
      <c r="I615" s="989" t="s">
        <v>5486</v>
      </c>
      <c r="J615" s="987"/>
      <c r="K615" s="436" t="s">
        <v>123</v>
      </c>
      <c r="L615" s="987"/>
      <c r="M615" s="987"/>
      <c r="N615" s="987"/>
      <c r="O615" s="987"/>
      <c r="P615" s="987"/>
      <c r="Q615" s="987"/>
      <c r="R615" s="987"/>
      <c r="S615" s="987"/>
      <c r="T615" s="987"/>
      <c r="U615" s="987"/>
      <c r="V615" s="987"/>
      <c r="W615" s="987"/>
      <c r="X615" s="987"/>
      <c r="Y615" s="987"/>
      <c r="Z615" s="987"/>
      <c r="AA615" s="986"/>
    </row>
    <row r="616" hidden="1">
      <c r="A616" s="995">
        <v>450.0</v>
      </c>
      <c r="B616" s="991">
        <v>44879.0</v>
      </c>
      <c r="C616" s="989" t="s">
        <v>5475</v>
      </c>
      <c r="D616" s="434" t="s">
        <v>367</v>
      </c>
      <c r="E616" s="434" t="s">
        <v>49</v>
      </c>
      <c r="F616" s="434" t="s">
        <v>50</v>
      </c>
      <c r="G616" s="434" t="s">
        <v>120</v>
      </c>
      <c r="H616" s="989" t="s">
        <v>5217</v>
      </c>
      <c r="I616" s="989" t="s">
        <v>5487</v>
      </c>
      <c r="J616" s="987"/>
      <c r="K616" s="436" t="s">
        <v>123</v>
      </c>
      <c r="L616" s="436" t="s">
        <v>4918</v>
      </c>
      <c r="M616" s="436" t="s">
        <v>4919</v>
      </c>
      <c r="N616" s="987"/>
      <c r="O616" s="987"/>
      <c r="P616" s="987"/>
      <c r="Q616" s="987"/>
      <c r="R616" s="987"/>
      <c r="S616" s="987"/>
      <c r="T616" s="987"/>
      <c r="U616" s="987"/>
      <c r="V616" s="987"/>
      <c r="W616" s="987"/>
      <c r="X616" s="987"/>
      <c r="Y616" s="987"/>
      <c r="Z616" s="987"/>
      <c r="AA616" s="986"/>
    </row>
    <row r="617" hidden="1">
      <c r="A617" s="995">
        <v>451.0</v>
      </c>
      <c r="B617" s="991">
        <v>44879.0</v>
      </c>
      <c r="C617" s="989" t="s">
        <v>5475</v>
      </c>
      <c r="D617" s="434" t="s">
        <v>367</v>
      </c>
      <c r="E617" s="434" t="s">
        <v>49</v>
      </c>
      <c r="F617" s="434" t="s">
        <v>50</v>
      </c>
      <c r="G617" s="434" t="s">
        <v>120</v>
      </c>
      <c r="H617" s="989" t="s">
        <v>5217</v>
      </c>
      <c r="I617" s="989" t="s">
        <v>5486</v>
      </c>
      <c r="J617" s="987"/>
      <c r="K617" s="436" t="s">
        <v>123</v>
      </c>
      <c r="L617" s="987"/>
      <c r="M617" s="987"/>
      <c r="N617" s="987"/>
      <c r="O617" s="987"/>
      <c r="P617" s="987"/>
      <c r="Q617" s="987"/>
      <c r="R617" s="987"/>
      <c r="S617" s="987"/>
      <c r="T617" s="987"/>
      <c r="U617" s="987"/>
      <c r="V617" s="987"/>
      <c r="W617" s="987"/>
      <c r="X617" s="987"/>
      <c r="Y617" s="987"/>
      <c r="Z617" s="987"/>
      <c r="AA617" s="986"/>
    </row>
    <row r="618" hidden="1">
      <c r="A618" s="995">
        <v>452.0</v>
      </c>
      <c r="B618" s="991">
        <v>44879.0</v>
      </c>
      <c r="C618" s="989" t="s">
        <v>5475</v>
      </c>
      <c r="D618" s="434" t="s">
        <v>367</v>
      </c>
      <c r="E618" s="434" t="s">
        <v>49</v>
      </c>
      <c r="F618" s="434" t="s">
        <v>50</v>
      </c>
      <c r="G618" s="434" t="s">
        <v>120</v>
      </c>
      <c r="H618" s="989" t="s">
        <v>5217</v>
      </c>
      <c r="I618" s="989" t="s">
        <v>5486</v>
      </c>
      <c r="J618" s="987"/>
      <c r="K618" s="436" t="s">
        <v>123</v>
      </c>
      <c r="L618" s="987"/>
      <c r="M618" s="987"/>
      <c r="N618" s="987"/>
      <c r="O618" s="987"/>
      <c r="P618" s="987"/>
      <c r="Q618" s="987"/>
      <c r="R618" s="987"/>
      <c r="S618" s="987"/>
      <c r="T618" s="987"/>
      <c r="U618" s="987"/>
      <c r="V618" s="987"/>
      <c r="W618" s="987"/>
      <c r="X618" s="987"/>
      <c r="Y618" s="987"/>
      <c r="Z618" s="987"/>
      <c r="AA618" s="986"/>
    </row>
    <row r="619" hidden="1">
      <c r="A619" s="995">
        <v>453.0</v>
      </c>
      <c r="B619" s="991">
        <v>44879.0</v>
      </c>
      <c r="C619" s="989" t="s">
        <v>5475</v>
      </c>
      <c r="D619" s="434" t="s">
        <v>367</v>
      </c>
      <c r="E619" s="434" t="s">
        <v>300</v>
      </c>
      <c r="F619" s="434" t="s">
        <v>50</v>
      </c>
      <c r="G619" s="434" t="s">
        <v>120</v>
      </c>
      <c r="H619" s="989" t="s">
        <v>5488</v>
      </c>
      <c r="I619" s="989" t="s">
        <v>5489</v>
      </c>
      <c r="J619" s="987"/>
      <c r="K619" s="436" t="s">
        <v>2171</v>
      </c>
      <c r="L619" s="436" t="s">
        <v>4998</v>
      </c>
      <c r="M619" s="987"/>
      <c r="N619" s="987"/>
      <c r="O619" s="987"/>
      <c r="P619" s="987"/>
      <c r="Q619" s="987"/>
      <c r="R619" s="987"/>
      <c r="S619" s="987"/>
      <c r="T619" s="987"/>
      <c r="U619" s="987"/>
      <c r="V619" s="987"/>
      <c r="W619" s="987"/>
      <c r="X619" s="987"/>
      <c r="Y619" s="987"/>
      <c r="Z619" s="987"/>
      <c r="AA619" s="986"/>
    </row>
    <row r="620" hidden="1">
      <c r="A620" s="995">
        <v>454.0</v>
      </c>
      <c r="B620" s="991">
        <v>44880.0</v>
      </c>
      <c r="C620" s="989" t="s">
        <v>5490</v>
      </c>
      <c r="D620" s="434" t="s">
        <v>4028</v>
      </c>
      <c r="E620" s="434" t="s">
        <v>49</v>
      </c>
      <c r="F620" s="990">
        <v>1.5191817E7</v>
      </c>
      <c r="G620" s="434" t="s">
        <v>348</v>
      </c>
      <c r="H620" s="989" t="s">
        <v>5491</v>
      </c>
      <c r="I620" s="989" t="s">
        <v>5492</v>
      </c>
      <c r="J620" s="987"/>
      <c r="K620" s="987"/>
      <c r="L620" s="987"/>
      <c r="M620" s="987"/>
      <c r="N620" s="987"/>
      <c r="O620" s="987"/>
      <c r="P620" s="987"/>
      <c r="Q620" s="987"/>
      <c r="R620" s="987"/>
      <c r="S620" s="987"/>
      <c r="T620" s="987"/>
      <c r="U620" s="987"/>
      <c r="V620" s="987"/>
      <c r="W620" s="987"/>
      <c r="X620" s="987"/>
      <c r="Y620" s="987"/>
      <c r="Z620" s="987"/>
      <c r="AA620" s="986"/>
    </row>
    <row r="621" hidden="1">
      <c r="A621" s="995">
        <v>456.0</v>
      </c>
      <c r="B621" s="991">
        <v>44890.0</v>
      </c>
      <c r="C621" s="989" t="s">
        <v>5493</v>
      </c>
      <c r="D621" s="434" t="s">
        <v>1101</v>
      </c>
      <c r="E621" s="434" t="s">
        <v>5494</v>
      </c>
      <c r="F621" s="434" t="s">
        <v>50</v>
      </c>
      <c r="G621" s="434" t="s">
        <v>103</v>
      </c>
      <c r="H621" s="989" t="s">
        <v>5495</v>
      </c>
      <c r="I621" s="989" t="s">
        <v>5496</v>
      </c>
      <c r="J621" s="987"/>
      <c r="K621" s="436" t="s">
        <v>2364</v>
      </c>
      <c r="L621" s="436" t="s">
        <v>5497</v>
      </c>
      <c r="M621" s="436" t="s">
        <v>1669</v>
      </c>
      <c r="N621" s="987"/>
      <c r="O621" s="436" t="s">
        <v>62</v>
      </c>
      <c r="P621" s="995">
        <v>44959.0</v>
      </c>
      <c r="Q621" s="987"/>
      <c r="R621" s="987"/>
      <c r="S621" s="987"/>
      <c r="T621" s="987"/>
      <c r="U621" s="436" t="s">
        <v>62</v>
      </c>
      <c r="V621" s="995">
        <v>45072.0</v>
      </c>
      <c r="W621" s="987"/>
      <c r="X621" s="987"/>
      <c r="Y621" s="987"/>
      <c r="Z621" s="987"/>
      <c r="AA621" s="986"/>
    </row>
    <row r="622" hidden="1">
      <c r="A622" s="995">
        <v>457.0</v>
      </c>
      <c r="B622" s="991">
        <v>44890.0</v>
      </c>
      <c r="C622" s="989" t="s">
        <v>5493</v>
      </c>
      <c r="D622" s="434" t="s">
        <v>1101</v>
      </c>
      <c r="E622" s="434" t="s">
        <v>5494</v>
      </c>
      <c r="F622" s="434" t="s">
        <v>50</v>
      </c>
      <c r="G622" s="434" t="s">
        <v>103</v>
      </c>
      <c r="H622" s="989" t="s">
        <v>5498</v>
      </c>
      <c r="I622" s="989" t="s">
        <v>5499</v>
      </c>
      <c r="J622" s="987"/>
      <c r="K622" s="436" t="s">
        <v>2364</v>
      </c>
      <c r="L622" s="436" t="s">
        <v>5500</v>
      </c>
      <c r="M622" s="436" t="s">
        <v>1669</v>
      </c>
      <c r="N622" s="987"/>
      <c r="O622" s="436" t="s">
        <v>62</v>
      </c>
      <c r="P622" s="995">
        <v>44959.0</v>
      </c>
      <c r="Q622" s="987"/>
      <c r="R622" s="987"/>
      <c r="S622" s="987"/>
      <c r="T622" s="987"/>
      <c r="U622" s="987"/>
      <c r="V622" s="987"/>
      <c r="W622" s="987"/>
      <c r="X622" s="987"/>
      <c r="Y622" s="987"/>
      <c r="Z622" s="987"/>
      <c r="AA622" s="986"/>
    </row>
    <row r="623" hidden="1">
      <c r="A623" s="995">
        <v>460.0</v>
      </c>
      <c r="B623" s="991">
        <v>44894.0</v>
      </c>
      <c r="C623" s="989" t="s">
        <v>5493</v>
      </c>
      <c r="D623" s="434" t="s">
        <v>1101</v>
      </c>
      <c r="E623" s="434" t="s">
        <v>5494</v>
      </c>
      <c r="F623" s="434" t="s">
        <v>50</v>
      </c>
      <c r="G623" s="434" t="s">
        <v>103</v>
      </c>
      <c r="H623" s="989" t="s">
        <v>5501</v>
      </c>
      <c r="I623" s="989" t="s">
        <v>5502</v>
      </c>
      <c r="J623" s="987"/>
      <c r="K623" s="436" t="s">
        <v>1661</v>
      </c>
      <c r="L623" s="436" t="s">
        <v>554</v>
      </c>
      <c r="M623" s="436" t="s">
        <v>5503</v>
      </c>
      <c r="N623" s="987"/>
      <c r="O623" s="987"/>
      <c r="P623" s="987"/>
      <c r="Q623" s="987"/>
      <c r="R623" s="987"/>
      <c r="S623" s="987"/>
      <c r="T623" s="987"/>
      <c r="U623" s="987"/>
      <c r="V623" s="987"/>
      <c r="W623" s="987"/>
      <c r="X623" s="987"/>
      <c r="Y623" s="987"/>
      <c r="Z623" s="987"/>
      <c r="AA623" s="986"/>
    </row>
    <row r="624" hidden="1">
      <c r="A624" s="995">
        <v>462.0</v>
      </c>
      <c r="B624" s="991">
        <v>44877.0</v>
      </c>
      <c r="C624" s="989" t="s">
        <v>5462</v>
      </c>
      <c r="D624" s="434" t="s">
        <v>506</v>
      </c>
      <c r="E624" s="434" t="s">
        <v>49</v>
      </c>
      <c r="F624" s="990">
        <v>1.7242115E7</v>
      </c>
      <c r="G624" s="434" t="s">
        <v>200</v>
      </c>
      <c r="H624" s="989" t="s">
        <v>5504</v>
      </c>
      <c r="I624" s="989" t="s">
        <v>5505</v>
      </c>
      <c r="J624" s="987"/>
      <c r="K624" s="436" t="s">
        <v>3079</v>
      </c>
      <c r="L624" s="436" t="s">
        <v>965</v>
      </c>
      <c r="M624" s="436" t="s">
        <v>1234</v>
      </c>
      <c r="N624" s="987"/>
      <c r="O624" s="987"/>
      <c r="P624" s="987"/>
      <c r="Q624" s="987"/>
      <c r="R624" s="987"/>
      <c r="S624" s="987"/>
      <c r="T624" s="987"/>
      <c r="U624" s="987"/>
      <c r="V624" s="987"/>
      <c r="W624" s="987"/>
      <c r="X624" s="987"/>
      <c r="Y624" s="987"/>
      <c r="Z624" s="987"/>
      <c r="AA624" s="986"/>
    </row>
    <row r="625" hidden="1">
      <c r="A625" s="995">
        <v>463.0</v>
      </c>
      <c r="B625" s="991">
        <v>44875.0</v>
      </c>
      <c r="C625" s="989" t="s">
        <v>5462</v>
      </c>
      <c r="D625" s="434" t="s">
        <v>506</v>
      </c>
      <c r="E625" s="434" t="s">
        <v>49</v>
      </c>
      <c r="F625" s="990">
        <v>1.7242071E7</v>
      </c>
      <c r="G625" s="434" t="s">
        <v>200</v>
      </c>
      <c r="H625" s="989" t="s">
        <v>5506</v>
      </c>
      <c r="I625" s="989" t="s">
        <v>5507</v>
      </c>
      <c r="J625" s="987"/>
      <c r="K625" s="436" t="s">
        <v>3079</v>
      </c>
      <c r="L625" s="436" t="s">
        <v>812</v>
      </c>
      <c r="M625" s="436" t="s">
        <v>610</v>
      </c>
      <c r="N625" s="987"/>
      <c r="O625" s="987"/>
      <c r="P625" s="987"/>
      <c r="Q625" s="987"/>
      <c r="R625" s="987"/>
      <c r="S625" s="987"/>
      <c r="T625" s="987"/>
      <c r="U625" s="987"/>
      <c r="V625" s="987"/>
      <c r="W625" s="987"/>
      <c r="X625" s="987"/>
      <c r="Y625" s="987"/>
      <c r="Z625" s="987"/>
      <c r="AA625" s="986"/>
    </row>
    <row r="626" hidden="1">
      <c r="A626" s="995">
        <v>464.0</v>
      </c>
      <c r="B626" s="988">
        <v>44896.0</v>
      </c>
      <c r="C626" s="989" t="s">
        <v>5230</v>
      </c>
      <c r="D626" s="434" t="s">
        <v>1568</v>
      </c>
      <c r="E626" s="434" t="s">
        <v>49</v>
      </c>
      <c r="F626" s="990">
        <v>1.6270281E7</v>
      </c>
      <c r="G626" s="434" t="s">
        <v>51</v>
      </c>
      <c r="H626" s="989" t="s">
        <v>5508</v>
      </c>
      <c r="I626" s="989" t="s">
        <v>5509</v>
      </c>
      <c r="J626" s="987"/>
      <c r="K626" s="436" t="s">
        <v>5510</v>
      </c>
      <c r="L626" s="987"/>
      <c r="M626" s="987"/>
      <c r="N626" s="987"/>
      <c r="O626" s="987"/>
      <c r="P626" s="987"/>
      <c r="Q626" s="987"/>
      <c r="R626" s="987"/>
      <c r="S626" s="987"/>
      <c r="T626" s="987"/>
      <c r="U626" s="987"/>
      <c r="V626" s="987"/>
      <c r="W626" s="987"/>
      <c r="X626" s="987"/>
      <c r="Y626" s="987"/>
      <c r="Z626" s="987"/>
      <c r="AA626" s="986"/>
    </row>
    <row r="627" hidden="1">
      <c r="A627" s="995">
        <v>465.0</v>
      </c>
      <c r="B627" s="988">
        <v>44902.0</v>
      </c>
      <c r="C627" s="989" t="s">
        <v>5511</v>
      </c>
      <c r="D627" s="434" t="s">
        <v>2334</v>
      </c>
      <c r="E627" s="434" t="s">
        <v>2337</v>
      </c>
      <c r="F627" s="990">
        <v>1.5650026E7</v>
      </c>
      <c r="G627" s="434" t="s">
        <v>348</v>
      </c>
      <c r="H627" s="989" t="s">
        <v>5512</v>
      </c>
      <c r="I627" s="989" t="s">
        <v>5513</v>
      </c>
      <c r="J627" s="987"/>
      <c r="K627" s="436" t="s">
        <v>5510</v>
      </c>
      <c r="L627" s="436" t="s">
        <v>5514</v>
      </c>
      <c r="M627" s="987"/>
      <c r="N627" s="987"/>
      <c r="O627" s="987"/>
      <c r="P627" s="987"/>
      <c r="Q627" s="987"/>
      <c r="R627" s="987"/>
      <c r="S627" s="987"/>
      <c r="T627" s="987"/>
      <c r="U627" s="987"/>
      <c r="V627" s="987"/>
      <c r="W627" s="987"/>
      <c r="X627" s="987"/>
      <c r="Y627" s="987"/>
      <c r="Z627" s="987"/>
      <c r="AA627" s="986"/>
    </row>
    <row r="628" hidden="1">
      <c r="A628" s="995">
        <v>466.0</v>
      </c>
      <c r="B628" s="1006">
        <v>44894.0</v>
      </c>
      <c r="C628" s="984" t="s">
        <v>5515</v>
      </c>
      <c r="D628" s="436" t="s">
        <v>239</v>
      </c>
      <c r="E628" s="436" t="s">
        <v>559</v>
      </c>
      <c r="F628" s="995">
        <v>1.7190634E7</v>
      </c>
      <c r="G628" s="436" t="s">
        <v>348</v>
      </c>
      <c r="H628" s="984" t="s">
        <v>5516</v>
      </c>
      <c r="I628" s="997" t="s">
        <v>5517</v>
      </c>
      <c r="J628" s="987"/>
      <c r="K628" s="987"/>
      <c r="L628" s="987"/>
      <c r="M628" s="987"/>
      <c r="N628" s="987"/>
      <c r="O628" s="987"/>
      <c r="P628" s="987"/>
      <c r="Q628" s="987"/>
      <c r="R628" s="987"/>
      <c r="S628" s="987"/>
      <c r="T628" s="987"/>
      <c r="U628" s="987"/>
      <c r="V628" s="987"/>
      <c r="W628" s="987"/>
      <c r="X628" s="987"/>
      <c r="Y628" s="987"/>
      <c r="Z628" s="987"/>
      <c r="AA628" s="986"/>
    </row>
    <row r="629" hidden="1">
      <c r="A629" s="995">
        <v>469.0</v>
      </c>
      <c r="B629" s="991">
        <v>44910.0</v>
      </c>
      <c r="C629" s="989" t="s">
        <v>336</v>
      </c>
      <c r="D629" s="434" t="s">
        <v>337</v>
      </c>
      <c r="E629" s="434" t="s">
        <v>4629</v>
      </c>
      <c r="F629" s="434" t="s">
        <v>50</v>
      </c>
      <c r="G629" s="434" t="s">
        <v>120</v>
      </c>
      <c r="H629" s="989" t="s">
        <v>5518</v>
      </c>
      <c r="I629" s="989" t="s">
        <v>5519</v>
      </c>
      <c r="J629" s="987"/>
      <c r="K629" s="436" t="s">
        <v>5520</v>
      </c>
      <c r="L629" s="436" t="s">
        <v>5521</v>
      </c>
      <c r="M629" s="436" t="s">
        <v>5522</v>
      </c>
      <c r="N629" s="987"/>
      <c r="O629" s="987"/>
      <c r="P629" s="987"/>
      <c r="Q629" s="436" t="s">
        <v>62</v>
      </c>
      <c r="R629" s="995">
        <v>44914.0</v>
      </c>
      <c r="S629" s="987"/>
      <c r="T629" s="987"/>
      <c r="U629" s="987"/>
      <c r="V629" s="987"/>
      <c r="W629" s="987"/>
      <c r="X629" s="987"/>
      <c r="Y629" s="987"/>
      <c r="Z629" s="987"/>
      <c r="AA629" s="986"/>
    </row>
    <row r="630" hidden="1">
      <c r="A630" s="995">
        <v>472.0</v>
      </c>
      <c r="B630" s="991">
        <v>44914.0</v>
      </c>
      <c r="C630" s="989" t="s">
        <v>5417</v>
      </c>
      <c r="D630" s="434" t="s">
        <v>89</v>
      </c>
      <c r="E630" s="434" t="s">
        <v>111</v>
      </c>
      <c r="F630" s="990">
        <v>1.5830999E7</v>
      </c>
      <c r="G630" s="434" t="s">
        <v>51</v>
      </c>
      <c r="H630" s="989" t="s">
        <v>5523</v>
      </c>
      <c r="I630" s="989" t="s">
        <v>5524</v>
      </c>
      <c r="J630" s="987"/>
      <c r="K630" s="436" t="s">
        <v>92</v>
      </c>
      <c r="L630" s="987"/>
      <c r="M630" s="987"/>
      <c r="N630" s="987"/>
      <c r="O630" s="436" t="s">
        <v>62</v>
      </c>
      <c r="P630" s="995">
        <v>44932.0</v>
      </c>
      <c r="Q630" s="987"/>
      <c r="R630" s="987"/>
      <c r="S630" s="987"/>
      <c r="T630" s="987"/>
      <c r="U630" s="436" t="s">
        <v>62</v>
      </c>
      <c r="V630" s="995">
        <v>45092.0</v>
      </c>
      <c r="W630" s="987"/>
      <c r="X630" s="987"/>
      <c r="Y630" s="987"/>
      <c r="Z630" s="987"/>
      <c r="AA630" s="986"/>
    </row>
    <row r="631" hidden="1">
      <c r="A631" s="995">
        <v>473.0</v>
      </c>
      <c r="B631" s="991">
        <v>44914.0</v>
      </c>
      <c r="C631" s="989" t="s">
        <v>5525</v>
      </c>
      <c r="D631" s="434" t="s">
        <v>885</v>
      </c>
      <c r="E631" s="434" t="s">
        <v>49</v>
      </c>
      <c r="F631" s="434" t="s">
        <v>50</v>
      </c>
      <c r="G631" s="434" t="s">
        <v>32</v>
      </c>
      <c r="H631" s="989" t="s">
        <v>5526</v>
      </c>
      <c r="I631" s="989" t="s">
        <v>5527</v>
      </c>
      <c r="J631" s="987"/>
      <c r="K631" s="436" t="s">
        <v>1244</v>
      </c>
      <c r="L631" s="436" t="s">
        <v>1278</v>
      </c>
      <c r="M631" s="436" t="s">
        <v>1234</v>
      </c>
      <c r="N631" s="987"/>
      <c r="O631" s="436" t="s">
        <v>62</v>
      </c>
      <c r="P631" s="995">
        <v>44931.0</v>
      </c>
      <c r="Q631" s="987"/>
      <c r="R631" s="987"/>
      <c r="S631" s="987"/>
      <c r="T631" s="987"/>
      <c r="U631" s="436" t="s">
        <v>62</v>
      </c>
      <c r="V631" s="995">
        <v>44937.0</v>
      </c>
      <c r="W631" s="987"/>
      <c r="X631" s="987"/>
      <c r="Y631" s="987"/>
      <c r="Z631" s="987"/>
      <c r="AA631" s="986"/>
    </row>
    <row r="632" hidden="1">
      <c r="A632" s="995">
        <v>474.0</v>
      </c>
      <c r="B632" s="991">
        <v>44914.0</v>
      </c>
      <c r="C632" s="989" t="s">
        <v>5528</v>
      </c>
      <c r="D632" s="434" t="s">
        <v>220</v>
      </c>
      <c r="E632" s="434" t="s">
        <v>160</v>
      </c>
      <c r="F632" s="434" t="s">
        <v>50</v>
      </c>
      <c r="G632" s="434" t="s">
        <v>120</v>
      </c>
      <c r="H632" s="989" t="s">
        <v>3267</v>
      </c>
      <c r="I632" s="989" t="s">
        <v>5529</v>
      </c>
      <c r="J632" s="987"/>
      <c r="K632" s="436" t="s">
        <v>223</v>
      </c>
      <c r="L632" s="987"/>
      <c r="M632" s="987"/>
      <c r="N632" s="987"/>
      <c r="O632" s="987"/>
      <c r="P632" s="987"/>
      <c r="Q632" s="987"/>
      <c r="R632" s="987"/>
      <c r="S632" s="987"/>
      <c r="T632" s="987"/>
      <c r="U632" s="987"/>
      <c r="V632" s="987"/>
      <c r="W632" s="987"/>
      <c r="X632" s="987"/>
      <c r="Y632" s="987"/>
      <c r="Z632" s="987"/>
      <c r="AA632" s="986"/>
    </row>
    <row r="633" hidden="1">
      <c r="A633" s="995">
        <v>475.0</v>
      </c>
      <c r="B633" s="991">
        <v>44914.0</v>
      </c>
      <c r="C633" s="989" t="s">
        <v>5528</v>
      </c>
      <c r="D633" s="434" t="s">
        <v>220</v>
      </c>
      <c r="E633" s="434" t="s">
        <v>160</v>
      </c>
      <c r="F633" s="434" t="s">
        <v>50</v>
      </c>
      <c r="G633" s="434" t="s">
        <v>120</v>
      </c>
      <c r="H633" s="989" t="s">
        <v>5116</v>
      </c>
      <c r="I633" s="989" t="s">
        <v>5530</v>
      </c>
      <c r="J633" s="987"/>
      <c r="K633" s="436" t="s">
        <v>223</v>
      </c>
      <c r="L633" s="987"/>
      <c r="M633" s="987"/>
      <c r="N633" s="987"/>
      <c r="O633" s="987"/>
      <c r="P633" s="987"/>
      <c r="Q633" s="987"/>
      <c r="R633" s="987"/>
      <c r="S633" s="987"/>
      <c r="T633" s="987"/>
      <c r="U633" s="987"/>
      <c r="V633" s="987"/>
      <c r="W633" s="987"/>
      <c r="X633" s="987"/>
      <c r="Y633" s="987"/>
      <c r="Z633" s="987"/>
      <c r="AA633" s="986"/>
    </row>
    <row r="634" hidden="1">
      <c r="A634" s="995">
        <v>476.0</v>
      </c>
      <c r="B634" s="991">
        <v>44914.0</v>
      </c>
      <c r="C634" s="989" t="s">
        <v>5528</v>
      </c>
      <c r="D634" s="434" t="s">
        <v>220</v>
      </c>
      <c r="E634" s="434" t="s">
        <v>160</v>
      </c>
      <c r="F634" s="434" t="s">
        <v>50</v>
      </c>
      <c r="G634" s="434" t="s">
        <v>120</v>
      </c>
      <c r="H634" s="989" t="s">
        <v>5116</v>
      </c>
      <c r="I634" s="989" t="s">
        <v>5530</v>
      </c>
      <c r="J634" s="987"/>
      <c r="K634" s="987"/>
      <c r="L634" s="987"/>
      <c r="M634" s="987"/>
      <c r="N634" s="987"/>
      <c r="O634" s="987"/>
      <c r="P634" s="987"/>
      <c r="Q634" s="987"/>
      <c r="R634" s="987"/>
      <c r="S634" s="987"/>
      <c r="T634" s="987"/>
      <c r="U634" s="987"/>
      <c r="V634" s="987"/>
      <c r="W634" s="987"/>
      <c r="X634" s="987"/>
      <c r="Y634" s="987"/>
      <c r="Z634" s="987"/>
      <c r="AA634" s="986"/>
    </row>
    <row r="635" hidden="1">
      <c r="A635" s="995">
        <v>478.0</v>
      </c>
      <c r="B635" s="991">
        <v>44916.0</v>
      </c>
      <c r="C635" s="989" t="s">
        <v>5531</v>
      </c>
      <c r="D635" s="434" t="s">
        <v>48</v>
      </c>
      <c r="E635" s="434" t="s">
        <v>49</v>
      </c>
      <c r="F635" s="990">
        <v>1.4692003E7</v>
      </c>
      <c r="G635" s="434" t="s">
        <v>51</v>
      </c>
      <c r="H635" s="989" t="s">
        <v>5532</v>
      </c>
      <c r="I635" s="989" t="s">
        <v>5533</v>
      </c>
      <c r="J635" s="987"/>
      <c r="K635" s="436" t="s">
        <v>143</v>
      </c>
      <c r="L635" s="436" t="s">
        <v>5534</v>
      </c>
      <c r="M635" s="436" t="s">
        <v>5535</v>
      </c>
      <c r="N635" s="987"/>
      <c r="O635" s="436" t="s">
        <v>62</v>
      </c>
      <c r="P635" s="995">
        <v>44936.0</v>
      </c>
      <c r="Q635" s="987"/>
      <c r="R635" s="987"/>
      <c r="S635" s="987"/>
      <c r="T635" s="987"/>
      <c r="U635" s="987"/>
      <c r="V635" s="987"/>
      <c r="W635" s="987"/>
      <c r="X635" s="987"/>
      <c r="Y635" s="987"/>
      <c r="Z635" s="987"/>
      <c r="AA635" s="986"/>
    </row>
    <row r="636" hidden="1">
      <c r="A636" s="995">
        <v>479.0</v>
      </c>
      <c r="B636" s="991">
        <v>44882.0</v>
      </c>
      <c r="C636" s="989" t="s">
        <v>5469</v>
      </c>
      <c r="D636" s="434" t="s">
        <v>133</v>
      </c>
      <c r="E636" s="434" t="s">
        <v>134</v>
      </c>
      <c r="F636" s="434" t="s">
        <v>50</v>
      </c>
      <c r="G636" s="434" t="s">
        <v>135</v>
      </c>
      <c r="H636" s="989" t="s">
        <v>5536</v>
      </c>
      <c r="I636" s="989" t="s">
        <v>5537</v>
      </c>
      <c r="J636" s="987"/>
      <c r="K636" s="436" t="s">
        <v>5472</v>
      </c>
      <c r="L636" s="436" t="s">
        <v>5473</v>
      </c>
      <c r="M636" s="436" t="s">
        <v>5474</v>
      </c>
      <c r="N636" s="987"/>
      <c r="O636" s="436" t="s">
        <v>62</v>
      </c>
      <c r="P636" s="987"/>
      <c r="Q636" s="987"/>
      <c r="R636" s="987"/>
      <c r="S636" s="987"/>
      <c r="T636" s="987"/>
      <c r="U636" s="436" t="s">
        <v>62</v>
      </c>
      <c r="V636" s="987"/>
      <c r="W636" s="987"/>
      <c r="X636" s="987"/>
      <c r="Y636" s="987"/>
      <c r="Z636" s="987"/>
      <c r="AA636" s="986"/>
    </row>
    <row r="637" hidden="1">
      <c r="A637" s="995">
        <v>480.0</v>
      </c>
      <c r="B637" s="991">
        <v>44909.0</v>
      </c>
      <c r="C637" s="989" t="s">
        <v>5469</v>
      </c>
      <c r="D637" s="434" t="s">
        <v>133</v>
      </c>
      <c r="E637" s="434" t="s">
        <v>134</v>
      </c>
      <c r="F637" s="434" t="s">
        <v>50</v>
      </c>
      <c r="G637" s="434" t="s">
        <v>135</v>
      </c>
      <c r="H637" s="989" t="s">
        <v>5536</v>
      </c>
      <c r="I637" s="989" t="s">
        <v>5537</v>
      </c>
      <c r="J637" s="987"/>
      <c r="K637" s="436" t="s">
        <v>5472</v>
      </c>
      <c r="L637" s="436" t="s">
        <v>5473</v>
      </c>
      <c r="M637" s="436" t="s">
        <v>5474</v>
      </c>
      <c r="N637" s="987"/>
      <c r="O637" s="436" t="s">
        <v>62</v>
      </c>
      <c r="P637" s="987"/>
      <c r="Q637" s="987"/>
      <c r="R637" s="987"/>
      <c r="S637" s="987"/>
      <c r="T637" s="987"/>
      <c r="U637" s="436" t="s">
        <v>62</v>
      </c>
      <c r="V637" s="987"/>
      <c r="W637" s="987"/>
      <c r="X637" s="987"/>
      <c r="Y637" s="987"/>
      <c r="Z637" s="987"/>
      <c r="AA637" s="986"/>
    </row>
    <row r="638" hidden="1">
      <c r="A638" s="995">
        <v>481.0</v>
      </c>
      <c r="B638" s="991">
        <v>44918.0</v>
      </c>
      <c r="C638" s="989" t="s">
        <v>5538</v>
      </c>
      <c r="D638" s="434" t="s">
        <v>417</v>
      </c>
      <c r="E638" s="434" t="s">
        <v>3043</v>
      </c>
      <c r="F638" s="990">
        <v>1.634046E7</v>
      </c>
      <c r="G638" s="434" t="s">
        <v>200</v>
      </c>
      <c r="H638" s="989" t="s">
        <v>5539</v>
      </c>
      <c r="I638" s="989" t="s">
        <v>5540</v>
      </c>
      <c r="J638" s="987"/>
      <c r="K638" s="436" t="s">
        <v>265</v>
      </c>
      <c r="L638" s="436" t="s">
        <v>5541</v>
      </c>
      <c r="M638" s="436" t="s">
        <v>267</v>
      </c>
      <c r="N638" s="987"/>
      <c r="O638" s="436" t="s">
        <v>62</v>
      </c>
      <c r="P638" s="995">
        <v>45072.0</v>
      </c>
      <c r="Q638" s="987"/>
      <c r="R638" s="987"/>
      <c r="S638" s="987"/>
      <c r="T638" s="987"/>
      <c r="U638" s="987"/>
      <c r="V638" s="987"/>
      <c r="W638" s="987"/>
      <c r="X638" s="987"/>
      <c r="Y638" s="987"/>
      <c r="Z638" s="987"/>
      <c r="AA638" s="986"/>
    </row>
    <row r="639" hidden="1">
      <c r="A639" s="995">
        <v>483.0</v>
      </c>
      <c r="B639" s="988">
        <v>44601.0</v>
      </c>
      <c r="C639" s="989" t="s">
        <v>5542</v>
      </c>
      <c r="D639" s="434" t="s">
        <v>3885</v>
      </c>
      <c r="E639" s="434" t="s">
        <v>2536</v>
      </c>
      <c r="F639" s="990">
        <v>1.6880254E7</v>
      </c>
      <c r="G639" s="434" t="s">
        <v>51</v>
      </c>
      <c r="H639" s="989" t="s">
        <v>5543</v>
      </c>
      <c r="I639" s="989" t="s">
        <v>5544</v>
      </c>
      <c r="J639" s="987"/>
      <c r="K639" s="436" t="s">
        <v>5545</v>
      </c>
      <c r="L639" s="436" t="s">
        <v>5546</v>
      </c>
      <c r="M639" s="436" t="s">
        <v>5547</v>
      </c>
      <c r="N639" s="987"/>
      <c r="O639" s="987"/>
      <c r="P639" s="987"/>
      <c r="Q639" s="987"/>
      <c r="R639" s="987"/>
      <c r="S639" s="987"/>
      <c r="T639" s="987"/>
      <c r="U639" s="987"/>
      <c r="V639" s="987"/>
      <c r="W639" s="987"/>
      <c r="X639" s="987"/>
      <c r="Y639" s="987"/>
      <c r="Z639" s="987"/>
      <c r="AA639" s="986"/>
    </row>
    <row r="640" hidden="1">
      <c r="A640" s="995">
        <v>486.0</v>
      </c>
      <c r="B640" s="988">
        <v>44943.0</v>
      </c>
      <c r="C640" s="989" t="s">
        <v>5548</v>
      </c>
      <c r="D640" s="434" t="s">
        <v>4152</v>
      </c>
      <c r="E640" s="992"/>
      <c r="F640" s="434" t="s">
        <v>50</v>
      </c>
      <c r="G640" s="434" t="s">
        <v>103</v>
      </c>
      <c r="H640" s="989" t="s">
        <v>5549</v>
      </c>
      <c r="I640" s="989" t="s">
        <v>5550</v>
      </c>
      <c r="J640" s="987"/>
      <c r="K640" s="436" t="s">
        <v>5551</v>
      </c>
      <c r="L640" s="436" t="s">
        <v>5552</v>
      </c>
      <c r="M640" s="436" t="s">
        <v>5399</v>
      </c>
      <c r="N640" s="987"/>
      <c r="O640" s="987"/>
      <c r="P640" s="987"/>
      <c r="Q640" s="987"/>
      <c r="R640" s="987"/>
      <c r="S640" s="987"/>
      <c r="T640" s="987"/>
      <c r="U640" s="987"/>
      <c r="V640" s="987"/>
      <c r="W640" s="987"/>
      <c r="X640" s="987"/>
      <c r="Y640" s="987"/>
      <c r="Z640" s="987"/>
      <c r="AA640" s="986"/>
    </row>
    <row r="641" hidden="1">
      <c r="A641" s="995">
        <v>487.0</v>
      </c>
      <c r="B641" s="988">
        <v>44945.0</v>
      </c>
      <c r="C641" s="989" t="s">
        <v>5429</v>
      </c>
      <c r="D641" s="434" t="s">
        <v>918</v>
      </c>
      <c r="E641" s="434" t="s">
        <v>5553</v>
      </c>
      <c r="F641" s="990">
        <v>1.6351336E7</v>
      </c>
      <c r="G641" s="434" t="s">
        <v>32</v>
      </c>
      <c r="H641" s="989" t="s">
        <v>5453</v>
      </c>
      <c r="I641" s="989" t="s">
        <v>5554</v>
      </c>
      <c r="J641" s="987"/>
      <c r="K641" s="436" t="s">
        <v>278</v>
      </c>
      <c r="L641" s="436" t="s">
        <v>279</v>
      </c>
      <c r="M641" s="436" t="s">
        <v>280</v>
      </c>
      <c r="N641" s="987"/>
      <c r="O641" s="436" t="s">
        <v>62</v>
      </c>
      <c r="P641" s="995">
        <v>44994.0</v>
      </c>
      <c r="Q641" s="987"/>
      <c r="R641" s="987"/>
      <c r="S641" s="987"/>
      <c r="T641" s="987"/>
      <c r="U641" s="436" t="s">
        <v>62</v>
      </c>
      <c r="V641" s="995">
        <v>44994.0</v>
      </c>
      <c r="W641" s="987"/>
      <c r="X641" s="987"/>
      <c r="Y641" s="987"/>
      <c r="Z641" s="987"/>
      <c r="AA641" s="986"/>
    </row>
    <row r="642" hidden="1">
      <c r="A642" s="995">
        <v>488.0</v>
      </c>
      <c r="B642" s="988">
        <v>44950.0</v>
      </c>
      <c r="C642" s="989" t="s">
        <v>5555</v>
      </c>
      <c r="D642" s="434" t="s">
        <v>4191</v>
      </c>
      <c r="E642" s="434" t="s">
        <v>5556</v>
      </c>
      <c r="F642" s="990">
        <v>1.5450229E7</v>
      </c>
      <c r="G642" s="434" t="s">
        <v>32</v>
      </c>
      <c r="H642" s="989" t="s">
        <v>5557</v>
      </c>
      <c r="I642" s="989" t="s">
        <v>5558</v>
      </c>
      <c r="J642" s="987"/>
      <c r="K642" s="436" t="s">
        <v>5559</v>
      </c>
      <c r="L642" s="436" t="s">
        <v>491</v>
      </c>
      <c r="M642" s="436" t="s">
        <v>5560</v>
      </c>
      <c r="N642" s="987"/>
      <c r="O642" s="987"/>
      <c r="P642" s="987"/>
      <c r="Q642" s="436" t="s">
        <v>62</v>
      </c>
      <c r="R642" s="995">
        <v>45343.0</v>
      </c>
      <c r="S642" s="987"/>
      <c r="T642" s="987"/>
      <c r="U642" s="436" t="s">
        <v>62</v>
      </c>
      <c r="V642" s="995">
        <v>45364.0</v>
      </c>
      <c r="W642" s="987"/>
      <c r="X642" s="987"/>
      <c r="Y642" s="987"/>
      <c r="Z642" s="987"/>
      <c r="AA642" s="986"/>
    </row>
    <row r="643" hidden="1">
      <c r="A643" s="995">
        <v>491.0</v>
      </c>
      <c r="B643" s="988">
        <v>44957.0</v>
      </c>
      <c r="C643" s="989" t="s">
        <v>5561</v>
      </c>
      <c r="D643" s="434" t="s">
        <v>720</v>
      </c>
      <c r="E643" s="434" t="s">
        <v>721</v>
      </c>
      <c r="F643" s="990">
        <v>1.8850074E7</v>
      </c>
      <c r="G643" s="434" t="s">
        <v>32</v>
      </c>
      <c r="H643" s="989" t="s">
        <v>5562</v>
      </c>
      <c r="I643" s="989" t="s">
        <v>5563</v>
      </c>
      <c r="J643" s="987"/>
      <c r="K643" s="987"/>
      <c r="L643" s="987"/>
      <c r="M643" s="987"/>
      <c r="N643" s="987"/>
      <c r="O643" s="987"/>
      <c r="P643" s="987"/>
      <c r="Q643" s="987"/>
      <c r="R643" s="987"/>
      <c r="S643" s="987"/>
      <c r="T643" s="987"/>
      <c r="U643" s="987"/>
      <c r="V643" s="987"/>
      <c r="W643" s="987"/>
      <c r="X643" s="987"/>
      <c r="Y643" s="987"/>
      <c r="Z643" s="987"/>
      <c r="AA643" s="986"/>
    </row>
    <row r="644" hidden="1">
      <c r="A644" s="995">
        <v>492.0</v>
      </c>
      <c r="B644" s="988">
        <v>44957.0</v>
      </c>
      <c r="C644" s="989" t="s">
        <v>5564</v>
      </c>
      <c r="D644" s="434" t="s">
        <v>5565</v>
      </c>
      <c r="E644" s="434" t="s">
        <v>1028</v>
      </c>
      <c r="F644" s="990">
        <v>1840062.0</v>
      </c>
      <c r="G644" s="434" t="s">
        <v>32</v>
      </c>
      <c r="H644" s="989" t="s">
        <v>5566</v>
      </c>
      <c r="I644" s="989" t="s">
        <v>5567</v>
      </c>
      <c r="J644" s="987"/>
      <c r="K644" s="987"/>
      <c r="L644" s="987"/>
      <c r="M644" s="987"/>
      <c r="N644" s="987"/>
      <c r="O644" s="987"/>
      <c r="P644" s="987"/>
      <c r="Q644" s="987"/>
      <c r="R644" s="987"/>
      <c r="S644" s="987"/>
      <c r="T644" s="987"/>
      <c r="U644" s="987"/>
      <c r="V644" s="987"/>
      <c r="W644" s="987"/>
      <c r="X644" s="987"/>
      <c r="Y644" s="987"/>
      <c r="Z644" s="987"/>
      <c r="AA644" s="986"/>
    </row>
    <row r="645" hidden="1">
      <c r="A645" s="995">
        <v>495.0</v>
      </c>
      <c r="B645" s="988">
        <v>44964.0</v>
      </c>
      <c r="C645" s="989" t="s">
        <v>5429</v>
      </c>
      <c r="D645" s="434" t="s">
        <v>918</v>
      </c>
      <c r="E645" s="434" t="s">
        <v>261</v>
      </c>
      <c r="F645" s="990">
        <v>1.6351337E7</v>
      </c>
      <c r="G645" s="434" t="s">
        <v>32</v>
      </c>
      <c r="H645" s="989" t="s">
        <v>5568</v>
      </c>
      <c r="I645" s="989" t="s">
        <v>5569</v>
      </c>
      <c r="J645" s="987"/>
      <c r="K645" s="436" t="s">
        <v>278</v>
      </c>
      <c r="L645" s="436" t="s">
        <v>1286</v>
      </c>
      <c r="M645" s="436" t="s">
        <v>280</v>
      </c>
      <c r="N645" s="987"/>
      <c r="O645" s="436" t="s">
        <v>62</v>
      </c>
      <c r="P645" s="995">
        <v>45035.0</v>
      </c>
      <c r="Q645" s="987"/>
      <c r="R645" s="987"/>
      <c r="S645" s="987"/>
      <c r="T645" s="987"/>
      <c r="U645" s="436" t="s">
        <v>62</v>
      </c>
      <c r="V645" s="995">
        <v>45035.0</v>
      </c>
      <c r="W645" s="987"/>
      <c r="X645" s="987"/>
      <c r="Y645" s="987"/>
      <c r="Z645" s="987"/>
      <c r="AA645" s="986"/>
    </row>
    <row r="646" hidden="1">
      <c r="A646" s="995">
        <v>497.0</v>
      </c>
      <c r="B646" s="996">
        <v>44970.0</v>
      </c>
      <c r="C646" s="984" t="s">
        <v>5515</v>
      </c>
      <c r="D646" s="436" t="s">
        <v>239</v>
      </c>
      <c r="E646" s="436" t="s">
        <v>559</v>
      </c>
      <c r="F646" s="995">
        <v>1.7190645E7</v>
      </c>
      <c r="G646" s="436" t="s">
        <v>103</v>
      </c>
      <c r="H646" s="984" t="s">
        <v>5570</v>
      </c>
      <c r="I646" s="999" t="s">
        <v>5571</v>
      </c>
      <c r="J646" s="987"/>
      <c r="K646" s="436" t="s">
        <v>243</v>
      </c>
      <c r="L646" s="436" t="s">
        <v>2489</v>
      </c>
      <c r="M646" s="436" t="s">
        <v>737</v>
      </c>
      <c r="N646" s="987"/>
      <c r="O646" s="987"/>
      <c r="P646" s="987"/>
      <c r="Q646" s="987"/>
      <c r="R646" s="987"/>
      <c r="S646" s="987"/>
      <c r="T646" s="987"/>
      <c r="U646" s="987"/>
      <c r="V646" s="987"/>
      <c r="W646" s="987"/>
      <c r="X646" s="987"/>
      <c r="Y646" s="987"/>
      <c r="Z646" s="987"/>
      <c r="AA646" s="986"/>
    </row>
    <row r="647" hidden="1">
      <c r="A647" s="995">
        <v>499.0</v>
      </c>
      <c r="B647" s="988">
        <v>44974.0</v>
      </c>
      <c r="C647" s="989" t="s">
        <v>5572</v>
      </c>
      <c r="D647" s="434" t="s">
        <v>2522</v>
      </c>
      <c r="E647" s="434" t="s">
        <v>2523</v>
      </c>
      <c r="F647" s="434" t="s">
        <v>50</v>
      </c>
      <c r="G647" s="434" t="s">
        <v>120</v>
      </c>
      <c r="H647" s="989" t="s">
        <v>5573</v>
      </c>
      <c r="I647" s="989" t="s">
        <v>5574</v>
      </c>
      <c r="J647" s="987"/>
      <c r="K647" s="987"/>
      <c r="L647" s="987"/>
      <c r="M647" s="987"/>
      <c r="N647" s="987"/>
      <c r="O647" s="987"/>
      <c r="P647" s="987"/>
      <c r="Q647" s="987"/>
      <c r="R647" s="987"/>
      <c r="S647" s="987"/>
      <c r="T647" s="987"/>
      <c r="U647" s="987"/>
      <c r="V647" s="987"/>
      <c r="W647" s="987"/>
      <c r="X647" s="987"/>
      <c r="Y647" s="987"/>
      <c r="Z647" s="987"/>
      <c r="AA647" s="986"/>
    </row>
    <row r="648" hidden="1">
      <c r="A648" s="995">
        <v>502.0</v>
      </c>
      <c r="B648" s="1015">
        <v>44981.0</v>
      </c>
      <c r="C648" s="1016" t="s">
        <v>5575</v>
      </c>
      <c r="D648" s="1017" t="s">
        <v>3106</v>
      </c>
      <c r="E648" s="1017" t="s">
        <v>160</v>
      </c>
      <c r="F648" s="1018">
        <v>1.6490577E7</v>
      </c>
      <c r="G648" s="1017" t="s">
        <v>120</v>
      </c>
      <c r="H648" s="1016" t="s">
        <v>3107</v>
      </c>
      <c r="I648" s="1001" t="s">
        <v>5576</v>
      </c>
      <c r="J648" s="987"/>
      <c r="K648" s="436" t="s">
        <v>3109</v>
      </c>
      <c r="L648" s="436" t="s">
        <v>3110</v>
      </c>
      <c r="M648" s="436" t="s">
        <v>3111</v>
      </c>
      <c r="N648" s="987"/>
      <c r="O648" s="987"/>
      <c r="P648" s="987"/>
      <c r="Q648" s="987"/>
      <c r="R648" s="987"/>
      <c r="S648" s="436" t="s">
        <v>62</v>
      </c>
      <c r="T648" s="995">
        <v>45282.0</v>
      </c>
      <c r="U648" s="987"/>
      <c r="V648" s="987"/>
      <c r="W648" s="987"/>
      <c r="X648" s="987"/>
      <c r="Y648" s="987"/>
      <c r="Z648" s="987"/>
      <c r="AA648" s="986"/>
    </row>
    <row r="649" hidden="1">
      <c r="A649" s="995">
        <v>503.0</v>
      </c>
      <c r="B649" s="988">
        <v>44984.0</v>
      </c>
      <c r="C649" s="989" t="s">
        <v>5577</v>
      </c>
      <c r="D649" s="434" t="s">
        <v>152</v>
      </c>
      <c r="E649" s="434" t="s">
        <v>5578</v>
      </c>
      <c r="F649" s="990">
        <v>1.67202E7</v>
      </c>
      <c r="G649" s="434" t="s">
        <v>831</v>
      </c>
      <c r="H649" s="989" t="s">
        <v>5579</v>
      </c>
      <c r="I649" s="993" t="s">
        <v>5580</v>
      </c>
      <c r="J649" s="987"/>
      <c r="K649" s="987"/>
      <c r="L649" s="987"/>
      <c r="M649" s="987"/>
      <c r="N649" s="987"/>
      <c r="O649" s="436" t="s">
        <v>62</v>
      </c>
      <c r="P649" s="987"/>
      <c r="Q649" s="987"/>
      <c r="R649" s="987"/>
      <c r="S649" s="987"/>
      <c r="T649" s="987"/>
      <c r="U649" s="987"/>
      <c r="V649" s="987"/>
      <c r="W649" s="987"/>
      <c r="X649" s="987"/>
      <c r="Y649" s="987"/>
      <c r="Z649" s="987"/>
      <c r="AA649" s="986"/>
    </row>
    <row r="650" hidden="1">
      <c r="A650" s="995">
        <v>505.0</v>
      </c>
      <c r="B650" s="988">
        <v>44992.0</v>
      </c>
      <c r="C650" s="989" t="s">
        <v>5475</v>
      </c>
      <c r="D650" s="434" t="s">
        <v>367</v>
      </c>
      <c r="E650" s="434" t="s">
        <v>49</v>
      </c>
      <c r="F650" s="434" t="s">
        <v>50</v>
      </c>
      <c r="G650" s="434" t="s">
        <v>120</v>
      </c>
      <c r="H650" s="989" t="s">
        <v>5217</v>
      </c>
      <c r="I650" s="989" t="s">
        <v>5581</v>
      </c>
      <c r="J650" s="987"/>
      <c r="K650" s="436" t="s">
        <v>123</v>
      </c>
      <c r="L650" s="436" t="s">
        <v>4918</v>
      </c>
      <c r="M650" s="436" t="s">
        <v>4919</v>
      </c>
      <c r="N650" s="987"/>
      <c r="O650" s="987"/>
      <c r="P650" s="987"/>
      <c r="Q650" s="987"/>
      <c r="R650" s="987"/>
      <c r="S650" s="987"/>
      <c r="T650" s="987"/>
      <c r="U650" s="987"/>
      <c r="V650" s="987"/>
      <c r="W650" s="987"/>
      <c r="X650" s="987"/>
      <c r="Y650" s="987"/>
      <c r="Z650" s="987"/>
      <c r="AA650" s="986"/>
    </row>
    <row r="651" hidden="1">
      <c r="A651" s="995">
        <v>506.0</v>
      </c>
      <c r="B651" s="988">
        <v>44992.0</v>
      </c>
      <c r="C651" s="989" t="s">
        <v>5475</v>
      </c>
      <c r="D651" s="434" t="s">
        <v>367</v>
      </c>
      <c r="E651" s="434" t="s">
        <v>49</v>
      </c>
      <c r="F651" s="434" t="s">
        <v>50</v>
      </c>
      <c r="G651" s="434" t="s">
        <v>120</v>
      </c>
      <c r="H651" s="989" t="s">
        <v>5217</v>
      </c>
      <c r="I651" s="989" t="s">
        <v>5582</v>
      </c>
      <c r="J651" s="987"/>
      <c r="K651" s="436" t="s">
        <v>123</v>
      </c>
      <c r="L651" s="436" t="s">
        <v>4918</v>
      </c>
      <c r="M651" s="436" t="s">
        <v>4919</v>
      </c>
      <c r="N651" s="987"/>
      <c r="O651" s="987"/>
      <c r="P651" s="987"/>
      <c r="Q651" s="987"/>
      <c r="R651" s="987"/>
      <c r="S651" s="987"/>
      <c r="T651" s="987"/>
      <c r="U651" s="987"/>
      <c r="V651" s="987"/>
      <c r="W651" s="987"/>
      <c r="X651" s="987"/>
      <c r="Y651" s="987"/>
      <c r="Z651" s="987"/>
      <c r="AA651" s="986"/>
    </row>
    <row r="652" hidden="1">
      <c r="A652" s="995">
        <v>507.0</v>
      </c>
      <c r="B652" s="988">
        <v>44992.0</v>
      </c>
      <c r="C652" s="989" t="s">
        <v>5475</v>
      </c>
      <c r="D652" s="434" t="s">
        <v>367</v>
      </c>
      <c r="E652" s="434" t="s">
        <v>49</v>
      </c>
      <c r="F652" s="434" t="s">
        <v>50</v>
      </c>
      <c r="G652" s="434" t="s">
        <v>120</v>
      </c>
      <c r="H652" s="989" t="s">
        <v>5217</v>
      </c>
      <c r="I652" s="989" t="s">
        <v>5583</v>
      </c>
      <c r="J652" s="987"/>
      <c r="K652" s="436" t="s">
        <v>123</v>
      </c>
      <c r="L652" s="436" t="s">
        <v>5104</v>
      </c>
      <c r="M652" s="436" t="s">
        <v>4919</v>
      </c>
      <c r="N652" s="987"/>
      <c r="O652" s="987"/>
      <c r="P652" s="987"/>
      <c r="Q652" s="987"/>
      <c r="R652" s="987"/>
      <c r="S652" s="987"/>
      <c r="T652" s="987"/>
      <c r="U652" s="987"/>
      <c r="V652" s="987"/>
      <c r="W652" s="987"/>
      <c r="X652" s="987"/>
      <c r="Y652" s="987"/>
      <c r="Z652" s="987"/>
      <c r="AA652" s="986"/>
    </row>
    <row r="653" hidden="1">
      <c r="A653" s="995">
        <v>508.0</v>
      </c>
      <c r="B653" s="988">
        <v>44992.0</v>
      </c>
      <c r="C653" s="989" t="s">
        <v>5475</v>
      </c>
      <c r="D653" s="434" t="s">
        <v>367</v>
      </c>
      <c r="E653" s="434" t="s">
        <v>49</v>
      </c>
      <c r="F653" s="434" t="s">
        <v>50</v>
      </c>
      <c r="G653" s="434" t="s">
        <v>120</v>
      </c>
      <c r="H653" s="989" t="s">
        <v>5217</v>
      </c>
      <c r="I653" s="989" t="s">
        <v>5583</v>
      </c>
      <c r="J653" s="987"/>
      <c r="K653" s="436" t="s">
        <v>123</v>
      </c>
      <c r="L653" s="436" t="s">
        <v>5104</v>
      </c>
      <c r="M653" s="436" t="s">
        <v>4919</v>
      </c>
      <c r="N653" s="987"/>
      <c r="O653" s="987"/>
      <c r="P653" s="987"/>
      <c r="Q653" s="987"/>
      <c r="R653" s="987"/>
      <c r="S653" s="987"/>
      <c r="T653" s="987"/>
      <c r="U653" s="987"/>
      <c r="V653" s="987"/>
      <c r="W653" s="987"/>
      <c r="X653" s="987"/>
      <c r="Y653" s="987"/>
      <c r="Z653" s="987"/>
      <c r="AA653" s="986"/>
    </row>
    <row r="654" hidden="1">
      <c r="A654" s="995">
        <v>509.0</v>
      </c>
      <c r="B654" s="988">
        <v>44994.0</v>
      </c>
      <c r="C654" s="989" t="s">
        <v>5538</v>
      </c>
      <c r="D654" s="434" t="s">
        <v>417</v>
      </c>
      <c r="E654" s="434" t="s">
        <v>300</v>
      </c>
      <c r="F654" s="990">
        <v>1.634048E7</v>
      </c>
      <c r="G654" s="434" t="s">
        <v>200</v>
      </c>
      <c r="H654" s="989" t="s">
        <v>5584</v>
      </c>
      <c r="I654" s="989" t="s">
        <v>5585</v>
      </c>
      <c r="J654" s="987"/>
      <c r="K654" s="436" t="s">
        <v>265</v>
      </c>
      <c r="L654" s="436" t="s">
        <v>5586</v>
      </c>
      <c r="M654" s="436" t="s">
        <v>267</v>
      </c>
      <c r="N654" s="987"/>
      <c r="O654" s="436" t="s">
        <v>62</v>
      </c>
      <c r="P654" s="995">
        <v>45040.0</v>
      </c>
      <c r="Q654" s="987"/>
      <c r="R654" s="987"/>
      <c r="S654" s="987"/>
      <c r="T654" s="987"/>
      <c r="U654" s="987"/>
      <c r="V654" s="987"/>
      <c r="W654" s="987"/>
      <c r="X654" s="987"/>
      <c r="Y654" s="987"/>
      <c r="Z654" s="987"/>
      <c r="AA654" s="986"/>
    </row>
    <row r="655" hidden="1">
      <c r="A655" s="995">
        <v>510.0</v>
      </c>
      <c r="B655" s="988">
        <v>44994.0</v>
      </c>
      <c r="C655" s="989" t="s">
        <v>5587</v>
      </c>
      <c r="D655" s="434" t="s">
        <v>5588</v>
      </c>
      <c r="E655" s="434" t="s">
        <v>5589</v>
      </c>
      <c r="F655" s="990">
        <v>1.6250123E7</v>
      </c>
      <c r="G655" s="434" t="s">
        <v>348</v>
      </c>
      <c r="H655" s="989" t="s">
        <v>5590</v>
      </c>
      <c r="I655" s="989" t="s">
        <v>5591</v>
      </c>
      <c r="J655" s="987"/>
      <c r="K655" s="436" t="s">
        <v>5592</v>
      </c>
      <c r="L655" s="436" t="s">
        <v>5237</v>
      </c>
      <c r="M655" s="987"/>
      <c r="N655" s="987"/>
      <c r="O655" s="987"/>
      <c r="P655" s="987"/>
      <c r="Q655" s="987"/>
      <c r="R655" s="987"/>
      <c r="S655" s="987"/>
      <c r="T655" s="987"/>
      <c r="U655" s="987"/>
      <c r="V655" s="987"/>
      <c r="W655" s="987"/>
      <c r="X655" s="987"/>
      <c r="Y655" s="987"/>
      <c r="Z655" s="987"/>
      <c r="AA655" s="986"/>
    </row>
    <row r="656" hidden="1">
      <c r="A656" s="995">
        <v>511.0</v>
      </c>
      <c r="B656" s="988">
        <v>44995.0</v>
      </c>
      <c r="C656" s="989" t="s">
        <v>3248</v>
      </c>
      <c r="D656" s="434" t="s">
        <v>367</v>
      </c>
      <c r="E656" s="434" t="s">
        <v>49</v>
      </c>
      <c r="F656" s="990">
        <v>1.4882501E7</v>
      </c>
      <c r="G656" s="434" t="s">
        <v>120</v>
      </c>
      <c r="H656" s="989" t="s">
        <v>5593</v>
      </c>
      <c r="I656" s="993" t="s">
        <v>5594</v>
      </c>
      <c r="J656" s="987"/>
      <c r="K656" s="436" t="s">
        <v>123</v>
      </c>
      <c r="L656" s="984" t="s">
        <v>5595</v>
      </c>
      <c r="M656" s="987"/>
      <c r="N656" s="987"/>
      <c r="O656" s="987"/>
      <c r="P656" s="987"/>
      <c r="Q656" s="987"/>
      <c r="R656" s="987"/>
      <c r="S656" s="987"/>
      <c r="T656" s="987"/>
      <c r="U656" s="436" t="s">
        <v>62</v>
      </c>
      <c r="V656" s="995">
        <v>45009.0</v>
      </c>
      <c r="W656" s="987"/>
      <c r="X656" s="987"/>
      <c r="Y656" s="987"/>
      <c r="Z656" s="987"/>
      <c r="AA656" s="986"/>
    </row>
    <row r="657" hidden="1">
      <c r="A657" s="995">
        <v>512.0</v>
      </c>
      <c r="B657" s="988">
        <v>44995.0</v>
      </c>
      <c r="C657" s="989" t="s">
        <v>3248</v>
      </c>
      <c r="D657" s="434" t="s">
        <v>367</v>
      </c>
      <c r="E657" s="434" t="s">
        <v>49</v>
      </c>
      <c r="F657" s="434" t="s">
        <v>50</v>
      </c>
      <c r="G657" s="434" t="s">
        <v>120</v>
      </c>
      <c r="H657" s="989" t="s">
        <v>5217</v>
      </c>
      <c r="I657" s="989" t="s">
        <v>5594</v>
      </c>
      <c r="J657" s="987"/>
      <c r="K657" s="436" t="s">
        <v>123</v>
      </c>
      <c r="L657" s="984" t="s">
        <v>5595</v>
      </c>
      <c r="M657" s="987"/>
      <c r="N657" s="987"/>
      <c r="O657" s="987"/>
      <c r="P657" s="987"/>
      <c r="Q657" s="987"/>
      <c r="R657" s="987"/>
      <c r="S657" s="987"/>
      <c r="T657" s="987"/>
      <c r="U657" s="987"/>
      <c r="V657" s="987"/>
      <c r="W657" s="987"/>
      <c r="X657" s="987"/>
      <c r="Y657" s="987"/>
      <c r="Z657" s="987"/>
      <c r="AA657" s="986"/>
    </row>
    <row r="658" hidden="1">
      <c r="A658" s="995">
        <v>513.0</v>
      </c>
      <c r="B658" s="988">
        <v>44995.0</v>
      </c>
      <c r="C658" s="989" t="s">
        <v>3248</v>
      </c>
      <c r="D658" s="434" t="s">
        <v>367</v>
      </c>
      <c r="E658" s="434" t="s">
        <v>49</v>
      </c>
      <c r="F658" s="434" t="s">
        <v>50</v>
      </c>
      <c r="G658" s="434" t="s">
        <v>120</v>
      </c>
      <c r="H658" s="989" t="s">
        <v>5217</v>
      </c>
      <c r="I658" s="989" t="s">
        <v>5596</v>
      </c>
      <c r="J658" s="987"/>
      <c r="K658" s="436" t="s">
        <v>123</v>
      </c>
      <c r="L658" s="984" t="s">
        <v>5595</v>
      </c>
      <c r="M658" s="987"/>
      <c r="N658" s="987"/>
      <c r="O658" s="987"/>
      <c r="P658" s="987"/>
      <c r="Q658" s="987"/>
      <c r="R658" s="987"/>
      <c r="S658" s="987"/>
      <c r="T658" s="987"/>
      <c r="U658" s="987"/>
      <c r="V658" s="987"/>
      <c r="W658" s="987"/>
      <c r="X658" s="987"/>
      <c r="Y658" s="987"/>
      <c r="Z658" s="987"/>
      <c r="AA658" s="986"/>
    </row>
    <row r="659" hidden="1">
      <c r="A659" s="995">
        <v>514.0</v>
      </c>
      <c r="B659" s="988">
        <v>44995.0</v>
      </c>
      <c r="C659" s="989" t="s">
        <v>3248</v>
      </c>
      <c r="D659" s="434" t="s">
        <v>367</v>
      </c>
      <c r="E659" s="434" t="s">
        <v>49</v>
      </c>
      <c r="F659" s="434" t="s">
        <v>50</v>
      </c>
      <c r="G659" s="434" t="s">
        <v>120</v>
      </c>
      <c r="H659" s="989" t="s">
        <v>5217</v>
      </c>
      <c r="I659" s="989" t="s">
        <v>5594</v>
      </c>
      <c r="J659" s="987"/>
      <c r="K659" s="436" t="s">
        <v>123</v>
      </c>
      <c r="L659" s="984" t="s">
        <v>5595</v>
      </c>
      <c r="M659" s="987"/>
      <c r="N659" s="987"/>
      <c r="O659" s="987"/>
      <c r="P659" s="987"/>
      <c r="Q659" s="987"/>
      <c r="R659" s="987"/>
      <c r="S659" s="987"/>
      <c r="T659" s="987"/>
      <c r="U659" s="987"/>
      <c r="V659" s="987"/>
      <c r="W659" s="987"/>
      <c r="X659" s="987"/>
      <c r="Y659" s="987"/>
      <c r="Z659" s="987"/>
      <c r="AA659" s="986"/>
    </row>
    <row r="660" hidden="1">
      <c r="A660" s="995">
        <v>515.0</v>
      </c>
      <c r="B660" s="988">
        <v>44995.0</v>
      </c>
      <c r="C660" s="989" t="s">
        <v>3248</v>
      </c>
      <c r="D660" s="434" t="s">
        <v>367</v>
      </c>
      <c r="E660" s="434" t="s">
        <v>49</v>
      </c>
      <c r="F660" s="434" t="s">
        <v>50</v>
      </c>
      <c r="G660" s="434" t="s">
        <v>120</v>
      </c>
      <c r="H660" s="989" t="s">
        <v>5217</v>
      </c>
      <c r="I660" s="989" t="s">
        <v>5597</v>
      </c>
      <c r="J660" s="987"/>
      <c r="K660" s="436" t="s">
        <v>123</v>
      </c>
      <c r="L660" s="984" t="s">
        <v>5595</v>
      </c>
      <c r="M660" s="987"/>
      <c r="N660" s="987"/>
      <c r="O660" s="987"/>
      <c r="P660" s="987"/>
      <c r="Q660" s="987"/>
      <c r="R660" s="987"/>
      <c r="S660" s="987"/>
      <c r="T660" s="987"/>
      <c r="U660" s="987"/>
      <c r="V660" s="987"/>
      <c r="W660" s="987"/>
      <c r="X660" s="987"/>
      <c r="Y660" s="987"/>
      <c r="Z660" s="987"/>
      <c r="AA660" s="986"/>
    </row>
    <row r="661" hidden="1">
      <c r="A661" s="995">
        <v>516.0</v>
      </c>
      <c r="B661" s="988">
        <v>44995.0</v>
      </c>
      <c r="C661" s="989" t="s">
        <v>3248</v>
      </c>
      <c r="D661" s="434" t="s">
        <v>367</v>
      </c>
      <c r="E661" s="434" t="s">
        <v>49</v>
      </c>
      <c r="F661" s="434" t="s">
        <v>50</v>
      </c>
      <c r="G661" s="434" t="s">
        <v>120</v>
      </c>
      <c r="H661" s="989" t="s">
        <v>5217</v>
      </c>
      <c r="I661" s="989" t="s">
        <v>5598</v>
      </c>
      <c r="J661" s="987"/>
      <c r="K661" s="436" t="s">
        <v>123</v>
      </c>
      <c r="L661" s="984" t="s">
        <v>5595</v>
      </c>
      <c r="M661" s="987"/>
      <c r="N661" s="987"/>
      <c r="O661" s="987"/>
      <c r="P661" s="987"/>
      <c r="Q661" s="987"/>
      <c r="R661" s="987"/>
      <c r="S661" s="987"/>
      <c r="T661" s="987"/>
      <c r="U661" s="987"/>
      <c r="V661" s="987"/>
      <c r="W661" s="987"/>
      <c r="X661" s="987"/>
      <c r="Y661" s="987"/>
      <c r="Z661" s="987"/>
      <c r="AA661" s="986"/>
    </row>
    <row r="662" hidden="1">
      <c r="A662" s="995">
        <v>517.0</v>
      </c>
      <c r="B662" s="988">
        <v>44995.0</v>
      </c>
      <c r="C662" s="989" t="s">
        <v>3248</v>
      </c>
      <c r="D662" s="434" t="s">
        <v>367</v>
      </c>
      <c r="E662" s="434" t="s">
        <v>49</v>
      </c>
      <c r="F662" s="434" t="s">
        <v>50</v>
      </c>
      <c r="G662" s="434" t="s">
        <v>120</v>
      </c>
      <c r="H662" s="989" t="s">
        <v>5217</v>
      </c>
      <c r="I662" s="989" t="s">
        <v>5599</v>
      </c>
      <c r="J662" s="987"/>
      <c r="K662" s="436" t="s">
        <v>123</v>
      </c>
      <c r="L662" s="984" t="s">
        <v>5595</v>
      </c>
      <c r="M662" s="987"/>
      <c r="N662" s="987"/>
      <c r="O662" s="987"/>
      <c r="P662" s="987"/>
      <c r="Q662" s="987"/>
      <c r="R662" s="987"/>
      <c r="S662" s="987"/>
      <c r="T662" s="987"/>
      <c r="U662" s="987"/>
      <c r="V662" s="987"/>
      <c r="W662" s="987"/>
      <c r="X662" s="987"/>
      <c r="Y662" s="987"/>
      <c r="Z662" s="987"/>
      <c r="AA662" s="986"/>
    </row>
    <row r="663" hidden="1">
      <c r="A663" s="995">
        <v>518.0</v>
      </c>
      <c r="B663" s="988">
        <v>44995.0</v>
      </c>
      <c r="C663" s="989" t="s">
        <v>3248</v>
      </c>
      <c r="D663" s="434" t="s">
        <v>367</v>
      </c>
      <c r="E663" s="434" t="s">
        <v>49</v>
      </c>
      <c r="F663" s="434" t="s">
        <v>50</v>
      </c>
      <c r="G663" s="434" t="s">
        <v>120</v>
      </c>
      <c r="H663" s="989" t="s">
        <v>5217</v>
      </c>
      <c r="I663" s="989" t="s">
        <v>5600</v>
      </c>
      <c r="J663" s="987"/>
      <c r="K663" s="436" t="s">
        <v>123</v>
      </c>
      <c r="L663" s="984" t="s">
        <v>5595</v>
      </c>
      <c r="M663" s="987"/>
      <c r="N663" s="987"/>
      <c r="O663" s="987"/>
      <c r="P663" s="987"/>
      <c r="Q663" s="987"/>
      <c r="R663" s="987"/>
      <c r="S663" s="987"/>
      <c r="T663" s="987"/>
      <c r="U663" s="987"/>
      <c r="V663" s="987"/>
      <c r="W663" s="987"/>
      <c r="X663" s="987"/>
      <c r="Y663" s="987"/>
      <c r="Z663" s="987"/>
      <c r="AA663" s="986"/>
    </row>
    <row r="664" hidden="1">
      <c r="A664" s="995">
        <v>519.0</v>
      </c>
      <c r="B664" s="988">
        <v>44995.0</v>
      </c>
      <c r="C664" s="989" t="s">
        <v>3248</v>
      </c>
      <c r="D664" s="434" t="s">
        <v>367</v>
      </c>
      <c r="E664" s="434" t="s">
        <v>49</v>
      </c>
      <c r="F664" s="434" t="s">
        <v>50</v>
      </c>
      <c r="G664" s="434" t="s">
        <v>120</v>
      </c>
      <c r="H664" s="989" t="s">
        <v>5217</v>
      </c>
      <c r="I664" s="989" t="s">
        <v>5600</v>
      </c>
      <c r="J664" s="987"/>
      <c r="K664" s="436" t="s">
        <v>123</v>
      </c>
      <c r="L664" s="984" t="s">
        <v>5595</v>
      </c>
      <c r="M664" s="987"/>
      <c r="N664" s="987"/>
      <c r="O664" s="987"/>
      <c r="P664" s="987"/>
      <c r="Q664" s="987"/>
      <c r="R664" s="987"/>
      <c r="S664" s="987"/>
      <c r="T664" s="987"/>
      <c r="U664" s="987"/>
      <c r="V664" s="987"/>
      <c r="W664" s="987"/>
      <c r="X664" s="987"/>
      <c r="Y664" s="987"/>
      <c r="Z664" s="987"/>
      <c r="AA664" s="986"/>
    </row>
    <row r="665" hidden="1">
      <c r="A665" s="995">
        <v>520.0</v>
      </c>
      <c r="B665" s="988">
        <v>44995.0</v>
      </c>
      <c r="C665" s="989" t="s">
        <v>3248</v>
      </c>
      <c r="D665" s="434" t="s">
        <v>367</v>
      </c>
      <c r="E665" s="434" t="s">
        <v>49</v>
      </c>
      <c r="F665" s="434" t="s">
        <v>50</v>
      </c>
      <c r="G665" s="434" t="s">
        <v>120</v>
      </c>
      <c r="H665" s="989" t="s">
        <v>5217</v>
      </c>
      <c r="I665" s="989" t="s">
        <v>5600</v>
      </c>
      <c r="J665" s="987"/>
      <c r="K665" s="436" t="s">
        <v>123</v>
      </c>
      <c r="L665" s="984" t="s">
        <v>5595</v>
      </c>
      <c r="M665" s="987"/>
      <c r="N665" s="987"/>
      <c r="O665" s="987"/>
      <c r="P665" s="987"/>
      <c r="Q665" s="987"/>
      <c r="R665" s="987"/>
      <c r="S665" s="987"/>
      <c r="T665" s="987"/>
      <c r="U665" s="987"/>
      <c r="V665" s="987"/>
      <c r="W665" s="987"/>
      <c r="X665" s="987"/>
      <c r="Y665" s="987"/>
      <c r="Z665" s="987"/>
      <c r="AA665" s="986"/>
    </row>
    <row r="666" hidden="1">
      <c r="A666" s="995">
        <v>521.0</v>
      </c>
      <c r="B666" s="988">
        <v>44995.0</v>
      </c>
      <c r="C666" s="989" t="s">
        <v>3248</v>
      </c>
      <c r="D666" s="434" t="s">
        <v>367</v>
      </c>
      <c r="E666" s="434" t="s">
        <v>49</v>
      </c>
      <c r="F666" s="434" t="s">
        <v>50</v>
      </c>
      <c r="G666" s="434" t="s">
        <v>120</v>
      </c>
      <c r="H666" s="989" t="s">
        <v>5217</v>
      </c>
      <c r="I666" s="989" t="s">
        <v>5600</v>
      </c>
      <c r="J666" s="987"/>
      <c r="K666" s="436" t="s">
        <v>123</v>
      </c>
      <c r="L666" s="984" t="s">
        <v>5595</v>
      </c>
      <c r="M666" s="987"/>
      <c r="N666" s="987"/>
      <c r="O666" s="987"/>
      <c r="P666" s="987"/>
      <c r="Q666" s="987"/>
      <c r="R666" s="987"/>
      <c r="S666" s="987"/>
      <c r="T666" s="987"/>
      <c r="U666" s="987"/>
      <c r="V666" s="987"/>
      <c r="W666" s="987"/>
      <c r="X666" s="987"/>
      <c r="Y666" s="987"/>
      <c r="Z666" s="987"/>
      <c r="AA666" s="986"/>
    </row>
    <row r="667" hidden="1">
      <c r="A667" s="995">
        <v>522.0</v>
      </c>
      <c r="B667" s="988">
        <v>44995.0</v>
      </c>
      <c r="C667" s="989" t="s">
        <v>3248</v>
      </c>
      <c r="D667" s="434" t="s">
        <v>367</v>
      </c>
      <c r="E667" s="434" t="s">
        <v>49</v>
      </c>
      <c r="F667" s="434" t="s">
        <v>50</v>
      </c>
      <c r="G667" s="434" t="s">
        <v>120</v>
      </c>
      <c r="H667" s="989" t="s">
        <v>5217</v>
      </c>
      <c r="I667" s="989" t="s">
        <v>5600</v>
      </c>
      <c r="J667" s="987"/>
      <c r="K667" s="436" t="s">
        <v>123</v>
      </c>
      <c r="L667" s="984" t="s">
        <v>5595</v>
      </c>
      <c r="M667" s="987"/>
      <c r="N667" s="987"/>
      <c r="O667" s="987"/>
      <c r="P667" s="987"/>
      <c r="Q667" s="987"/>
      <c r="R667" s="987"/>
      <c r="S667" s="987"/>
      <c r="T667" s="987"/>
      <c r="U667" s="987"/>
      <c r="V667" s="987"/>
      <c r="W667" s="987"/>
      <c r="X667" s="987"/>
      <c r="Y667" s="987"/>
      <c r="Z667" s="987"/>
      <c r="AA667" s="986"/>
    </row>
    <row r="668" hidden="1">
      <c r="A668" s="995">
        <v>523.0</v>
      </c>
      <c r="B668" s="988">
        <v>44995.0</v>
      </c>
      <c r="C668" s="989" t="s">
        <v>3248</v>
      </c>
      <c r="D668" s="434" t="s">
        <v>367</v>
      </c>
      <c r="E668" s="434" t="s">
        <v>49</v>
      </c>
      <c r="F668" s="434" t="s">
        <v>50</v>
      </c>
      <c r="G668" s="434" t="s">
        <v>120</v>
      </c>
      <c r="H668" s="989" t="s">
        <v>5217</v>
      </c>
      <c r="I668" s="989" t="s">
        <v>5600</v>
      </c>
      <c r="J668" s="987"/>
      <c r="K668" s="436" t="s">
        <v>123</v>
      </c>
      <c r="L668" s="984" t="s">
        <v>5595</v>
      </c>
      <c r="M668" s="987"/>
      <c r="N668" s="987"/>
      <c r="O668" s="987"/>
      <c r="P668" s="987"/>
      <c r="Q668" s="987"/>
      <c r="R668" s="987"/>
      <c r="S668" s="987"/>
      <c r="T668" s="987"/>
      <c r="U668" s="987"/>
      <c r="V668" s="987"/>
      <c r="W668" s="987"/>
      <c r="X668" s="987"/>
      <c r="Y668" s="987"/>
      <c r="Z668" s="987"/>
      <c r="AA668" s="986"/>
    </row>
    <row r="669" hidden="1">
      <c r="A669" s="995">
        <v>524.0</v>
      </c>
      <c r="B669" s="988">
        <v>44995.0</v>
      </c>
      <c r="C669" s="989" t="s">
        <v>3248</v>
      </c>
      <c r="D669" s="434" t="s">
        <v>367</v>
      </c>
      <c r="E669" s="434" t="s">
        <v>49</v>
      </c>
      <c r="F669" s="434" t="s">
        <v>50</v>
      </c>
      <c r="G669" s="434" t="s">
        <v>120</v>
      </c>
      <c r="H669" s="989" t="s">
        <v>5217</v>
      </c>
      <c r="I669" s="989" t="s">
        <v>5600</v>
      </c>
      <c r="J669" s="987"/>
      <c r="K669" s="436" t="s">
        <v>123</v>
      </c>
      <c r="L669" s="984" t="s">
        <v>5595</v>
      </c>
      <c r="M669" s="987"/>
      <c r="N669" s="987"/>
      <c r="O669" s="987"/>
      <c r="P669" s="987"/>
      <c r="Q669" s="987"/>
      <c r="R669" s="987"/>
      <c r="S669" s="987"/>
      <c r="T669" s="987"/>
      <c r="U669" s="987"/>
      <c r="V669" s="987"/>
      <c r="W669" s="987"/>
      <c r="X669" s="987"/>
      <c r="Y669" s="987"/>
      <c r="Z669" s="987"/>
      <c r="AA669" s="986"/>
    </row>
    <row r="670" hidden="1">
      <c r="A670" s="995">
        <v>525.0</v>
      </c>
      <c r="B670" s="988">
        <v>44995.0</v>
      </c>
      <c r="C670" s="989" t="s">
        <v>3248</v>
      </c>
      <c r="D670" s="434" t="s">
        <v>367</v>
      </c>
      <c r="E670" s="434" t="s">
        <v>49</v>
      </c>
      <c r="F670" s="434" t="s">
        <v>50</v>
      </c>
      <c r="G670" s="434" t="s">
        <v>120</v>
      </c>
      <c r="H670" s="989" t="s">
        <v>5217</v>
      </c>
      <c r="I670" s="989" t="s">
        <v>5600</v>
      </c>
      <c r="J670" s="987"/>
      <c r="K670" s="436" t="s">
        <v>123</v>
      </c>
      <c r="L670" s="984" t="s">
        <v>5595</v>
      </c>
      <c r="M670" s="987"/>
      <c r="N670" s="987"/>
      <c r="O670" s="987"/>
      <c r="P670" s="987"/>
      <c r="Q670" s="987"/>
      <c r="R670" s="987"/>
      <c r="S670" s="987"/>
      <c r="T670" s="987"/>
      <c r="U670" s="987"/>
      <c r="V670" s="987"/>
      <c r="W670" s="987"/>
      <c r="X670" s="987"/>
      <c r="Y670" s="987"/>
      <c r="Z670" s="987"/>
      <c r="AA670" s="986"/>
    </row>
    <row r="671" hidden="1">
      <c r="A671" s="995">
        <v>526.0</v>
      </c>
      <c r="B671" s="988">
        <v>44995.0</v>
      </c>
      <c r="C671" s="989" t="s">
        <v>3248</v>
      </c>
      <c r="D671" s="434" t="s">
        <v>367</v>
      </c>
      <c r="E671" s="434" t="s">
        <v>49</v>
      </c>
      <c r="F671" s="434" t="s">
        <v>50</v>
      </c>
      <c r="G671" s="434" t="s">
        <v>120</v>
      </c>
      <c r="H671" s="989" t="s">
        <v>5217</v>
      </c>
      <c r="I671" s="989" t="s">
        <v>5600</v>
      </c>
      <c r="J671" s="987"/>
      <c r="K671" s="436" t="s">
        <v>123</v>
      </c>
      <c r="L671" s="984" t="s">
        <v>5595</v>
      </c>
      <c r="M671" s="987"/>
      <c r="N671" s="987"/>
      <c r="O671" s="987"/>
      <c r="P671" s="987"/>
      <c r="Q671" s="987"/>
      <c r="R671" s="987"/>
      <c r="S671" s="987"/>
      <c r="T671" s="987"/>
      <c r="U671" s="987"/>
      <c r="V671" s="987"/>
      <c r="W671" s="987"/>
      <c r="X671" s="987"/>
      <c r="Y671" s="987"/>
      <c r="Z671" s="987"/>
      <c r="AA671" s="986"/>
    </row>
    <row r="672" hidden="1">
      <c r="A672" s="995">
        <v>527.0</v>
      </c>
      <c r="B672" s="988">
        <v>44995.0</v>
      </c>
      <c r="C672" s="989" t="s">
        <v>3248</v>
      </c>
      <c r="D672" s="434" t="s">
        <v>367</v>
      </c>
      <c r="E672" s="434" t="s">
        <v>49</v>
      </c>
      <c r="F672" s="434" t="s">
        <v>50</v>
      </c>
      <c r="G672" s="434" t="s">
        <v>120</v>
      </c>
      <c r="H672" s="989" t="s">
        <v>5217</v>
      </c>
      <c r="I672" s="989" t="s">
        <v>5600</v>
      </c>
      <c r="J672" s="987"/>
      <c r="K672" s="436" t="s">
        <v>123</v>
      </c>
      <c r="L672" s="984" t="s">
        <v>5595</v>
      </c>
      <c r="M672" s="987"/>
      <c r="N672" s="987"/>
      <c r="O672" s="987"/>
      <c r="P672" s="987"/>
      <c r="Q672" s="987"/>
      <c r="R672" s="987"/>
      <c r="S672" s="987"/>
      <c r="T672" s="987"/>
      <c r="U672" s="987"/>
      <c r="V672" s="987"/>
      <c r="W672" s="987"/>
      <c r="X672" s="987"/>
      <c r="Y672" s="987"/>
      <c r="Z672" s="987"/>
      <c r="AA672" s="986"/>
    </row>
    <row r="673" hidden="1">
      <c r="A673" s="995">
        <v>529.0</v>
      </c>
      <c r="B673" s="988">
        <v>44995.0</v>
      </c>
      <c r="C673" s="989" t="s">
        <v>5601</v>
      </c>
      <c r="D673" s="434" t="s">
        <v>89</v>
      </c>
      <c r="E673" s="434" t="s">
        <v>41</v>
      </c>
      <c r="F673" s="990">
        <v>1.5831001E7</v>
      </c>
      <c r="G673" s="434" t="s">
        <v>51</v>
      </c>
      <c r="H673" s="989" t="s">
        <v>5602</v>
      </c>
      <c r="I673" s="989" t="s">
        <v>5603</v>
      </c>
      <c r="J673" s="987"/>
      <c r="K673" s="436" t="s">
        <v>92</v>
      </c>
      <c r="L673" s="436" t="s">
        <v>1834</v>
      </c>
      <c r="M673" s="436" t="s">
        <v>610</v>
      </c>
      <c r="N673" s="987"/>
      <c r="O673" s="987"/>
      <c r="P673" s="987"/>
      <c r="Q673" s="987"/>
      <c r="R673" s="987"/>
      <c r="S673" s="987"/>
      <c r="T673" s="987"/>
      <c r="U673" s="987"/>
      <c r="V673" s="987"/>
      <c r="W673" s="987"/>
      <c r="X673" s="987"/>
      <c r="Y673" s="987"/>
      <c r="Z673" s="987"/>
      <c r="AA673" s="986"/>
    </row>
    <row r="674" hidden="1">
      <c r="A674" s="995">
        <v>530.0</v>
      </c>
      <c r="B674" s="988">
        <v>44999.0</v>
      </c>
      <c r="C674" s="989" t="s">
        <v>5604</v>
      </c>
      <c r="D674" s="434" t="s">
        <v>198</v>
      </c>
      <c r="E674" s="992"/>
      <c r="F674" s="990">
        <v>1.5540107E7</v>
      </c>
      <c r="G674" s="434" t="s">
        <v>200</v>
      </c>
      <c r="H674" s="989" t="s">
        <v>5605</v>
      </c>
      <c r="I674" s="989" t="s">
        <v>5606</v>
      </c>
      <c r="J674" s="987"/>
      <c r="K674" s="987"/>
      <c r="L674" s="987"/>
      <c r="M674" s="987"/>
      <c r="N674" s="987"/>
      <c r="O674" s="987"/>
      <c r="P674" s="987"/>
      <c r="Q674" s="987"/>
      <c r="R674" s="987"/>
      <c r="S674" s="987"/>
      <c r="T674" s="987"/>
      <c r="U674" s="436" t="s">
        <v>62</v>
      </c>
      <c r="V674" s="995">
        <v>44798.0</v>
      </c>
      <c r="W674" s="987"/>
      <c r="X674" s="987"/>
      <c r="Y674" s="987"/>
      <c r="Z674" s="987"/>
      <c r="AA674" s="986"/>
    </row>
    <row r="675" hidden="1">
      <c r="A675" s="995">
        <v>531.0</v>
      </c>
      <c r="B675" s="988">
        <v>44999.0</v>
      </c>
      <c r="C675" s="989" t="s">
        <v>5607</v>
      </c>
      <c r="D675" s="434" t="s">
        <v>565</v>
      </c>
      <c r="E675" s="434" t="s">
        <v>5608</v>
      </c>
      <c r="F675" s="434" t="s">
        <v>50</v>
      </c>
      <c r="G675" s="434" t="s">
        <v>135</v>
      </c>
      <c r="H675" s="989" t="s">
        <v>5609</v>
      </c>
      <c r="I675" s="989" t="s">
        <v>5610</v>
      </c>
      <c r="J675" s="987"/>
      <c r="K675" s="436" t="s">
        <v>5611</v>
      </c>
      <c r="L675" s="987"/>
      <c r="M675" s="987"/>
      <c r="N675" s="987"/>
      <c r="O675" s="987"/>
      <c r="P675" s="987"/>
      <c r="Q675" s="987"/>
      <c r="R675" s="987"/>
      <c r="S675" s="987"/>
      <c r="T675" s="987"/>
      <c r="U675" s="987"/>
      <c r="V675" s="987"/>
      <c r="W675" s="987"/>
      <c r="X675" s="987"/>
      <c r="Y675" s="987"/>
      <c r="Z675" s="987"/>
      <c r="AA675" s="986"/>
    </row>
    <row r="676" hidden="1">
      <c r="A676" s="995">
        <v>532.0</v>
      </c>
      <c r="B676" s="988">
        <v>44973.0</v>
      </c>
      <c r="C676" s="989" t="s">
        <v>5612</v>
      </c>
      <c r="D676" s="434" t="s">
        <v>814</v>
      </c>
      <c r="E676" s="434" t="s">
        <v>559</v>
      </c>
      <c r="F676" s="990">
        <v>1.8020202E7</v>
      </c>
      <c r="G676" s="434" t="s">
        <v>32</v>
      </c>
      <c r="H676" s="989" t="s">
        <v>5613</v>
      </c>
      <c r="I676" s="993" t="s">
        <v>5614</v>
      </c>
      <c r="J676" s="987"/>
      <c r="K676" s="436" t="s">
        <v>817</v>
      </c>
      <c r="L676" s="987"/>
      <c r="M676" s="987"/>
      <c r="N676" s="987"/>
      <c r="O676" s="436" t="s">
        <v>62</v>
      </c>
      <c r="P676" s="995">
        <v>45266.0</v>
      </c>
      <c r="Q676" s="987"/>
      <c r="R676" s="987"/>
      <c r="S676" s="987"/>
      <c r="T676" s="987"/>
      <c r="U676" s="987"/>
      <c r="V676" s="987"/>
      <c r="W676" s="987"/>
      <c r="X676" s="987"/>
      <c r="Y676" s="987"/>
      <c r="Z676" s="987"/>
      <c r="AA676" s="986"/>
    </row>
    <row r="677" hidden="1">
      <c r="A677" s="995">
        <v>534.0</v>
      </c>
      <c r="B677" s="988">
        <v>45000.0</v>
      </c>
      <c r="C677" s="989" t="s">
        <v>5615</v>
      </c>
      <c r="D677" s="434" t="s">
        <v>1737</v>
      </c>
      <c r="E677" s="434" t="s">
        <v>5616</v>
      </c>
      <c r="F677" s="434" t="s">
        <v>50</v>
      </c>
      <c r="G677" s="434" t="s">
        <v>103</v>
      </c>
      <c r="H677" s="989" t="s">
        <v>5617</v>
      </c>
      <c r="I677" s="989" t="s">
        <v>5618</v>
      </c>
      <c r="J677" s="987"/>
      <c r="K677" s="436" t="s">
        <v>5619</v>
      </c>
      <c r="L677" s="436" t="s">
        <v>5620</v>
      </c>
      <c r="M677" s="436" t="s">
        <v>5621</v>
      </c>
      <c r="N677" s="987"/>
      <c r="O677" s="436" t="s">
        <v>62</v>
      </c>
      <c r="P677" s="995">
        <v>45002.0</v>
      </c>
      <c r="Q677" s="987"/>
      <c r="R677" s="987"/>
      <c r="S677" s="987"/>
      <c r="T677" s="987"/>
      <c r="U677" s="987"/>
      <c r="V677" s="987"/>
      <c r="W677" s="987"/>
      <c r="X677" s="987"/>
      <c r="Y677" s="987"/>
      <c r="Z677" s="987"/>
      <c r="AA677" s="986"/>
    </row>
    <row r="678" hidden="1">
      <c r="A678" s="995">
        <v>535.0</v>
      </c>
      <c r="B678" s="988">
        <v>45005.0</v>
      </c>
      <c r="C678" s="989" t="s">
        <v>5601</v>
      </c>
      <c r="D678" s="434" t="s">
        <v>89</v>
      </c>
      <c r="E678" s="434" t="s">
        <v>41</v>
      </c>
      <c r="F678" s="990">
        <v>1.5831016E7</v>
      </c>
      <c r="G678" s="434" t="s">
        <v>51</v>
      </c>
      <c r="H678" s="989" t="s">
        <v>5622</v>
      </c>
      <c r="I678" s="989" t="s">
        <v>5623</v>
      </c>
      <c r="J678" s="987"/>
      <c r="K678" s="436" t="s">
        <v>92</v>
      </c>
      <c r="L678" s="436" t="s">
        <v>1297</v>
      </c>
      <c r="M678" s="436" t="s">
        <v>610</v>
      </c>
      <c r="N678" s="987"/>
      <c r="O678" s="436" t="s">
        <v>62</v>
      </c>
      <c r="P678" s="995">
        <v>45070.0</v>
      </c>
      <c r="Q678" s="987"/>
      <c r="R678" s="987"/>
      <c r="S678" s="987"/>
      <c r="T678" s="987"/>
      <c r="U678" s="987"/>
      <c r="V678" s="987"/>
      <c r="W678" s="987"/>
      <c r="X678" s="987"/>
      <c r="Y678" s="987"/>
      <c r="Z678" s="987"/>
      <c r="AA678" s="986"/>
    </row>
    <row r="679" hidden="1">
      <c r="A679" s="995">
        <v>536.0</v>
      </c>
      <c r="B679" s="988">
        <v>45005.0</v>
      </c>
      <c r="C679" s="989" t="s">
        <v>5601</v>
      </c>
      <c r="D679" s="434" t="s">
        <v>89</v>
      </c>
      <c r="E679" s="434" t="s">
        <v>41</v>
      </c>
      <c r="F679" s="990">
        <v>1.5831017E7</v>
      </c>
      <c r="G679" s="434" t="s">
        <v>51</v>
      </c>
      <c r="H679" s="989" t="s">
        <v>5624</v>
      </c>
      <c r="I679" s="989" t="s">
        <v>5625</v>
      </c>
      <c r="J679" s="987"/>
      <c r="K679" s="436" t="s">
        <v>92</v>
      </c>
      <c r="L679" s="436" t="s">
        <v>5626</v>
      </c>
      <c r="M679" s="436" t="s">
        <v>610</v>
      </c>
      <c r="N679" s="987"/>
      <c r="O679" s="436" t="s">
        <v>62</v>
      </c>
      <c r="P679" s="995">
        <v>45030.0</v>
      </c>
      <c r="Q679" s="987"/>
      <c r="R679" s="987"/>
      <c r="S679" s="987"/>
      <c r="T679" s="987"/>
      <c r="U679" s="436" t="s">
        <v>62</v>
      </c>
      <c r="V679" s="995">
        <v>45030.0</v>
      </c>
      <c r="W679" s="987"/>
      <c r="X679" s="987"/>
      <c r="Y679" s="987"/>
      <c r="Z679" s="987"/>
      <c r="AA679" s="986"/>
    </row>
    <row r="680" hidden="1">
      <c r="A680" s="995">
        <v>537.0</v>
      </c>
      <c r="B680" s="988">
        <v>45007.0</v>
      </c>
      <c r="C680" s="989" t="s">
        <v>5601</v>
      </c>
      <c r="D680" s="434" t="s">
        <v>89</v>
      </c>
      <c r="E680" s="434" t="s">
        <v>41</v>
      </c>
      <c r="F680" s="990">
        <v>1.5831019E7</v>
      </c>
      <c r="G680" s="434" t="s">
        <v>51</v>
      </c>
      <c r="H680" s="989" t="s">
        <v>5627</v>
      </c>
      <c r="I680" s="989" t="s">
        <v>5628</v>
      </c>
      <c r="J680" s="987"/>
      <c r="K680" s="436" t="s">
        <v>92</v>
      </c>
      <c r="L680" s="436" t="s">
        <v>1557</v>
      </c>
      <c r="M680" s="436" t="s">
        <v>610</v>
      </c>
      <c r="N680" s="987"/>
      <c r="O680" s="436" t="s">
        <v>62</v>
      </c>
      <c r="P680" s="995">
        <v>45027.0</v>
      </c>
      <c r="Q680" s="987"/>
      <c r="R680" s="987"/>
      <c r="S680" s="987"/>
      <c r="T680" s="987"/>
      <c r="U680" s="436" t="s">
        <v>62</v>
      </c>
      <c r="V680" s="995">
        <v>45028.0</v>
      </c>
      <c r="W680" s="987"/>
      <c r="X680" s="987"/>
      <c r="Y680" s="987"/>
      <c r="Z680" s="987"/>
      <c r="AA680" s="986"/>
    </row>
    <row r="681" hidden="1">
      <c r="A681" s="995">
        <v>538.0</v>
      </c>
      <c r="B681" s="988">
        <v>45007.0</v>
      </c>
      <c r="C681" s="989" t="s">
        <v>5601</v>
      </c>
      <c r="D681" s="434" t="s">
        <v>89</v>
      </c>
      <c r="E681" s="434" t="s">
        <v>41</v>
      </c>
      <c r="F681" s="990">
        <v>1.583102E7</v>
      </c>
      <c r="G681" s="434" t="s">
        <v>51</v>
      </c>
      <c r="H681" s="989" t="s">
        <v>5629</v>
      </c>
      <c r="I681" s="989" t="s">
        <v>5630</v>
      </c>
      <c r="J681" s="987"/>
      <c r="K681" s="436" t="s">
        <v>92</v>
      </c>
      <c r="L681" s="436" t="s">
        <v>1834</v>
      </c>
      <c r="M681" s="436" t="s">
        <v>610</v>
      </c>
      <c r="N681" s="987"/>
      <c r="O681" s="436" t="s">
        <v>62</v>
      </c>
      <c r="P681" s="995">
        <v>45027.0</v>
      </c>
      <c r="Q681" s="987"/>
      <c r="R681" s="987"/>
      <c r="S681" s="987"/>
      <c r="T681" s="987"/>
      <c r="U681" s="436" t="s">
        <v>62</v>
      </c>
      <c r="V681" s="995">
        <v>45028.0</v>
      </c>
      <c r="W681" s="987"/>
      <c r="X681" s="987"/>
      <c r="Y681" s="987"/>
      <c r="Z681" s="987"/>
      <c r="AA681" s="986"/>
    </row>
    <row r="682" hidden="1">
      <c r="A682" s="995">
        <v>539.0</v>
      </c>
      <c r="B682" s="988">
        <v>45007.0</v>
      </c>
      <c r="C682" s="989" t="s">
        <v>5601</v>
      </c>
      <c r="D682" s="434" t="s">
        <v>89</v>
      </c>
      <c r="E682" s="434" t="s">
        <v>41</v>
      </c>
      <c r="F682" s="990">
        <v>1.5831024E7</v>
      </c>
      <c r="G682" s="434" t="s">
        <v>51</v>
      </c>
      <c r="H682" s="989" t="s">
        <v>5631</v>
      </c>
      <c r="I682" s="989" t="s">
        <v>5632</v>
      </c>
      <c r="J682" s="987"/>
      <c r="K682" s="436" t="s">
        <v>92</v>
      </c>
      <c r="L682" s="436" t="s">
        <v>643</v>
      </c>
      <c r="M682" s="436" t="s">
        <v>610</v>
      </c>
      <c r="N682" s="987"/>
      <c r="O682" s="436" t="s">
        <v>62</v>
      </c>
      <c r="P682" s="995">
        <v>45131.0</v>
      </c>
      <c r="Q682" s="987"/>
      <c r="R682" s="987"/>
      <c r="S682" s="987"/>
      <c r="T682" s="987"/>
      <c r="U682" s="436" t="s">
        <v>62</v>
      </c>
      <c r="V682" s="995">
        <v>45138.0</v>
      </c>
      <c r="W682" s="987"/>
      <c r="X682" s="987"/>
      <c r="Y682" s="987"/>
      <c r="Z682" s="987"/>
      <c r="AA682" s="986"/>
    </row>
    <row r="683" hidden="1">
      <c r="A683" s="995">
        <v>540.0</v>
      </c>
      <c r="B683" s="996">
        <v>45007.0</v>
      </c>
      <c r="C683" s="984" t="s">
        <v>5633</v>
      </c>
      <c r="D683" s="436" t="s">
        <v>1956</v>
      </c>
      <c r="E683" s="436" t="s">
        <v>41</v>
      </c>
      <c r="F683" s="995">
        <v>1.5481957E7</v>
      </c>
      <c r="G683" s="436" t="s">
        <v>103</v>
      </c>
      <c r="H683" s="984" t="s">
        <v>5634</v>
      </c>
      <c r="I683" s="999" t="s">
        <v>5635</v>
      </c>
      <c r="J683" s="987"/>
      <c r="K683" s="987"/>
      <c r="L683" s="987"/>
      <c r="M683" s="987"/>
      <c r="N683" s="987"/>
      <c r="O683" s="987"/>
      <c r="P683" s="987"/>
      <c r="Q683" s="987"/>
      <c r="R683" s="987"/>
      <c r="S683" s="987"/>
      <c r="T683" s="987"/>
      <c r="U683" s="987"/>
      <c r="V683" s="987"/>
      <c r="W683" s="987"/>
      <c r="X683" s="987"/>
      <c r="Y683" s="987"/>
      <c r="Z683" s="987"/>
      <c r="AA683" s="986"/>
    </row>
    <row r="684" hidden="1">
      <c r="A684" s="995">
        <v>543.0</v>
      </c>
      <c r="B684" s="988">
        <v>45007.0</v>
      </c>
      <c r="C684" s="989" t="s">
        <v>5254</v>
      </c>
      <c r="D684" s="434" t="s">
        <v>1386</v>
      </c>
      <c r="E684" s="434" t="s">
        <v>261</v>
      </c>
      <c r="F684" s="990">
        <v>1.5800275E7</v>
      </c>
      <c r="G684" s="434" t="s">
        <v>200</v>
      </c>
      <c r="H684" s="989" t="s">
        <v>5636</v>
      </c>
      <c r="I684" s="989" t="s">
        <v>5637</v>
      </c>
      <c r="J684" s="987"/>
      <c r="K684" s="436" t="s">
        <v>2319</v>
      </c>
      <c r="L684" s="436" t="s">
        <v>5318</v>
      </c>
      <c r="M684" s="436" t="s">
        <v>280</v>
      </c>
      <c r="N684" s="987"/>
      <c r="O684" s="436" t="s">
        <v>62</v>
      </c>
      <c r="P684" s="995">
        <v>45030.0</v>
      </c>
      <c r="Q684" s="987"/>
      <c r="R684" s="987"/>
      <c r="S684" s="987"/>
      <c r="T684" s="987"/>
      <c r="U684" s="987"/>
      <c r="V684" s="987"/>
      <c r="W684" s="987"/>
      <c r="X684" s="987"/>
      <c r="Y684" s="987"/>
      <c r="Z684" s="987"/>
      <c r="AA684" s="986"/>
    </row>
    <row r="685" hidden="1">
      <c r="A685" s="995">
        <v>544.0</v>
      </c>
      <c r="B685" s="991">
        <v>44890.0</v>
      </c>
      <c r="C685" s="989" t="s">
        <v>5638</v>
      </c>
      <c r="D685" s="434" t="s">
        <v>2530</v>
      </c>
      <c r="E685" s="434" t="s">
        <v>721</v>
      </c>
      <c r="F685" s="990">
        <v>1.861085E7</v>
      </c>
      <c r="G685" s="434" t="s">
        <v>32</v>
      </c>
      <c r="H685" s="989" t="s">
        <v>5639</v>
      </c>
      <c r="I685" s="989" t="s">
        <v>5640</v>
      </c>
      <c r="J685" s="987"/>
      <c r="K685" s="436" t="s">
        <v>2533</v>
      </c>
      <c r="L685" s="436" t="s">
        <v>1347</v>
      </c>
      <c r="M685" s="436" t="s">
        <v>2535</v>
      </c>
      <c r="N685" s="987"/>
      <c r="O685" s="987"/>
      <c r="P685" s="987"/>
      <c r="Q685" s="987"/>
      <c r="R685" s="987"/>
      <c r="S685" s="436" t="s">
        <v>62</v>
      </c>
      <c r="T685" s="995">
        <v>45037.0</v>
      </c>
      <c r="U685" s="987"/>
      <c r="V685" s="987"/>
      <c r="W685" s="987"/>
      <c r="X685" s="987"/>
      <c r="Y685" s="987"/>
      <c r="Z685" s="987"/>
      <c r="AA685" s="986"/>
    </row>
    <row r="686" hidden="1">
      <c r="A686" s="995">
        <v>545.0</v>
      </c>
      <c r="B686" s="988">
        <v>45023.0</v>
      </c>
      <c r="C686" s="989" t="s">
        <v>3248</v>
      </c>
      <c r="D686" s="434" t="s">
        <v>367</v>
      </c>
      <c r="E686" s="434" t="s">
        <v>300</v>
      </c>
      <c r="F686" s="434" t="s">
        <v>50</v>
      </c>
      <c r="G686" s="434" t="s">
        <v>120</v>
      </c>
      <c r="H686" s="989" t="s">
        <v>5641</v>
      </c>
      <c r="I686" s="989" t="s">
        <v>5642</v>
      </c>
      <c r="J686" s="987"/>
      <c r="K686" s="436" t="s">
        <v>5643</v>
      </c>
      <c r="L686" s="436" t="s">
        <v>5644</v>
      </c>
      <c r="M686" s="436" t="s">
        <v>5645</v>
      </c>
      <c r="N686" s="987"/>
      <c r="O686" s="987"/>
      <c r="P686" s="987"/>
      <c r="Q686" s="987"/>
      <c r="R686" s="987"/>
      <c r="S686" s="987"/>
      <c r="T686" s="987"/>
      <c r="U686" s="987"/>
      <c r="V686" s="987"/>
      <c r="W686" s="987"/>
      <c r="X686" s="987"/>
      <c r="Y686" s="987"/>
      <c r="Z686" s="987"/>
      <c r="AA686" s="986"/>
    </row>
    <row r="687" hidden="1">
      <c r="A687" s="995">
        <v>548.0</v>
      </c>
      <c r="B687" s="988">
        <v>45026.0</v>
      </c>
      <c r="C687" s="989" t="s">
        <v>5601</v>
      </c>
      <c r="D687" s="434" t="s">
        <v>89</v>
      </c>
      <c r="E687" s="434" t="s">
        <v>41</v>
      </c>
      <c r="F687" s="990">
        <v>1.5831025E7</v>
      </c>
      <c r="G687" s="434" t="s">
        <v>51</v>
      </c>
      <c r="H687" s="989" t="s">
        <v>5646</v>
      </c>
      <c r="I687" s="1014" t="s">
        <v>5647</v>
      </c>
      <c r="J687" s="987"/>
      <c r="K687" s="436" t="s">
        <v>92</v>
      </c>
      <c r="L687" s="436" t="s">
        <v>1902</v>
      </c>
      <c r="M687" s="436" t="s">
        <v>610</v>
      </c>
      <c r="N687" s="987"/>
      <c r="O687" s="987"/>
      <c r="P687" s="987"/>
      <c r="Q687" s="987"/>
      <c r="R687" s="987"/>
      <c r="S687" s="987"/>
      <c r="T687" s="987"/>
      <c r="U687" s="436" t="s">
        <v>62</v>
      </c>
      <c r="V687" s="995">
        <v>45337.0</v>
      </c>
      <c r="W687" s="987"/>
      <c r="X687" s="987"/>
      <c r="Y687" s="987"/>
      <c r="Z687" s="987"/>
      <c r="AA687" s="986"/>
    </row>
    <row r="688" hidden="1">
      <c r="A688" s="995">
        <v>549.0</v>
      </c>
      <c r="B688" s="988">
        <v>45026.0</v>
      </c>
      <c r="C688" s="989" t="s">
        <v>5601</v>
      </c>
      <c r="D688" s="434" t="s">
        <v>89</v>
      </c>
      <c r="E688" s="434" t="s">
        <v>41</v>
      </c>
      <c r="F688" s="990">
        <v>1.5831043E7</v>
      </c>
      <c r="G688" s="434" t="s">
        <v>51</v>
      </c>
      <c r="H688" s="989" t="s">
        <v>5648</v>
      </c>
      <c r="I688" s="989" t="s">
        <v>5649</v>
      </c>
      <c r="J688" s="987"/>
      <c r="K688" s="436" t="s">
        <v>92</v>
      </c>
      <c r="L688" s="436" t="s">
        <v>5650</v>
      </c>
      <c r="M688" s="436" t="s">
        <v>610</v>
      </c>
      <c r="N688" s="987"/>
      <c r="O688" s="436" t="s">
        <v>62</v>
      </c>
      <c r="P688" s="995">
        <v>45127.0</v>
      </c>
      <c r="Q688" s="987"/>
      <c r="R688" s="987"/>
      <c r="S688" s="987"/>
      <c r="T688" s="987"/>
      <c r="U688" s="436" t="s">
        <v>62</v>
      </c>
      <c r="V688" s="995">
        <v>45138.0</v>
      </c>
      <c r="W688" s="987"/>
      <c r="X688" s="987"/>
      <c r="Y688" s="987"/>
      <c r="Z688" s="987"/>
      <c r="AA688" s="986"/>
    </row>
    <row r="689" hidden="1">
      <c r="A689" s="995">
        <v>550.0</v>
      </c>
      <c r="B689" s="988">
        <v>45026.0</v>
      </c>
      <c r="C689" s="989" t="s">
        <v>5601</v>
      </c>
      <c r="D689" s="434" t="s">
        <v>89</v>
      </c>
      <c r="E689" s="434" t="s">
        <v>41</v>
      </c>
      <c r="F689" s="990">
        <v>1.5831025E7</v>
      </c>
      <c r="G689" s="434" t="s">
        <v>51</v>
      </c>
      <c r="H689" s="989" t="s">
        <v>5651</v>
      </c>
      <c r="I689" s="989" t="s">
        <v>5652</v>
      </c>
      <c r="J689" s="987"/>
      <c r="K689" s="436" t="s">
        <v>92</v>
      </c>
      <c r="L689" s="436" t="s">
        <v>5653</v>
      </c>
      <c r="M689" s="436" t="s">
        <v>610</v>
      </c>
      <c r="N689" s="987"/>
      <c r="O689" s="436" t="s">
        <v>62</v>
      </c>
      <c r="P689" s="995">
        <v>45079.0</v>
      </c>
      <c r="Q689" s="987"/>
      <c r="R689" s="987"/>
      <c r="S689" s="987"/>
      <c r="T689" s="987"/>
      <c r="U689" s="436" t="s">
        <v>62</v>
      </c>
      <c r="V689" s="987"/>
      <c r="W689" s="987"/>
      <c r="X689" s="987"/>
      <c r="Y689" s="987"/>
      <c r="Z689" s="987"/>
      <c r="AA689" s="986"/>
    </row>
    <row r="690" hidden="1">
      <c r="A690" s="995">
        <v>551.0</v>
      </c>
      <c r="B690" s="988">
        <v>45026.0</v>
      </c>
      <c r="C690" s="989" t="s">
        <v>5654</v>
      </c>
      <c r="D690" s="989" t="s">
        <v>5655</v>
      </c>
      <c r="E690" s="434" t="s">
        <v>295</v>
      </c>
      <c r="F690" s="990">
        <v>1.4850824E7</v>
      </c>
      <c r="G690" s="434" t="s">
        <v>51</v>
      </c>
      <c r="H690" s="989" t="s">
        <v>5656</v>
      </c>
      <c r="I690" s="989" t="s">
        <v>5657</v>
      </c>
      <c r="J690" s="987"/>
      <c r="K690" s="436" t="s">
        <v>5658</v>
      </c>
      <c r="L690" s="436" t="s">
        <v>812</v>
      </c>
      <c r="M690" s="436" t="s">
        <v>610</v>
      </c>
      <c r="N690" s="987"/>
      <c r="O690" s="436" t="s">
        <v>62</v>
      </c>
      <c r="P690" s="995">
        <v>45056.0</v>
      </c>
      <c r="Q690" s="987"/>
      <c r="R690" s="987"/>
      <c r="S690" s="987"/>
      <c r="T690" s="987"/>
      <c r="U690" s="436" t="s">
        <v>62</v>
      </c>
      <c r="V690" s="995">
        <v>45057.0</v>
      </c>
      <c r="W690" s="987"/>
      <c r="X690" s="987"/>
      <c r="Y690" s="987"/>
      <c r="Z690" s="987"/>
      <c r="AA690" s="986"/>
    </row>
    <row r="691" hidden="1">
      <c r="A691" s="995">
        <v>552.0</v>
      </c>
      <c r="B691" s="988">
        <v>45000.0</v>
      </c>
      <c r="C691" s="989" t="s">
        <v>5659</v>
      </c>
      <c r="D691" s="434" t="s">
        <v>814</v>
      </c>
      <c r="E691" s="434" t="s">
        <v>559</v>
      </c>
      <c r="F691" s="990">
        <v>1.8020209E7</v>
      </c>
      <c r="G691" s="434" t="s">
        <v>32</v>
      </c>
      <c r="H691" s="989" t="s">
        <v>5660</v>
      </c>
      <c r="I691" s="989" t="s">
        <v>5661</v>
      </c>
      <c r="J691" s="987"/>
      <c r="K691" s="436" t="s">
        <v>817</v>
      </c>
      <c r="L691" s="987"/>
      <c r="M691" s="987"/>
      <c r="N691" s="987"/>
      <c r="O691" s="436" t="s">
        <v>62</v>
      </c>
      <c r="P691" s="995">
        <v>45266.0</v>
      </c>
      <c r="Q691" s="987"/>
      <c r="R691" s="987"/>
      <c r="S691" s="987"/>
      <c r="T691" s="987"/>
      <c r="U691" s="436" t="s">
        <v>62</v>
      </c>
      <c r="V691" s="995">
        <v>45268.0</v>
      </c>
      <c r="W691" s="987"/>
      <c r="X691" s="987"/>
      <c r="Y691" s="987"/>
      <c r="Z691" s="987"/>
      <c r="AA691" s="986"/>
    </row>
    <row r="692" hidden="1">
      <c r="A692" s="995">
        <v>553.0</v>
      </c>
      <c r="B692" s="988">
        <v>45026.0</v>
      </c>
      <c r="C692" s="989" t="s">
        <v>5659</v>
      </c>
      <c r="D692" s="434" t="s">
        <v>814</v>
      </c>
      <c r="E692" s="434" t="s">
        <v>559</v>
      </c>
      <c r="F692" s="990">
        <v>1.8020213E7</v>
      </c>
      <c r="G692" s="434" t="s">
        <v>32</v>
      </c>
      <c r="H692" s="989" t="s">
        <v>66</v>
      </c>
      <c r="I692" s="989" t="s">
        <v>5661</v>
      </c>
      <c r="J692" s="987"/>
      <c r="K692" s="436" t="s">
        <v>817</v>
      </c>
      <c r="L692" s="987"/>
      <c r="M692" s="987"/>
      <c r="N692" s="987"/>
      <c r="O692" s="436" t="s">
        <v>62</v>
      </c>
      <c r="P692" s="995">
        <v>45266.0</v>
      </c>
      <c r="Q692" s="987"/>
      <c r="R692" s="987"/>
      <c r="S692" s="987"/>
      <c r="T692" s="987"/>
      <c r="U692" s="987"/>
      <c r="V692" s="987"/>
      <c r="W692" s="987"/>
      <c r="X692" s="987"/>
      <c r="Y692" s="987"/>
      <c r="Z692" s="987"/>
      <c r="AA692" s="986"/>
    </row>
    <row r="693" hidden="1">
      <c r="A693" s="995">
        <v>554.0</v>
      </c>
      <c r="B693" s="988">
        <v>45020.0</v>
      </c>
      <c r="C693" s="989" t="s">
        <v>5601</v>
      </c>
      <c r="D693" s="434" t="s">
        <v>89</v>
      </c>
      <c r="E693" s="434" t="s">
        <v>41</v>
      </c>
      <c r="F693" s="990">
        <v>1.5831041E7</v>
      </c>
      <c r="G693" s="434" t="s">
        <v>51</v>
      </c>
      <c r="H693" s="989" t="s">
        <v>5662</v>
      </c>
      <c r="I693" s="989" t="s">
        <v>5663</v>
      </c>
      <c r="J693" s="987"/>
      <c r="K693" s="436" t="s">
        <v>92</v>
      </c>
      <c r="L693" s="436" t="s">
        <v>5664</v>
      </c>
      <c r="M693" s="436" t="s">
        <v>610</v>
      </c>
      <c r="N693" s="987"/>
      <c r="O693" s="436" t="s">
        <v>62</v>
      </c>
      <c r="P693" s="987"/>
      <c r="Q693" s="987"/>
      <c r="R693" s="987"/>
      <c r="S693" s="987"/>
      <c r="T693" s="987"/>
      <c r="U693" s="436" t="s">
        <v>62</v>
      </c>
      <c r="V693" s="987"/>
      <c r="W693" s="987"/>
      <c r="X693" s="987"/>
      <c r="Y693" s="987"/>
      <c r="Z693" s="987"/>
      <c r="AA693" s="986"/>
    </row>
    <row r="694" hidden="1">
      <c r="A694" s="995">
        <v>555.0</v>
      </c>
      <c r="B694" s="988">
        <v>45027.0</v>
      </c>
      <c r="C694" s="989" t="s">
        <v>5601</v>
      </c>
      <c r="D694" s="434" t="s">
        <v>89</v>
      </c>
      <c r="E694" s="434" t="s">
        <v>41</v>
      </c>
      <c r="F694" s="990">
        <v>1.5831044E7</v>
      </c>
      <c r="G694" s="434" t="s">
        <v>51</v>
      </c>
      <c r="H694" s="989" t="s">
        <v>5665</v>
      </c>
      <c r="I694" s="989" t="s">
        <v>5666</v>
      </c>
      <c r="J694" s="987"/>
      <c r="K694" s="436" t="s">
        <v>92</v>
      </c>
      <c r="L694" s="436" t="s">
        <v>1834</v>
      </c>
      <c r="M694" s="436" t="s">
        <v>610</v>
      </c>
      <c r="N694" s="987"/>
      <c r="O694" s="436" t="s">
        <v>62</v>
      </c>
      <c r="P694" s="995">
        <v>45029.0</v>
      </c>
      <c r="Q694" s="987"/>
      <c r="R694" s="987"/>
      <c r="S694" s="987"/>
      <c r="T694" s="987"/>
      <c r="U694" s="436" t="s">
        <v>62</v>
      </c>
      <c r="V694" s="995">
        <v>45030.0</v>
      </c>
      <c r="W694" s="987"/>
      <c r="X694" s="987"/>
      <c r="Y694" s="987"/>
      <c r="Z694" s="987"/>
      <c r="AA694" s="986"/>
    </row>
    <row r="695" hidden="1">
      <c r="A695" s="995">
        <v>556.0</v>
      </c>
      <c r="B695" s="988">
        <v>45029.0</v>
      </c>
      <c r="C695" s="989" t="s">
        <v>5659</v>
      </c>
      <c r="D695" s="434" t="s">
        <v>814</v>
      </c>
      <c r="E695" s="434" t="s">
        <v>559</v>
      </c>
      <c r="F695" s="990">
        <v>1.8020217E7</v>
      </c>
      <c r="G695" s="434" t="s">
        <v>32</v>
      </c>
      <c r="H695" s="989" t="s">
        <v>5667</v>
      </c>
      <c r="I695" s="989" t="s">
        <v>5661</v>
      </c>
      <c r="J695" s="987"/>
      <c r="K695" s="436" t="s">
        <v>817</v>
      </c>
      <c r="L695" s="987"/>
      <c r="M695" s="987"/>
      <c r="N695" s="987"/>
      <c r="O695" s="436" t="s">
        <v>62</v>
      </c>
      <c r="P695" s="995">
        <v>45266.0</v>
      </c>
      <c r="Q695" s="987"/>
      <c r="R695" s="987"/>
      <c r="S695" s="987"/>
      <c r="T695" s="987"/>
      <c r="U695" s="987"/>
      <c r="V695" s="987"/>
      <c r="W695" s="987"/>
      <c r="X695" s="987"/>
      <c r="Y695" s="987"/>
      <c r="Z695" s="987"/>
      <c r="AA695" s="986"/>
    </row>
    <row r="696" hidden="1">
      <c r="A696" s="995">
        <v>557.0</v>
      </c>
      <c r="B696" s="988">
        <v>45029.0</v>
      </c>
      <c r="C696" s="989" t="s">
        <v>5601</v>
      </c>
      <c r="D696" s="434" t="s">
        <v>89</v>
      </c>
      <c r="E696" s="434" t="s">
        <v>41</v>
      </c>
      <c r="F696" s="990">
        <v>1.583105E7</v>
      </c>
      <c r="G696" s="434" t="s">
        <v>51</v>
      </c>
      <c r="H696" s="989" t="s">
        <v>5665</v>
      </c>
      <c r="I696" s="989" t="s">
        <v>5668</v>
      </c>
      <c r="J696" s="987"/>
      <c r="K696" s="436" t="s">
        <v>92</v>
      </c>
      <c r="L696" s="436" t="s">
        <v>1834</v>
      </c>
      <c r="M696" s="436" t="s">
        <v>610</v>
      </c>
      <c r="N696" s="987"/>
      <c r="O696" s="987"/>
      <c r="P696" s="987"/>
      <c r="Q696" s="987"/>
      <c r="R696" s="987"/>
      <c r="S696" s="987"/>
      <c r="T696" s="987"/>
      <c r="U696" s="987"/>
      <c r="V696" s="987"/>
      <c r="W696" s="987"/>
      <c r="X696" s="987"/>
      <c r="Y696" s="987"/>
      <c r="Z696" s="987"/>
      <c r="AA696" s="986"/>
    </row>
    <row r="697" hidden="1">
      <c r="A697" s="995">
        <v>558.0</v>
      </c>
      <c r="B697" s="991">
        <v>44851.0</v>
      </c>
      <c r="C697" s="989" t="s">
        <v>5429</v>
      </c>
      <c r="D697" s="434" t="s">
        <v>918</v>
      </c>
      <c r="E697" s="434" t="s">
        <v>261</v>
      </c>
      <c r="F697" s="990">
        <v>1.6351311E7</v>
      </c>
      <c r="G697" s="434" t="s">
        <v>32</v>
      </c>
      <c r="H697" s="989" t="s">
        <v>5669</v>
      </c>
      <c r="I697" s="989" t="s">
        <v>5670</v>
      </c>
      <c r="J697" s="987"/>
      <c r="K697" s="436" t="s">
        <v>278</v>
      </c>
      <c r="L697" s="436" t="s">
        <v>5353</v>
      </c>
      <c r="M697" s="436" t="s">
        <v>280</v>
      </c>
      <c r="N697" s="987"/>
      <c r="O697" s="987"/>
      <c r="P697" s="987"/>
      <c r="Q697" s="987"/>
      <c r="R697" s="987"/>
      <c r="S697" s="987"/>
      <c r="T697" s="987"/>
      <c r="U697" s="987"/>
      <c r="V697" s="987"/>
      <c r="W697" s="987"/>
      <c r="X697" s="987"/>
      <c r="Y697" s="987"/>
      <c r="Z697" s="987"/>
      <c r="AA697" s="986"/>
    </row>
    <row r="698" hidden="1">
      <c r="A698" s="995">
        <v>559.0</v>
      </c>
      <c r="B698" s="988">
        <v>45030.0</v>
      </c>
      <c r="C698" s="989" t="s">
        <v>3248</v>
      </c>
      <c r="D698" s="434" t="s">
        <v>367</v>
      </c>
      <c r="E698" s="434" t="s">
        <v>49</v>
      </c>
      <c r="F698" s="990">
        <v>1.4882587E7</v>
      </c>
      <c r="G698" s="434" t="s">
        <v>120</v>
      </c>
      <c r="H698" s="989" t="s">
        <v>5671</v>
      </c>
      <c r="I698" s="989" t="s">
        <v>5672</v>
      </c>
      <c r="J698" s="987"/>
      <c r="K698" s="436" t="s">
        <v>370</v>
      </c>
      <c r="L698" s="436" t="s">
        <v>965</v>
      </c>
      <c r="M698" s="436" t="s">
        <v>610</v>
      </c>
      <c r="N698" s="987"/>
      <c r="O698" s="436" t="s">
        <v>62</v>
      </c>
      <c r="P698" s="995">
        <v>45030.0</v>
      </c>
      <c r="Q698" s="987"/>
      <c r="R698" s="987"/>
      <c r="S698" s="987"/>
      <c r="T698" s="987"/>
      <c r="U698" s="436" t="s">
        <v>62</v>
      </c>
      <c r="V698" s="995">
        <v>45034.0</v>
      </c>
      <c r="W698" s="987"/>
      <c r="X698" s="987"/>
      <c r="Y698" s="987"/>
      <c r="Z698" s="987"/>
      <c r="AA698" s="986"/>
    </row>
    <row r="699" hidden="1">
      <c r="A699" s="995">
        <v>560.0</v>
      </c>
      <c r="B699" s="988">
        <v>45033.0</v>
      </c>
      <c r="C699" s="989" t="s">
        <v>5673</v>
      </c>
      <c r="D699" s="434" t="s">
        <v>1634</v>
      </c>
      <c r="E699" s="434" t="s">
        <v>702</v>
      </c>
      <c r="F699" s="990">
        <v>1.7140505E7</v>
      </c>
      <c r="G699" s="434" t="s">
        <v>348</v>
      </c>
      <c r="H699" s="989" t="s">
        <v>5674</v>
      </c>
      <c r="I699" s="993" t="s">
        <v>5675</v>
      </c>
      <c r="J699" s="987"/>
      <c r="K699" s="436" t="s">
        <v>1637</v>
      </c>
      <c r="L699" s="987"/>
      <c r="M699" s="987"/>
      <c r="N699" s="987"/>
      <c r="O699" s="987"/>
      <c r="P699" s="987"/>
      <c r="Q699" s="987"/>
      <c r="R699" s="987"/>
      <c r="S699" s="987"/>
      <c r="T699" s="987"/>
      <c r="U699" s="987"/>
      <c r="V699" s="987"/>
      <c r="W699" s="987"/>
      <c r="X699" s="987"/>
      <c r="Y699" s="987"/>
      <c r="Z699" s="987"/>
      <c r="AA699" s="986"/>
    </row>
    <row r="700" hidden="1">
      <c r="A700" s="995">
        <v>565.0</v>
      </c>
      <c r="B700" s="988">
        <v>45037.0</v>
      </c>
      <c r="C700" s="989" t="s">
        <v>5676</v>
      </c>
      <c r="D700" s="434" t="s">
        <v>2035</v>
      </c>
      <c r="E700" s="434" t="s">
        <v>41</v>
      </c>
      <c r="F700" s="990">
        <v>1.6600745E7</v>
      </c>
      <c r="G700" s="434" t="s">
        <v>51</v>
      </c>
      <c r="H700" s="989" t="s">
        <v>5677</v>
      </c>
      <c r="I700" s="989" t="s">
        <v>5678</v>
      </c>
      <c r="J700" s="987"/>
      <c r="K700" s="436" t="s">
        <v>2038</v>
      </c>
      <c r="L700" s="436" t="s">
        <v>1297</v>
      </c>
      <c r="M700" s="436" t="s">
        <v>610</v>
      </c>
      <c r="N700" s="987"/>
      <c r="O700" s="436" t="s">
        <v>62</v>
      </c>
      <c r="P700" s="995">
        <v>45097.0</v>
      </c>
      <c r="Q700" s="987"/>
      <c r="R700" s="987"/>
      <c r="S700" s="987"/>
      <c r="T700" s="987"/>
      <c r="U700" s="987"/>
      <c r="V700" s="987"/>
      <c r="W700" s="987"/>
      <c r="X700" s="987"/>
      <c r="Y700" s="987"/>
      <c r="Z700" s="987"/>
      <c r="AA700" s="986"/>
    </row>
    <row r="701" hidden="1">
      <c r="A701" s="995">
        <v>566.0</v>
      </c>
      <c r="B701" s="988">
        <v>45037.0</v>
      </c>
      <c r="C701" s="989" t="s">
        <v>5676</v>
      </c>
      <c r="D701" s="434" t="s">
        <v>2035</v>
      </c>
      <c r="E701" s="434" t="s">
        <v>41</v>
      </c>
      <c r="F701" s="990">
        <v>1.6600746E7</v>
      </c>
      <c r="G701" s="434" t="s">
        <v>51</v>
      </c>
      <c r="H701" s="989" t="s">
        <v>5679</v>
      </c>
      <c r="I701" s="989" t="s">
        <v>5680</v>
      </c>
      <c r="J701" s="987"/>
      <c r="K701" s="436" t="s">
        <v>2038</v>
      </c>
      <c r="L701" s="436" t="s">
        <v>1557</v>
      </c>
      <c r="M701" s="436" t="s">
        <v>610</v>
      </c>
      <c r="N701" s="987"/>
      <c r="O701" s="436" t="s">
        <v>62</v>
      </c>
      <c r="P701" s="995">
        <v>45091.0</v>
      </c>
      <c r="Q701" s="987"/>
      <c r="R701" s="987"/>
      <c r="S701" s="987"/>
      <c r="T701" s="987"/>
      <c r="U701" s="987"/>
      <c r="V701" s="987"/>
      <c r="W701" s="987"/>
      <c r="X701" s="987"/>
      <c r="Y701" s="987"/>
      <c r="Z701" s="987"/>
      <c r="AA701" s="986"/>
    </row>
    <row r="702" hidden="1">
      <c r="A702" s="995">
        <v>567.0</v>
      </c>
      <c r="B702" s="988">
        <v>45041.0</v>
      </c>
      <c r="C702" s="989" t="s">
        <v>5676</v>
      </c>
      <c r="D702" s="434" t="s">
        <v>2035</v>
      </c>
      <c r="E702" s="434" t="s">
        <v>41</v>
      </c>
      <c r="F702" s="990">
        <v>1.6600755E7</v>
      </c>
      <c r="G702" s="434" t="s">
        <v>51</v>
      </c>
      <c r="H702" s="989" t="s">
        <v>5681</v>
      </c>
      <c r="I702" s="993" t="s">
        <v>5682</v>
      </c>
      <c r="J702" s="987"/>
      <c r="K702" s="436" t="s">
        <v>2038</v>
      </c>
      <c r="L702" s="436" t="s">
        <v>1297</v>
      </c>
      <c r="M702" s="436" t="s">
        <v>610</v>
      </c>
      <c r="N702" s="987"/>
      <c r="O702" s="987"/>
      <c r="P702" s="987"/>
      <c r="Q702" s="987"/>
      <c r="R702" s="987"/>
      <c r="S702" s="987"/>
      <c r="T702" s="987"/>
      <c r="U702" s="436" t="s">
        <v>62</v>
      </c>
      <c r="V702" s="995">
        <v>45121.0</v>
      </c>
      <c r="W702" s="987"/>
      <c r="X702" s="987"/>
      <c r="Y702" s="987"/>
      <c r="Z702" s="987"/>
      <c r="AA702" s="986"/>
    </row>
    <row r="703" hidden="1">
      <c r="A703" s="995">
        <v>568.0</v>
      </c>
      <c r="B703" s="988">
        <v>45041.0</v>
      </c>
      <c r="C703" s="989" t="s">
        <v>5676</v>
      </c>
      <c r="D703" s="434" t="s">
        <v>2035</v>
      </c>
      <c r="E703" s="434" t="s">
        <v>41</v>
      </c>
      <c r="F703" s="990">
        <v>1.6600753E7</v>
      </c>
      <c r="G703" s="434" t="s">
        <v>51</v>
      </c>
      <c r="H703" s="989" t="s">
        <v>5677</v>
      </c>
      <c r="I703" s="989" t="s">
        <v>5683</v>
      </c>
      <c r="J703" s="987"/>
      <c r="K703" s="436" t="s">
        <v>2038</v>
      </c>
      <c r="L703" s="436" t="s">
        <v>1297</v>
      </c>
      <c r="M703" s="436" t="s">
        <v>610</v>
      </c>
      <c r="N703" s="987"/>
      <c r="O703" s="436" t="s">
        <v>62</v>
      </c>
      <c r="P703" s="995">
        <v>45103.0</v>
      </c>
      <c r="Q703" s="987"/>
      <c r="R703" s="987"/>
      <c r="S703" s="987"/>
      <c r="T703" s="987"/>
      <c r="U703" s="987"/>
      <c r="V703" s="987"/>
      <c r="W703" s="987"/>
      <c r="X703" s="987"/>
      <c r="Y703" s="987"/>
      <c r="Z703" s="987"/>
      <c r="AA703" s="986"/>
    </row>
    <row r="704" hidden="1">
      <c r="A704" s="995">
        <v>569.0</v>
      </c>
      <c r="B704" s="988">
        <v>45041.0</v>
      </c>
      <c r="C704" s="989" t="s">
        <v>5676</v>
      </c>
      <c r="D704" s="434" t="s">
        <v>2035</v>
      </c>
      <c r="E704" s="434" t="s">
        <v>41</v>
      </c>
      <c r="F704" s="990">
        <v>1.6600754E7</v>
      </c>
      <c r="G704" s="434" t="s">
        <v>51</v>
      </c>
      <c r="H704" s="989" t="s">
        <v>5684</v>
      </c>
      <c r="I704" s="989" t="s">
        <v>5685</v>
      </c>
      <c r="J704" s="987"/>
      <c r="K704" s="436" t="s">
        <v>2038</v>
      </c>
      <c r="L704" s="436" t="s">
        <v>812</v>
      </c>
      <c r="M704" s="436" t="s">
        <v>610</v>
      </c>
      <c r="N704" s="987"/>
      <c r="O704" s="436" t="s">
        <v>62</v>
      </c>
      <c r="P704" s="995">
        <v>45103.0</v>
      </c>
      <c r="Q704" s="987"/>
      <c r="R704" s="987"/>
      <c r="S704" s="987"/>
      <c r="T704" s="987"/>
      <c r="U704" s="436" t="s">
        <v>62</v>
      </c>
      <c r="V704" s="995">
        <v>45114.0</v>
      </c>
      <c r="W704" s="987"/>
      <c r="X704" s="987"/>
      <c r="Y704" s="987"/>
      <c r="Z704" s="987"/>
      <c r="AA704" s="986"/>
    </row>
    <row r="705" hidden="1">
      <c r="A705" s="995">
        <v>570.0</v>
      </c>
      <c r="B705" s="988">
        <v>45041.0</v>
      </c>
      <c r="C705" s="989" t="s">
        <v>5676</v>
      </c>
      <c r="D705" s="434" t="s">
        <v>2035</v>
      </c>
      <c r="E705" s="434" t="s">
        <v>41</v>
      </c>
      <c r="F705" s="990">
        <v>1.6600765E7</v>
      </c>
      <c r="G705" s="434" t="s">
        <v>51</v>
      </c>
      <c r="H705" s="989" t="s">
        <v>5684</v>
      </c>
      <c r="I705" s="989" t="s">
        <v>5685</v>
      </c>
      <c r="J705" s="987"/>
      <c r="K705" s="436" t="s">
        <v>2038</v>
      </c>
      <c r="L705" s="436" t="s">
        <v>812</v>
      </c>
      <c r="M705" s="436" t="s">
        <v>610</v>
      </c>
      <c r="N705" s="987"/>
      <c r="O705" s="436" t="s">
        <v>62</v>
      </c>
      <c r="P705" s="995">
        <v>45103.0</v>
      </c>
      <c r="Q705" s="987"/>
      <c r="R705" s="987"/>
      <c r="S705" s="987"/>
      <c r="T705" s="987"/>
      <c r="U705" s="987"/>
      <c r="V705" s="987"/>
      <c r="W705" s="987"/>
      <c r="X705" s="987"/>
      <c r="Y705" s="987"/>
      <c r="Z705" s="987"/>
      <c r="AA705" s="986"/>
    </row>
    <row r="706" hidden="1">
      <c r="A706" s="995">
        <v>571.0</v>
      </c>
      <c r="B706" s="988">
        <v>45041.0</v>
      </c>
      <c r="C706" s="989" t="s">
        <v>5676</v>
      </c>
      <c r="D706" s="434" t="s">
        <v>2035</v>
      </c>
      <c r="E706" s="434" t="s">
        <v>41</v>
      </c>
      <c r="F706" s="990">
        <v>1.6600766E7</v>
      </c>
      <c r="G706" s="434" t="s">
        <v>51</v>
      </c>
      <c r="H706" s="989" t="s">
        <v>5686</v>
      </c>
      <c r="I706" s="989" t="s">
        <v>5687</v>
      </c>
      <c r="J706" s="987"/>
      <c r="K706" s="436" t="s">
        <v>2038</v>
      </c>
      <c r="L706" s="436" t="s">
        <v>965</v>
      </c>
      <c r="M706" s="436" t="s">
        <v>610</v>
      </c>
      <c r="N706" s="987"/>
      <c r="O706" s="987"/>
      <c r="P706" s="987"/>
      <c r="Q706" s="987"/>
      <c r="R706" s="987"/>
      <c r="S706" s="987"/>
      <c r="T706" s="987"/>
      <c r="U706" s="987"/>
      <c r="V706" s="987"/>
      <c r="W706" s="987"/>
      <c r="X706" s="987"/>
      <c r="Y706" s="987"/>
      <c r="Z706" s="987"/>
      <c r="AA706" s="986"/>
    </row>
    <row r="707" hidden="1">
      <c r="A707" s="995">
        <v>572.0</v>
      </c>
      <c r="B707" s="988">
        <v>45041.0</v>
      </c>
      <c r="C707" s="989" t="s">
        <v>5676</v>
      </c>
      <c r="D707" s="434" t="s">
        <v>2035</v>
      </c>
      <c r="E707" s="434" t="s">
        <v>41</v>
      </c>
      <c r="F707" s="990">
        <v>1.6600769E7</v>
      </c>
      <c r="G707" s="434" t="s">
        <v>51</v>
      </c>
      <c r="H707" s="989" t="s">
        <v>5688</v>
      </c>
      <c r="I707" s="989" t="s">
        <v>5689</v>
      </c>
      <c r="J707" s="987"/>
      <c r="K707" s="436" t="s">
        <v>2038</v>
      </c>
      <c r="L707" s="436" t="s">
        <v>1557</v>
      </c>
      <c r="M707" s="436" t="s">
        <v>610</v>
      </c>
      <c r="N707" s="987"/>
      <c r="O707" s="987"/>
      <c r="P707" s="987"/>
      <c r="Q707" s="987"/>
      <c r="R707" s="987"/>
      <c r="S707" s="987"/>
      <c r="T707" s="987"/>
      <c r="U707" s="436" t="s">
        <v>62</v>
      </c>
      <c r="V707" s="995">
        <v>45121.0</v>
      </c>
      <c r="W707" s="987"/>
      <c r="X707" s="987"/>
      <c r="Y707" s="987"/>
      <c r="Z707" s="987"/>
      <c r="AA707" s="986"/>
    </row>
    <row r="708" hidden="1">
      <c r="A708" s="995">
        <v>575.0</v>
      </c>
      <c r="B708" s="988">
        <v>45047.0</v>
      </c>
      <c r="C708" s="989" t="s">
        <v>5538</v>
      </c>
      <c r="D708" s="434" t="s">
        <v>417</v>
      </c>
      <c r="E708" s="434" t="s">
        <v>3043</v>
      </c>
      <c r="F708" s="990">
        <v>1.634046E7</v>
      </c>
      <c r="G708" s="434" t="s">
        <v>200</v>
      </c>
      <c r="H708" s="989" t="s">
        <v>5690</v>
      </c>
      <c r="I708" s="989" t="s">
        <v>5691</v>
      </c>
      <c r="J708" s="987"/>
      <c r="K708" s="436" t="s">
        <v>265</v>
      </c>
      <c r="L708" s="436" t="s">
        <v>1576</v>
      </c>
      <c r="M708" s="436" t="s">
        <v>267</v>
      </c>
      <c r="N708" s="987"/>
      <c r="O708" s="436" t="s">
        <v>62</v>
      </c>
      <c r="P708" s="995">
        <v>45072.0</v>
      </c>
      <c r="Q708" s="987"/>
      <c r="R708" s="987"/>
      <c r="S708" s="987"/>
      <c r="T708" s="987"/>
      <c r="U708" s="987"/>
      <c r="V708" s="987"/>
      <c r="W708" s="987"/>
      <c r="X708" s="987"/>
      <c r="Y708" s="987"/>
      <c r="Z708" s="987"/>
      <c r="AA708" s="986"/>
    </row>
    <row r="709" hidden="1">
      <c r="A709" s="995">
        <v>576.0</v>
      </c>
      <c r="B709" s="988">
        <v>45047.0</v>
      </c>
      <c r="C709" s="989" t="s">
        <v>5538</v>
      </c>
      <c r="D709" s="434" t="s">
        <v>417</v>
      </c>
      <c r="E709" s="434" t="s">
        <v>3043</v>
      </c>
      <c r="F709" s="990">
        <v>1.6340479E7</v>
      </c>
      <c r="G709" s="434" t="s">
        <v>200</v>
      </c>
      <c r="H709" s="989" t="s">
        <v>5692</v>
      </c>
      <c r="I709" s="989" t="s">
        <v>5693</v>
      </c>
      <c r="J709" s="987"/>
      <c r="K709" s="436" t="s">
        <v>265</v>
      </c>
      <c r="L709" s="436" t="s">
        <v>5694</v>
      </c>
      <c r="M709" s="436" t="s">
        <v>267</v>
      </c>
      <c r="N709" s="987"/>
      <c r="O709" s="436" t="s">
        <v>62</v>
      </c>
      <c r="P709" s="995">
        <v>45072.0</v>
      </c>
      <c r="Q709" s="987"/>
      <c r="R709" s="987"/>
      <c r="S709" s="987"/>
      <c r="T709" s="987"/>
      <c r="U709" s="987"/>
      <c r="V709" s="987"/>
      <c r="W709" s="987"/>
      <c r="X709" s="987"/>
      <c r="Y709" s="987"/>
      <c r="Z709" s="987"/>
      <c r="AA709" s="986"/>
    </row>
    <row r="710" hidden="1">
      <c r="A710" s="995">
        <v>577.0</v>
      </c>
      <c r="B710" s="988">
        <v>44813.0</v>
      </c>
      <c r="C710" s="989" t="s">
        <v>5285</v>
      </c>
      <c r="D710" s="434" t="s">
        <v>417</v>
      </c>
      <c r="E710" s="434" t="s">
        <v>3043</v>
      </c>
      <c r="F710" s="990">
        <v>1.6340449E7</v>
      </c>
      <c r="G710" s="434" t="s">
        <v>200</v>
      </c>
      <c r="H710" s="989" t="s">
        <v>5695</v>
      </c>
      <c r="I710" s="989" t="s">
        <v>5693</v>
      </c>
      <c r="J710" s="987"/>
      <c r="K710" s="436" t="s">
        <v>265</v>
      </c>
      <c r="L710" s="436" t="s">
        <v>5696</v>
      </c>
      <c r="M710" s="436" t="s">
        <v>267</v>
      </c>
      <c r="N710" s="987"/>
      <c r="O710" s="436" t="s">
        <v>62</v>
      </c>
      <c r="P710" s="995">
        <v>45072.0</v>
      </c>
      <c r="Q710" s="987"/>
      <c r="R710" s="987"/>
      <c r="S710" s="987"/>
      <c r="T710" s="987"/>
      <c r="U710" s="987"/>
      <c r="V710" s="987"/>
      <c r="W710" s="987"/>
      <c r="X710" s="987"/>
      <c r="Y710" s="987"/>
      <c r="Z710" s="987"/>
      <c r="AA710" s="986"/>
    </row>
    <row r="711" hidden="1">
      <c r="A711" s="995">
        <v>578.0</v>
      </c>
      <c r="B711" s="988">
        <v>44813.0</v>
      </c>
      <c r="C711" s="989" t="s">
        <v>5285</v>
      </c>
      <c r="D711" s="434" t="s">
        <v>417</v>
      </c>
      <c r="E711" s="434" t="s">
        <v>3043</v>
      </c>
      <c r="F711" s="990">
        <v>1.634045E7</v>
      </c>
      <c r="G711" s="434" t="s">
        <v>200</v>
      </c>
      <c r="H711" s="989" t="s">
        <v>5697</v>
      </c>
      <c r="I711" s="989" t="s">
        <v>5693</v>
      </c>
      <c r="J711" s="987"/>
      <c r="K711" s="436" t="s">
        <v>265</v>
      </c>
      <c r="L711" s="436" t="s">
        <v>5698</v>
      </c>
      <c r="M711" s="436" t="s">
        <v>267</v>
      </c>
      <c r="N711" s="987"/>
      <c r="O711" s="436" t="s">
        <v>62</v>
      </c>
      <c r="P711" s="995">
        <v>45072.0</v>
      </c>
      <c r="Q711" s="987"/>
      <c r="R711" s="987"/>
      <c r="S711" s="987"/>
      <c r="T711" s="987"/>
      <c r="U711" s="987"/>
      <c r="V711" s="987"/>
      <c r="W711" s="987"/>
      <c r="X711" s="987"/>
      <c r="Y711" s="987"/>
      <c r="Z711" s="987"/>
      <c r="AA711" s="986"/>
    </row>
    <row r="712" hidden="1">
      <c r="A712" s="995">
        <v>584.0</v>
      </c>
      <c r="B712" s="988">
        <v>45068.0</v>
      </c>
      <c r="C712" s="989" t="s">
        <v>5699</v>
      </c>
      <c r="D712" s="434" t="s">
        <v>5588</v>
      </c>
      <c r="E712" s="434" t="s">
        <v>5700</v>
      </c>
      <c r="F712" s="434" t="s">
        <v>50</v>
      </c>
      <c r="G712" s="434" t="s">
        <v>348</v>
      </c>
      <c r="H712" s="989" t="s">
        <v>5701</v>
      </c>
      <c r="I712" s="989" t="s">
        <v>5702</v>
      </c>
      <c r="J712" s="987"/>
      <c r="K712" s="436" t="s">
        <v>5703</v>
      </c>
      <c r="L712" s="436" t="s">
        <v>5704</v>
      </c>
      <c r="M712" s="984" t="s">
        <v>5705</v>
      </c>
      <c r="N712" s="987"/>
      <c r="O712" s="436" t="s">
        <v>62</v>
      </c>
      <c r="P712" s="995">
        <v>45069.0</v>
      </c>
      <c r="Q712" s="987"/>
      <c r="R712" s="987"/>
      <c r="S712" s="987"/>
      <c r="T712" s="987"/>
      <c r="U712" s="987"/>
      <c r="V712" s="987"/>
      <c r="W712" s="987"/>
      <c r="X712" s="987"/>
      <c r="Y712" s="987"/>
      <c r="Z712" s="987"/>
      <c r="AA712" s="986"/>
    </row>
    <row r="713" hidden="1">
      <c r="A713" s="995">
        <v>585.0</v>
      </c>
      <c r="B713" s="988">
        <v>45070.0</v>
      </c>
      <c r="C713" s="989" t="s">
        <v>5706</v>
      </c>
      <c r="D713" s="434" t="s">
        <v>918</v>
      </c>
      <c r="E713" s="434" t="s">
        <v>3991</v>
      </c>
      <c r="F713" s="990">
        <v>1.635138E7</v>
      </c>
      <c r="G713" s="434" t="s">
        <v>32</v>
      </c>
      <c r="H713" s="989" t="s">
        <v>5707</v>
      </c>
      <c r="I713" s="989" t="s">
        <v>5708</v>
      </c>
      <c r="J713" s="987"/>
      <c r="K713" s="436" t="s">
        <v>1435</v>
      </c>
      <c r="L713" s="436" t="s">
        <v>495</v>
      </c>
      <c r="M713" s="436" t="s">
        <v>5709</v>
      </c>
      <c r="N713" s="987"/>
      <c r="O713" s="987"/>
      <c r="P713" s="987"/>
      <c r="Q713" s="987"/>
      <c r="R713" s="987"/>
      <c r="S713" s="987"/>
      <c r="T713" s="987"/>
      <c r="U713" s="987"/>
      <c r="V713" s="987"/>
      <c r="W713" s="987"/>
      <c r="X713" s="987"/>
      <c r="Y713" s="987"/>
      <c r="Z713" s="987"/>
      <c r="AA713" s="986"/>
    </row>
    <row r="714" hidden="1">
      <c r="A714" s="995">
        <v>586.0</v>
      </c>
      <c r="B714" s="988">
        <v>45071.0</v>
      </c>
      <c r="C714" s="989" t="s">
        <v>5710</v>
      </c>
      <c r="D714" s="434" t="s">
        <v>4126</v>
      </c>
      <c r="E714" s="434" t="s">
        <v>49</v>
      </c>
      <c r="F714" s="990">
        <v>1.542082E7</v>
      </c>
      <c r="G714" s="434" t="s">
        <v>51</v>
      </c>
      <c r="H714" s="989" t="s">
        <v>5711</v>
      </c>
      <c r="I714" s="989" t="s">
        <v>5712</v>
      </c>
      <c r="J714" s="987"/>
      <c r="K714" s="436" t="s">
        <v>5713</v>
      </c>
      <c r="L714" s="436" t="s">
        <v>5714</v>
      </c>
      <c r="M714" s="436" t="s">
        <v>5547</v>
      </c>
      <c r="N714" s="987"/>
      <c r="O714" s="436" t="s">
        <v>62</v>
      </c>
      <c r="P714" s="995">
        <v>45071.0</v>
      </c>
      <c r="Q714" s="987"/>
      <c r="R714" s="987"/>
      <c r="S714" s="987"/>
      <c r="T714" s="987"/>
      <c r="U714" s="987"/>
      <c r="V714" s="987"/>
      <c r="W714" s="987"/>
      <c r="X714" s="987"/>
      <c r="Y714" s="987"/>
      <c r="Z714" s="987"/>
      <c r="AA714" s="986"/>
    </row>
    <row r="715" hidden="1">
      <c r="A715" s="995">
        <v>587.0</v>
      </c>
      <c r="B715" s="988">
        <v>45070.0</v>
      </c>
      <c r="C715" s="989" t="s">
        <v>5715</v>
      </c>
      <c r="D715" s="434" t="s">
        <v>465</v>
      </c>
      <c r="E715" s="434" t="s">
        <v>3821</v>
      </c>
      <c r="F715" s="990">
        <v>2.5840429E7</v>
      </c>
      <c r="G715" s="434" t="s">
        <v>51</v>
      </c>
      <c r="H715" s="989" t="s">
        <v>5716</v>
      </c>
      <c r="I715" s="989" t="s">
        <v>5717</v>
      </c>
      <c r="J715" s="987"/>
      <c r="K715" s="436" t="s">
        <v>469</v>
      </c>
      <c r="L715" s="436" t="s">
        <v>613</v>
      </c>
      <c r="M715" s="436" t="s">
        <v>5718</v>
      </c>
      <c r="N715" s="987"/>
      <c r="O715" s="436" t="s">
        <v>62</v>
      </c>
      <c r="P715" s="995">
        <v>45071.0</v>
      </c>
      <c r="Q715" s="987"/>
      <c r="R715" s="987"/>
      <c r="S715" s="987"/>
      <c r="T715" s="987"/>
      <c r="U715" s="987"/>
      <c r="V715" s="987"/>
      <c r="W715" s="987"/>
      <c r="X715" s="987"/>
      <c r="Y715" s="987"/>
      <c r="Z715" s="987"/>
      <c r="AA715" s="986"/>
    </row>
    <row r="716" hidden="1">
      <c r="A716" s="995">
        <v>588.0</v>
      </c>
      <c r="B716" s="988">
        <v>45072.0</v>
      </c>
      <c r="C716" s="989" t="s">
        <v>5638</v>
      </c>
      <c r="D716" s="434" t="s">
        <v>2530</v>
      </c>
      <c r="E716" s="434" t="s">
        <v>721</v>
      </c>
      <c r="F716" s="990">
        <v>1.8610918E7</v>
      </c>
      <c r="G716" s="434" t="s">
        <v>32</v>
      </c>
      <c r="H716" s="989" t="s">
        <v>5719</v>
      </c>
      <c r="I716" s="993" t="s">
        <v>5720</v>
      </c>
      <c r="J716" s="987"/>
      <c r="K716" s="436" t="s">
        <v>2533</v>
      </c>
      <c r="L716" s="436" t="s">
        <v>4595</v>
      </c>
      <c r="M716" s="436" t="s">
        <v>2535</v>
      </c>
      <c r="N716" s="987"/>
      <c r="O716" s="436" t="s">
        <v>62</v>
      </c>
      <c r="P716" s="995">
        <v>45310.0</v>
      </c>
      <c r="Q716" s="987"/>
      <c r="R716" s="987"/>
      <c r="S716" s="436" t="s">
        <v>62</v>
      </c>
      <c r="T716" s="987"/>
      <c r="U716" s="987"/>
      <c r="V716" s="987"/>
      <c r="W716" s="987"/>
      <c r="X716" s="987"/>
      <c r="Y716" s="987"/>
      <c r="Z716" s="987"/>
      <c r="AA716" s="986"/>
    </row>
    <row r="717" hidden="1">
      <c r="A717" s="995">
        <v>589.0</v>
      </c>
      <c r="B717" s="996">
        <v>45076.0</v>
      </c>
      <c r="C717" s="984" t="s">
        <v>5721</v>
      </c>
      <c r="D717" s="436" t="s">
        <v>309</v>
      </c>
      <c r="E717" s="436" t="s">
        <v>49</v>
      </c>
      <c r="F717" s="995">
        <v>1.803057E7</v>
      </c>
      <c r="G717" s="436" t="s">
        <v>103</v>
      </c>
      <c r="H717" s="984" t="s">
        <v>5722</v>
      </c>
      <c r="I717" s="999" t="s">
        <v>5723</v>
      </c>
      <c r="J717" s="987"/>
      <c r="K717" s="436" t="s">
        <v>3088</v>
      </c>
      <c r="L717" s="436" t="s">
        <v>5724</v>
      </c>
      <c r="M717" s="987"/>
      <c r="N717" s="987"/>
      <c r="O717" s="987"/>
      <c r="P717" s="987"/>
      <c r="Q717" s="987"/>
      <c r="R717" s="987"/>
      <c r="S717" s="987"/>
      <c r="T717" s="987"/>
      <c r="U717" s="987"/>
      <c r="V717" s="987"/>
      <c r="W717" s="987"/>
      <c r="X717" s="987"/>
      <c r="Y717" s="987"/>
      <c r="Z717" s="987"/>
      <c r="AA717" s="986"/>
    </row>
    <row r="718" hidden="1">
      <c r="A718" s="995">
        <v>590.0</v>
      </c>
      <c r="B718" s="988">
        <v>45076.0</v>
      </c>
      <c r="C718" s="989" t="s">
        <v>5725</v>
      </c>
      <c r="D718" s="434" t="s">
        <v>475</v>
      </c>
      <c r="E718" s="434" t="s">
        <v>4542</v>
      </c>
      <c r="F718" s="434" t="s">
        <v>50</v>
      </c>
      <c r="G718" s="434" t="s">
        <v>103</v>
      </c>
      <c r="H718" s="989" t="s">
        <v>5726</v>
      </c>
      <c r="I718" s="993" t="s">
        <v>5727</v>
      </c>
      <c r="J718" s="987"/>
      <c r="K718" s="436" t="s">
        <v>479</v>
      </c>
      <c r="L718" s="436" t="s">
        <v>554</v>
      </c>
      <c r="M718" s="436" t="s">
        <v>5237</v>
      </c>
      <c r="N718" s="987"/>
      <c r="O718" s="987"/>
      <c r="P718" s="987"/>
      <c r="Q718" s="987"/>
      <c r="R718" s="987"/>
      <c r="S718" s="987"/>
      <c r="T718" s="987"/>
      <c r="U718" s="987"/>
      <c r="V718" s="987"/>
      <c r="W718" s="987"/>
      <c r="X718" s="987"/>
      <c r="Y718" s="987"/>
      <c r="Z718" s="987"/>
      <c r="AA718" s="986"/>
    </row>
    <row r="719" hidden="1">
      <c r="A719" s="995">
        <v>593.0</v>
      </c>
      <c r="B719" s="988">
        <v>45083.0</v>
      </c>
      <c r="C719" s="989" t="s">
        <v>5728</v>
      </c>
      <c r="D719" s="434" t="s">
        <v>133</v>
      </c>
      <c r="E719" s="434" t="s">
        <v>134</v>
      </c>
      <c r="F719" s="434" t="s">
        <v>50</v>
      </c>
      <c r="G719" s="434" t="s">
        <v>135</v>
      </c>
      <c r="H719" s="989" t="s">
        <v>5729</v>
      </c>
      <c r="I719" s="989" t="s">
        <v>5730</v>
      </c>
      <c r="J719" s="987"/>
      <c r="K719" s="436" t="s">
        <v>5472</v>
      </c>
      <c r="L719" s="436" t="s">
        <v>5473</v>
      </c>
      <c r="M719" s="436" t="s">
        <v>5474</v>
      </c>
      <c r="N719" s="987"/>
      <c r="O719" s="987"/>
      <c r="P719" s="987"/>
      <c r="Q719" s="987"/>
      <c r="R719" s="987"/>
      <c r="S719" s="987"/>
      <c r="T719" s="987"/>
      <c r="U719" s="987"/>
      <c r="V719" s="987"/>
      <c r="W719" s="987"/>
      <c r="X719" s="987"/>
      <c r="Y719" s="987"/>
      <c r="Z719" s="987"/>
      <c r="AA719" s="986"/>
    </row>
    <row r="720" hidden="1">
      <c r="A720" s="995">
        <v>594.0</v>
      </c>
      <c r="B720" s="988">
        <v>45084.0</v>
      </c>
      <c r="C720" s="989" t="s">
        <v>1990</v>
      </c>
      <c r="D720" s="434" t="s">
        <v>506</v>
      </c>
      <c r="E720" s="434" t="s">
        <v>49</v>
      </c>
      <c r="F720" s="990">
        <v>1.7242172E7</v>
      </c>
      <c r="G720" s="434" t="s">
        <v>200</v>
      </c>
      <c r="H720" s="989" t="s">
        <v>5506</v>
      </c>
      <c r="I720" s="989" t="s">
        <v>5731</v>
      </c>
      <c r="J720" s="987"/>
      <c r="K720" s="436" t="s">
        <v>3079</v>
      </c>
      <c r="L720" s="436" t="s">
        <v>812</v>
      </c>
      <c r="M720" s="436" t="s">
        <v>610</v>
      </c>
      <c r="N720" s="987"/>
      <c r="O720" s="987"/>
      <c r="P720" s="987"/>
      <c r="Q720" s="987"/>
      <c r="R720" s="987"/>
      <c r="S720" s="987"/>
      <c r="T720" s="987"/>
      <c r="U720" s="436" t="s">
        <v>62</v>
      </c>
      <c r="V720" s="995">
        <v>45090.0</v>
      </c>
      <c r="W720" s="987"/>
      <c r="X720" s="987"/>
      <c r="Y720" s="987"/>
      <c r="Z720" s="987"/>
      <c r="AA720" s="986"/>
    </row>
    <row r="721" hidden="1">
      <c r="A721" s="995">
        <v>595.0</v>
      </c>
      <c r="B721" s="988">
        <v>45090.0</v>
      </c>
      <c r="C721" s="989" t="s">
        <v>5732</v>
      </c>
      <c r="D721" s="434" t="s">
        <v>1113</v>
      </c>
      <c r="E721" s="434" t="s">
        <v>4035</v>
      </c>
      <c r="F721" s="434" t="s">
        <v>50</v>
      </c>
      <c r="G721" s="434" t="s">
        <v>32</v>
      </c>
      <c r="H721" s="989" t="s">
        <v>5733</v>
      </c>
      <c r="I721" s="989" t="s">
        <v>5734</v>
      </c>
      <c r="J721" s="987"/>
      <c r="K721" s="987"/>
      <c r="L721" s="987"/>
      <c r="M721" s="987"/>
      <c r="N721" s="987"/>
      <c r="O721" s="987"/>
      <c r="P721" s="987"/>
      <c r="Q721" s="987"/>
      <c r="R721" s="987"/>
      <c r="S721" s="987"/>
      <c r="T721" s="987"/>
      <c r="U721" s="987"/>
      <c r="V721" s="987"/>
      <c r="W721" s="987"/>
      <c r="X721" s="987"/>
      <c r="Y721" s="987"/>
      <c r="Z721" s="987"/>
      <c r="AA721" s="986"/>
    </row>
    <row r="722" hidden="1">
      <c r="A722" s="995">
        <v>596.0</v>
      </c>
      <c r="B722" s="988">
        <v>45086.0</v>
      </c>
      <c r="C722" s="989" t="s">
        <v>5725</v>
      </c>
      <c r="D722" s="434" t="s">
        <v>475</v>
      </c>
      <c r="E722" s="434" t="s">
        <v>4542</v>
      </c>
      <c r="F722" s="434" t="s">
        <v>50</v>
      </c>
      <c r="G722" s="434" t="s">
        <v>103</v>
      </c>
      <c r="H722" s="989" t="s">
        <v>5735</v>
      </c>
      <c r="I722" s="989" t="s">
        <v>5736</v>
      </c>
      <c r="J722" s="987"/>
      <c r="K722" s="436" t="s">
        <v>479</v>
      </c>
      <c r="L722" s="436" t="s">
        <v>554</v>
      </c>
      <c r="M722" s="436" t="s">
        <v>5237</v>
      </c>
      <c r="N722" s="987"/>
      <c r="O722" s="436" t="s">
        <v>62</v>
      </c>
      <c r="P722" s="995">
        <v>45169.0</v>
      </c>
      <c r="Q722" s="987"/>
      <c r="R722" s="987"/>
      <c r="S722" s="987"/>
      <c r="T722" s="987"/>
      <c r="U722" s="987"/>
      <c r="V722" s="987"/>
      <c r="W722" s="987"/>
      <c r="X722" s="987"/>
      <c r="Y722" s="987"/>
      <c r="Z722" s="987"/>
      <c r="AA722" s="986"/>
    </row>
    <row r="723" hidden="1">
      <c r="A723" s="995">
        <v>597.0</v>
      </c>
      <c r="B723" s="996">
        <v>45090.0</v>
      </c>
      <c r="C723" s="984" t="s">
        <v>5737</v>
      </c>
      <c r="D723" s="1008" t="s">
        <v>814</v>
      </c>
      <c r="E723" s="436" t="s">
        <v>559</v>
      </c>
      <c r="F723" s="995">
        <v>1.802023E7</v>
      </c>
      <c r="G723" s="436" t="s">
        <v>32</v>
      </c>
      <c r="H723" s="984" t="s">
        <v>5738</v>
      </c>
      <c r="I723" s="997" t="s">
        <v>5739</v>
      </c>
      <c r="J723" s="987"/>
      <c r="K723" s="987"/>
      <c r="L723" s="987"/>
      <c r="M723" s="987"/>
      <c r="N723" s="987"/>
      <c r="O723" s="987"/>
      <c r="P723" s="987"/>
      <c r="Q723" s="987"/>
      <c r="R723" s="987"/>
      <c r="S723" s="987"/>
      <c r="T723" s="987"/>
      <c r="U723" s="987"/>
      <c r="V723" s="987"/>
      <c r="W723" s="987"/>
      <c r="X723" s="987"/>
      <c r="Y723" s="987"/>
      <c r="Z723" s="987"/>
      <c r="AA723" s="986"/>
    </row>
    <row r="724" hidden="1">
      <c r="A724" s="995">
        <v>598.0</v>
      </c>
      <c r="B724" s="988">
        <v>45093.0</v>
      </c>
      <c r="C724" s="989" t="s">
        <v>5740</v>
      </c>
      <c r="D724" s="434" t="s">
        <v>2530</v>
      </c>
      <c r="E724" s="434" t="s">
        <v>721</v>
      </c>
      <c r="F724" s="990">
        <v>1.8610939E7</v>
      </c>
      <c r="G724" s="434" t="s">
        <v>32</v>
      </c>
      <c r="H724" s="989" t="s">
        <v>5741</v>
      </c>
      <c r="I724" s="989" t="s">
        <v>5742</v>
      </c>
      <c r="J724" s="987"/>
      <c r="K724" s="436" t="s">
        <v>2533</v>
      </c>
      <c r="L724" s="436" t="s">
        <v>5743</v>
      </c>
      <c r="M724" s="436" t="s">
        <v>2535</v>
      </c>
      <c r="N724" s="987"/>
      <c r="O724" s="436" t="s">
        <v>62</v>
      </c>
      <c r="P724" s="995">
        <v>45310.0</v>
      </c>
      <c r="Q724" s="987"/>
      <c r="R724" s="987"/>
      <c r="S724" s="987"/>
      <c r="T724" s="987"/>
      <c r="U724" s="987"/>
      <c r="V724" s="987"/>
      <c r="W724" s="987"/>
      <c r="X724" s="987"/>
      <c r="Y724" s="987"/>
      <c r="Z724" s="987"/>
      <c r="AA724" s="986"/>
    </row>
    <row r="725" hidden="1">
      <c r="A725" s="995">
        <v>599.0</v>
      </c>
      <c r="B725" s="988">
        <v>45090.0</v>
      </c>
      <c r="C725" s="989" t="s">
        <v>5744</v>
      </c>
      <c r="D725" s="434" t="s">
        <v>1956</v>
      </c>
      <c r="E725" s="434" t="s">
        <v>2536</v>
      </c>
      <c r="F725" s="990">
        <v>1.5481899E7</v>
      </c>
      <c r="G725" s="434" t="s">
        <v>103</v>
      </c>
      <c r="H725" s="989" t="s">
        <v>5745</v>
      </c>
      <c r="I725" s="993" t="s">
        <v>5746</v>
      </c>
      <c r="J725" s="987"/>
      <c r="K725" s="436" t="s">
        <v>5747</v>
      </c>
      <c r="L725" s="436" t="s">
        <v>5748</v>
      </c>
      <c r="M725" s="436" t="s">
        <v>5749</v>
      </c>
      <c r="N725" s="987"/>
      <c r="O725" s="987"/>
      <c r="P725" s="987"/>
      <c r="Q725" s="987"/>
      <c r="R725" s="987"/>
      <c r="S725" s="987"/>
      <c r="T725" s="987"/>
      <c r="U725" s="987"/>
      <c r="V725" s="987"/>
      <c r="W725" s="987"/>
      <c r="X725" s="987"/>
      <c r="Y725" s="987"/>
      <c r="Z725" s="987"/>
      <c r="AA725" s="986"/>
    </row>
    <row r="726" hidden="1">
      <c r="A726" s="995">
        <v>603.0</v>
      </c>
      <c r="B726" s="988">
        <v>45097.0</v>
      </c>
      <c r="C726" s="989" t="s">
        <v>5750</v>
      </c>
      <c r="D726" s="434" t="s">
        <v>1584</v>
      </c>
      <c r="E726" s="434" t="s">
        <v>5751</v>
      </c>
      <c r="F726" s="434" t="s">
        <v>50</v>
      </c>
      <c r="G726" s="434" t="s">
        <v>51</v>
      </c>
      <c r="H726" s="989" t="s">
        <v>5752</v>
      </c>
      <c r="I726" s="993" t="s">
        <v>5753</v>
      </c>
      <c r="J726" s="987"/>
      <c r="K726" s="436" t="s">
        <v>5754</v>
      </c>
      <c r="L726" s="436" t="s">
        <v>5755</v>
      </c>
      <c r="M726" s="436" t="s">
        <v>5129</v>
      </c>
      <c r="N726" s="987"/>
      <c r="O726" s="987"/>
      <c r="P726" s="987"/>
      <c r="Q726" s="987"/>
      <c r="R726" s="987"/>
      <c r="S726" s="987"/>
      <c r="T726" s="987"/>
      <c r="U726" s="987"/>
      <c r="V726" s="987"/>
      <c r="W726" s="987"/>
      <c r="X726" s="987"/>
      <c r="Y726" s="987"/>
      <c r="Z726" s="987"/>
      <c r="AA726" s="986"/>
    </row>
    <row r="727" hidden="1">
      <c r="A727" s="995">
        <v>606.0</v>
      </c>
      <c r="B727" s="996">
        <v>45099.0</v>
      </c>
      <c r="C727" s="984" t="s">
        <v>5737</v>
      </c>
      <c r="D727" s="1008" t="s">
        <v>814</v>
      </c>
      <c r="E727" s="436" t="s">
        <v>559</v>
      </c>
      <c r="F727" s="995">
        <v>1.8020234E7</v>
      </c>
      <c r="G727" s="436" t="s">
        <v>32</v>
      </c>
      <c r="H727" s="984" t="s">
        <v>5756</v>
      </c>
      <c r="I727" s="997" t="s">
        <v>5757</v>
      </c>
      <c r="J727" s="987"/>
      <c r="K727" s="436" t="s">
        <v>817</v>
      </c>
      <c r="L727" s="436" t="s">
        <v>5758</v>
      </c>
      <c r="M727" s="436" t="s">
        <v>737</v>
      </c>
      <c r="N727" s="987"/>
      <c r="O727" s="987"/>
      <c r="P727" s="987"/>
      <c r="Q727" s="987"/>
      <c r="R727" s="987"/>
      <c r="S727" s="987"/>
      <c r="T727" s="987"/>
      <c r="U727" s="987"/>
      <c r="V727" s="987"/>
      <c r="W727" s="987"/>
      <c r="X727" s="987"/>
      <c r="Y727" s="987"/>
      <c r="Z727" s="987"/>
      <c r="AA727" s="986"/>
    </row>
    <row r="728" hidden="1">
      <c r="A728" s="995">
        <v>607.0</v>
      </c>
      <c r="B728" s="988">
        <v>45099.0</v>
      </c>
      <c r="C728" s="989" t="s">
        <v>5732</v>
      </c>
      <c r="D728" s="434" t="s">
        <v>1113</v>
      </c>
      <c r="E728" s="434" t="s">
        <v>702</v>
      </c>
      <c r="F728" s="434" t="s">
        <v>50</v>
      </c>
      <c r="G728" s="434" t="s">
        <v>32</v>
      </c>
      <c r="H728" s="989" t="s">
        <v>5759</v>
      </c>
      <c r="I728" s="989" t="s">
        <v>5760</v>
      </c>
      <c r="J728" s="987"/>
      <c r="K728" s="436" t="s">
        <v>415</v>
      </c>
      <c r="L728" s="436" t="s">
        <v>5761</v>
      </c>
      <c r="M728" s="436" t="s">
        <v>5762</v>
      </c>
      <c r="N728" s="987"/>
      <c r="O728" s="987"/>
      <c r="P728" s="987"/>
      <c r="Q728" s="436" t="s">
        <v>62</v>
      </c>
      <c r="R728" s="995">
        <v>45114.0</v>
      </c>
      <c r="S728" s="987"/>
      <c r="T728" s="987"/>
      <c r="U728" s="987"/>
      <c r="V728" s="987"/>
      <c r="W728" s="987"/>
      <c r="X728" s="987"/>
      <c r="Y728" s="987"/>
      <c r="Z728" s="987"/>
      <c r="AA728" s="986"/>
    </row>
    <row r="729" hidden="1">
      <c r="A729" s="995">
        <v>608.0</v>
      </c>
      <c r="B729" s="988">
        <v>45099.0</v>
      </c>
      <c r="C729" s="989" t="s">
        <v>1990</v>
      </c>
      <c r="D729" s="434" t="s">
        <v>506</v>
      </c>
      <c r="E729" s="434" t="s">
        <v>49</v>
      </c>
      <c r="F729" s="434" t="s">
        <v>50</v>
      </c>
      <c r="G729" s="434" t="s">
        <v>200</v>
      </c>
      <c r="H729" s="989" t="s">
        <v>5506</v>
      </c>
      <c r="I729" s="989" t="s">
        <v>5763</v>
      </c>
      <c r="J729" s="987"/>
      <c r="K729" s="436" t="s">
        <v>3079</v>
      </c>
      <c r="L729" s="436" t="s">
        <v>812</v>
      </c>
      <c r="M729" s="436" t="s">
        <v>610</v>
      </c>
      <c r="N729" s="987"/>
      <c r="O729" s="436" t="s">
        <v>62</v>
      </c>
      <c r="P729" s="995">
        <v>45100.0</v>
      </c>
      <c r="Q729" s="987"/>
      <c r="R729" s="987"/>
      <c r="S729" s="987"/>
      <c r="T729" s="987"/>
      <c r="U729" s="987"/>
      <c r="V729" s="987"/>
      <c r="W729" s="987"/>
      <c r="X729" s="987"/>
      <c r="Y729" s="987"/>
      <c r="Z729" s="987"/>
      <c r="AA729" s="986"/>
    </row>
    <row r="730" hidden="1">
      <c r="A730" s="995">
        <v>611.0</v>
      </c>
      <c r="B730" s="988">
        <v>45100.0</v>
      </c>
      <c r="C730" s="989" t="s">
        <v>5732</v>
      </c>
      <c r="D730" s="434" t="s">
        <v>2639</v>
      </c>
      <c r="E730" s="434" t="s">
        <v>50</v>
      </c>
      <c r="F730" s="990">
        <v>1.8010118E7</v>
      </c>
      <c r="G730" s="434" t="s">
        <v>32</v>
      </c>
      <c r="H730" s="989" t="s">
        <v>5764</v>
      </c>
      <c r="I730" s="993" t="s">
        <v>5765</v>
      </c>
      <c r="J730" s="987"/>
      <c r="K730" s="987"/>
      <c r="L730" s="987"/>
      <c r="M730" s="987"/>
      <c r="N730" s="987"/>
      <c r="O730" s="987"/>
      <c r="P730" s="987"/>
      <c r="Q730" s="987"/>
      <c r="R730" s="987"/>
      <c r="S730" s="987"/>
      <c r="T730" s="987"/>
      <c r="U730" s="987"/>
      <c r="V730" s="987"/>
      <c r="W730" s="987"/>
      <c r="X730" s="987"/>
      <c r="Y730" s="987"/>
      <c r="Z730" s="987"/>
      <c r="AA730" s="986"/>
    </row>
    <row r="731" hidden="1">
      <c r="A731" s="995">
        <v>614.0</v>
      </c>
      <c r="B731" s="988">
        <v>45104.0</v>
      </c>
      <c r="C731" s="989" t="s">
        <v>5725</v>
      </c>
      <c r="D731" s="434" t="s">
        <v>475</v>
      </c>
      <c r="E731" s="434" t="s">
        <v>4542</v>
      </c>
      <c r="F731" s="434" t="s">
        <v>50</v>
      </c>
      <c r="G731" s="434" t="s">
        <v>348</v>
      </c>
      <c r="H731" s="989" t="s">
        <v>5766</v>
      </c>
      <c r="I731" s="989" t="s">
        <v>5767</v>
      </c>
      <c r="J731" s="987"/>
      <c r="K731" s="436" t="s">
        <v>479</v>
      </c>
      <c r="L731" s="436" t="s">
        <v>554</v>
      </c>
      <c r="M731" s="436" t="s">
        <v>5237</v>
      </c>
      <c r="N731" s="987"/>
      <c r="O731" s="436" t="s">
        <v>62</v>
      </c>
      <c r="P731" s="995">
        <v>45104.0</v>
      </c>
      <c r="Q731" s="987"/>
      <c r="R731" s="987"/>
      <c r="S731" s="987"/>
      <c r="T731" s="987"/>
      <c r="U731" s="987"/>
      <c r="V731" s="987"/>
      <c r="W731" s="987"/>
      <c r="X731" s="987"/>
      <c r="Y731" s="987"/>
      <c r="Z731" s="987"/>
      <c r="AA731" s="986"/>
    </row>
    <row r="732" hidden="1">
      <c r="A732" s="995">
        <v>624.0</v>
      </c>
      <c r="B732" s="988">
        <v>45117.0</v>
      </c>
      <c r="C732" s="989" t="s">
        <v>5768</v>
      </c>
      <c r="D732" s="434" t="s">
        <v>918</v>
      </c>
      <c r="E732" s="434" t="s">
        <v>300</v>
      </c>
      <c r="F732" s="434" t="s">
        <v>5769</v>
      </c>
      <c r="G732" s="434" t="s">
        <v>32</v>
      </c>
      <c r="H732" s="989" t="s">
        <v>5287</v>
      </c>
      <c r="I732" s="989" t="s">
        <v>5770</v>
      </c>
      <c r="J732" s="987"/>
      <c r="K732" s="436" t="s">
        <v>265</v>
      </c>
      <c r="L732" s="436" t="s">
        <v>5305</v>
      </c>
      <c r="M732" s="436" t="s">
        <v>2852</v>
      </c>
      <c r="N732" s="987"/>
      <c r="O732" s="987"/>
      <c r="P732" s="987"/>
      <c r="Q732" s="987"/>
      <c r="R732" s="987"/>
      <c r="S732" s="987"/>
      <c r="T732" s="987"/>
      <c r="U732" s="987"/>
      <c r="V732" s="987"/>
      <c r="W732" s="987"/>
      <c r="X732" s="987"/>
      <c r="Y732" s="987"/>
      <c r="Z732" s="987"/>
      <c r="AA732" s="986"/>
    </row>
    <row r="733" hidden="1">
      <c r="A733" s="995">
        <v>627.0</v>
      </c>
      <c r="B733" s="988">
        <v>45118.0</v>
      </c>
      <c r="C733" s="989" t="s">
        <v>3660</v>
      </c>
      <c r="D733" s="434" t="s">
        <v>205</v>
      </c>
      <c r="E733" s="434" t="s">
        <v>49</v>
      </c>
      <c r="F733" s="434" t="s">
        <v>50</v>
      </c>
      <c r="G733" s="434" t="s">
        <v>51</v>
      </c>
      <c r="H733" s="989" t="s">
        <v>5771</v>
      </c>
      <c r="I733" s="993" t="s">
        <v>5772</v>
      </c>
      <c r="J733" s="987"/>
      <c r="K733" s="436" t="s">
        <v>3663</v>
      </c>
      <c r="L733" s="436" t="s">
        <v>5008</v>
      </c>
      <c r="M733" s="987"/>
      <c r="N733" s="987"/>
      <c r="O733" s="987"/>
      <c r="P733" s="987"/>
      <c r="Q733" s="436" t="s">
        <v>5773</v>
      </c>
      <c r="R733" s="987"/>
      <c r="S733" s="987"/>
      <c r="T733" s="987"/>
      <c r="U733" s="987"/>
      <c r="V733" s="987"/>
      <c r="W733" s="987"/>
      <c r="X733" s="987"/>
      <c r="Y733" s="987"/>
      <c r="Z733" s="987"/>
      <c r="AA733" s="986"/>
    </row>
    <row r="734" hidden="1">
      <c r="A734" s="995">
        <v>629.0</v>
      </c>
      <c r="B734" s="996">
        <v>45119.0</v>
      </c>
      <c r="C734" s="984" t="s">
        <v>5737</v>
      </c>
      <c r="D734" s="1008" t="s">
        <v>814</v>
      </c>
      <c r="E734" s="436" t="s">
        <v>559</v>
      </c>
      <c r="F734" s="995">
        <v>1.8020249E7</v>
      </c>
      <c r="G734" s="436" t="s">
        <v>32</v>
      </c>
      <c r="H734" s="984" t="s">
        <v>5774</v>
      </c>
      <c r="I734" s="997" t="s">
        <v>5739</v>
      </c>
      <c r="J734" s="987"/>
      <c r="K734" s="436" t="s">
        <v>817</v>
      </c>
      <c r="L734" s="436" t="s">
        <v>2489</v>
      </c>
      <c r="M734" s="436" t="s">
        <v>737</v>
      </c>
      <c r="N734" s="987"/>
      <c r="O734" s="987"/>
      <c r="P734" s="987"/>
      <c r="Q734" s="987"/>
      <c r="R734" s="987"/>
      <c r="S734" s="987"/>
      <c r="T734" s="987"/>
      <c r="U734" s="987"/>
      <c r="V734" s="987"/>
      <c r="W734" s="987"/>
      <c r="X734" s="987"/>
      <c r="Y734" s="987"/>
      <c r="Z734" s="987"/>
      <c r="AA734" s="986"/>
    </row>
    <row r="735" hidden="1">
      <c r="A735" s="995">
        <v>630.0</v>
      </c>
      <c r="B735" s="996">
        <v>45119.0</v>
      </c>
      <c r="C735" s="984" t="s">
        <v>5737</v>
      </c>
      <c r="D735" s="1008" t="s">
        <v>814</v>
      </c>
      <c r="E735" s="436" t="s">
        <v>559</v>
      </c>
      <c r="F735" s="995">
        <v>1.8020257E7</v>
      </c>
      <c r="G735" s="436" t="s">
        <v>32</v>
      </c>
      <c r="H735" s="984" t="s">
        <v>5775</v>
      </c>
      <c r="I735" s="997" t="s">
        <v>5739</v>
      </c>
      <c r="J735" s="987"/>
      <c r="K735" s="436" t="s">
        <v>817</v>
      </c>
      <c r="L735" s="436" t="s">
        <v>2489</v>
      </c>
      <c r="M735" s="436" t="s">
        <v>737</v>
      </c>
      <c r="N735" s="987"/>
      <c r="O735" s="987"/>
      <c r="P735" s="987"/>
      <c r="Q735" s="987"/>
      <c r="R735" s="987"/>
      <c r="S735" s="987"/>
      <c r="T735" s="987"/>
      <c r="U735" s="987"/>
      <c r="V735" s="987"/>
      <c r="W735" s="987"/>
      <c r="X735" s="987"/>
      <c r="Y735" s="987"/>
      <c r="Z735" s="987"/>
      <c r="AA735" s="986"/>
    </row>
    <row r="736" hidden="1">
      <c r="A736" s="995">
        <v>631.0</v>
      </c>
      <c r="B736" s="988">
        <v>45120.0</v>
      </c>
      <c r="C736" s="989" t="s">
        <v>5776</v>
      </c>
      <c r="D736" s="434" t="s">
        <v>1766</v>
      </c>
      <c r="E736" s="434" t="s">
        <v>1865</v>
      </c>
      <c r="F736" s="434" t="s">
        <v>50</v>
      </c>
      <c r="G736" s="434" t="s">
        <v>42</v>
      </c>
      <c r="H736" s="989" t="s">
        <v>5777</v>
      </c>
      <c r="I736" s="989" t="s">
        <v>5778</v>
      </c>
      <c r="J736" s="987"/>
      <c r="K736" s="987"/>
      <c r="L736" s="987"/>
      <c r="M736" s="987"/>
      <c r="N736" s="987"/>
      <c r="O736" s="987"/>
      <c r="P736" s="987"/>
      <c r="Q736" s="987"/>
      <c r="R736" s="987"/>
      <c r="S736" s="436" t="s">
        <v>62</v>
      </c>
      <c r="T736" s="1019">
        <v>46013.0</v>
      </c>
      <c r="U736" s="436" t="s">
        <v>62</v>
      </c>
      <c r="V736" s="1020">
        <v>45910.0</v>
      </c>
      <c r="W736" s="987"/>
      <c r="X736" s="987"/>
      <c r="Y736" s="987"/>
      <c r="Z736" s="987"/>
      <c r="AA736" s="986"/>
    </row>
    <row r="737" hidden="1">
      <c r="A737" s="995">
        <v>632.0</v>
      </c>
      <c r="B737" s="988">
        <v>45120.0</v>
      </c>
      <c r="C737" s="989" t="s">
        <v>5768</v>
      </c>
      <c r="D737" s="434" t="s">
        <v>918</v>
      </c>
      <c r="E737" s="434" t="s">
        <v>300</v>
      </c>
      <c r="F737" s="434" t="s">
        <v>5779</v>
      </c>
      <c r="G737" s="434" t="s">
        <v>32</v>
      </c>
      <c r="H737" s="989" t="s">
        <v>5287</v>
      </c>
      <c r="I737" s="989" t="s">
        <v>5780</v>
      </c>
      <c r="J737" s="987"/>
      <c r="K737" s="436" t="s">
        <v>265</v>
      </c>
      <c r="L737" s="436" t="s">
        <v>5305</v>
      </c>
      <c r="M737" s="436" t="s">
        <v>2852</v>
      </c>
      <c r="N737" s="987"/>
      <c r="O737" s="987"/>
      <c r="P737" s="987"/>
      <c r="Q737" s="987"/>
      <c r="R737" s="987"/>
      <c r="S737" s="987"/>
      <c r="T737" s="987"/>
      <c r="U737" s="987"/>
      <c r="V737" s="987"/>
      <c r="W737" s="987"/>
      <c r="X737" s="987"/>
      <c r="Y737" s="987"/>
      <c r="Z737" s="987"/>
      <c r="AA737" s="986"/>
    </row>
    <row r="738" hidden="1">
      <c r="A738" s="995">
        <v>637.0</v>
      </c>
      <c r="B738" s="988">
        <v>45127.0</v>
      </c>
      <c r="C738" s="989" t="s">
        <v>5781</v>
      </c>
      <c r="D738" s="434" t="s">
        <v>499</v>
      </c>
      <c r="E738" s="434" t="s">
        <v>1070</v>
      </c>
      <c r="F738" s="434" t="s">
        <v>50</v>
      </c>
      <c r="G738" s="434" t="s">
        <v>348</v>
      </c>
      <c r="H738" s="989" t="s">
        <v>5782</v>
      </c>
      <c r="I738" s="989" t="s">
        <v>5783</v>
      </c>
      <c r="J738" s="987"/>
      <c r="K738" s="436" t="s">
        <v>1073</v>
      </c>
      <c r="L738" s="436" t="s">
        <v>5784</v>
      </c>
      <c r="M738" s="436" t="s">
        <v>5237</v>
      </c>
      <c r="N738" s="987"/>
      <c r="O738" s="987"/>
      <c r="P738" s="987"/>
      <c r="Q738" s="987"/>
      <c r="R738" s="987"/>
      <c r="S738" s="987"/>
      <c r="T738" s="987"/>
      <c r="U738" s="987"/>
      <c r="V738" s="987"/>
      <c r="W738" s="987"/>
      <c r="X738" s="987"/>
      <c r="Y738" s="987"/>
      <c r="Z738" s="987"/>
      <c r="AA738" s="986"/>
    </row>
    <row r="739" hidden="1">
      <c r="A739" s="995">
        <v>638.0</v>
      </c>
      <c r="B739" s="988">
        <v>45128.0</v>
      </c>
      <c r="C739" s="989" t="s">
        <v>5732</v>
      </c>
      <c r="D739" s="434" t="s">
        <v>2639</v>
      </c>
      <c r="E739" s="434" t="s">
        <v>702</v>
      </c>
      <c r="F739" s="990">
        <v>1.8010124E7</v>
      </c>
      <c r="G739" s="434" t="s">
        <v>32</v>
      </c>
      <c r="H739" s="989" t="s">
        <v>5785</v>
      </c>
      <c r="I739" s="989" t="s">
        <v>5786</v>
      </c>
      <c r="J739" s="987"/>
      <c r="K739" s="987"/>
      <c r="L739" s="987"/>
      <c r="M739" s="987"/>
      <c r="N739" s="987"/>
      <c r="O739" s="987"/>
      <c r="P739" s="987"/>
      <c r="Q739" s="987"/>
      <c r="R739" s="987"/>
      <c r="S739" s="987"/>
      <c r="T739" s="987"/>
      <c r="U739" s="987"/>
      <c r="V739" s="987"/>
      <c r="W739" s="987"/>
      <c r="X739" s="987"/>
      <c r="Y739" s="987"/>
      <c r="Z739" s="987"/>
      <c r="AA739" s="986"/>
    </row>
    <row r="740" hidden="1">
      <c r="A740" s="995">
        <v>639.0</v>
      </c>
      <c r="B740" s="996">
        <v>45128.0</v>
      </c>
      <c r="C740" s="984" t="s">
        <v>5787</v>
      </c>
      <c r="D740" s="436" t="s">
        <v>3106</v>
      </c>
      <c r="E740" s="436" t="s">
        <v>160</v>
      </c>
      <c r="F740" s="995">
        <v>1.849068E7</v>
      </c>
      <c r="G740" s="436" t="s">
        <v>120</v>
      </c>
      <c r="H740" s="984" t="s">
        <v>5788</v>
      </c>
      <c r="I740" s="997" t="s">
        <v>5789</v>
      </c>
      <c r="J740" s="987"/>
      <c r="K740" s="987"/>
      <c r="L740" s="987"/>
      <c r="M740" s="987"/>
      <c r="N740" s="987"/>
      <c r="O740" s="987"/>
      <c r="P740" s="987"/>
      <c r="Q740" s="987"/>
      <c r="R740" s="987"/>
      <c r="S740" s="987"/>
      <c r="T740" s="987"/>
      <c r="U740" s="987"/>
      <c r="V740" s="987"/>
      <c r="W740" s="987"/>
      <c r="X740" s="987"/>
      <c r="Y740" s="987"/>
      <c r="Z740" s="987"/>
      <c r="AA740" s="986"/>
    </row>
    <row r="741" hidden="1">
      <c r="A741" s="995">
        <v>640.0</v>
      </c>
      <c r="B741" s="988">
        <v>45131.0</v>
      </c>
      <c r="C741" s="989" t="s">
        <v>5790</v>
      </c>
      <c r="D741" s="434" t="s">
        <v>1101</v>
      </c>
      <c r="E741" s="434" t="s">
        <v>2361</v>
      </c>
      <c r="F741" s="434" t="s">
        <v>50</v>
      </c>
      <c r="G741" s="434" t="s">
        <v>348</v>
      </c>
      <c r="H741" s="989" t="s">
        <v>5791</v>
      </c>
      <c r="I741" s="989" t="s">
        <v>5792</v>
      </c>
      <c r="J741" s="987"/>
      <c r="K741" s="436" t="s">
        <v>2364</v>
      </c>
      <c r="L741" s="436" t="s">
        <v>5793</v>
      </c>
      <c r="M741" s="436" t="s">
        <v>1669</v>
      </c>
      <c r="N741" s="987"/>
      <c r="O741" s="436" t="s">
        <v>62</v>
      </c>
      <c r="P741" s="995">
        <v>45141.0</v>
      </c>
      <c r="Q741" s="987"/>
      <c r="R741" s="987"/>
      <c r="S741" s="987"/>
      <c r="T741" s="987"/>
      <c r="U741" s="987"/>
      <c r="V741" s="987"/>
      <c r="W741" s="987"/>
      <c r="X741" s="987"/>
      <c r="Y741" s="987"/>
      <c r="Z741" s="987"/>
      <c r="AA741" s="986"/>
    </row>
    <row r="742" hidden="1">
      <c r="A742" s="995">
        <v>641.0</v>
      </c>
      <c r="B742" s="988">
        <v>45135.0</v>
      </c>
      <c r="C742" s="989" t="s">
        <v>5794</v>
      </c>
      <c r="D742" s="434" t="s">
        <v>499</v>
      </c>
      <c r="E742" s="434" t="s">
        <v>1070</v>
      </c>
      <c r="F742" s="434" t="s">
        <v>50</v>
      </c>
      <c r="G742" s="434" t="s">
        <v>348</v>
      </c>
      <c r="H742" s="989" t="s">
        <v>5795</v>
      </c>
      <c r="I742" s="989" t="s">
        <v>5796</v>
      </c>
      <c r="J742" s="987"/>
      <c r="K742" s="436" t="s">
        <v>1073</v>
      </c>
      <c r="L742" s="436" t="s">
        <v>5797</v>
      </c>
      <c r="M742" s="436" t="s">
        <v>1669</v>
      </c>
      <c r="N742" s="987"/>
      <c r="O742" s="436" t="s">
        <v>62</v>
      </c>
      <c r="P742" s="995">
        <v>45141.0</v>
      </c>
      <c r="Q742" s="987"/>
      <c r="R742" s="987"/>
      <c r="S742" s="987"/>
      <c r="T742" s="987"/>
      <c r="U742" s="987"/>
      <c r="V742" s="987"/>
      <c r="W742" s="987"/>
      <c r="X742" s="987"/>
      <c r="Y742" s="987"/>
      <c r="Z742" s="987"/>
      <c r="AA742" s="986"/>
    </row>
    <row r="743" hidden="1">
      <c r="A743" s="995">
        <v>642.0</v>
      </c>
      <c r="B743" s="988">
        <v>45141.0</v>
      </c>
      <c r="C743" s="989" t="s">
        <v>5768</v>
      </c>
      <c r="D743" s="434" t="s">
        <v>918</v>
      </c>
      <c r="E743" s="434" t="s">
        <v>5553</v>
      </c>
      <c r="F743" s="990">
        <v>1.6351417E7</v>
      </c>
      <c r="G743" s="434" t="s">
        <v>32</v>
      </c>
      <c r="H743" s="989" t="s">
        <v>5798</v>
      </c>
      <c r="I743" s="989" t="s">
        <v>5799</v>
      </c>
      <c r="J743" s="987"/>
      <c r="K743" s="436" t="s">
        <v>278</v>
      </c>
      <c r="L743" s="436" t="s">
        <v>5800</v>
      </c>
      <c r="M743" s="436" t="s">
        <v>280</v>
      </c>
      <c r="N743" s="987"/>
      <c r="O743" s="436" t="s">
        <v>62</v>
      </c>
      <c r="P743" s="995">
        <v>45177.0</v>
      </c>
      <c r="Q743" s="987"/>
      <c r="R743" s="987"/>
      <c r="S743" s="987"/>
      <c r="T743" s="987"/>
      <c r="U743" s="987"/>
      <c r="V743" s="987"/>
      <c r="W743" s="987"/>
      <c r="X743" s="987"/>
      <c r="Y743" s="987"/>
      <c r="Z743" s="987"/>
      <c r="AA743" s="986"/>
    </row>
    <row r="744" hidden="1">
      <c r="A744" s="995">
        <v>643.0</v>
      </c>
      <c r="B744" s="988">
        <v>45139.0</v>
      </c>
      <c r="C744" s="989" t="s">
        <v>5801</v>
      </c>
      <c r="D744" s="434" t="s">
        <v>499</v>
      </c>
      <c r="E744" s="434" t="s">
        <v>1610</v>
      </c>
      <c r="F744" s="434" t="s">
        <v>50</v>
      </c>
      <c r="G744" s="434" t="s">
        <v>348</v>
      </c>
      <c r="H744" s="989" t="s">
        <v>5802</v>
      </c>
      <c r="I744" s="989" t="s">
        <v>5803</v>
      </c>
      <c r="J744" s="987"/>
      <c r="K744" s="436" t="s">
        <v>1613</v>
      </c>
      <c r="L744" s="436" t="s">
        <v>863</v>
      </c>
      <c r="M744" s="436" t="s">
        <v>1663</v>
      </c>
      <c r="N744" s="987"/>
      <c r="O744" s="436" t="s">
        <v>62</v>
      </c>
      <c r="P744" s="995">
        <v>45163.0</v>
      </c>
      <c r="Q744" s="987"/>
      <c r="R744" s="987"/>
      <c r="S744" s="987"/>
      <c r="T744" s="987"/>
      <c r="U744" s="987"/>
      <c r="V744" s="987"/>
      <c r="W744" s="987"/>
      <c r="X744" s="987"/>
      <c r="Y744" s="987"/>
      <c r="Z744" s="987"/>
      <c r="AA744" s="986"/>
    </row>
    <row r="745" hidden="1">
      <c r="A745" s="995">
        <v>644.0</v>
      </c>
      <c r="B745" s="988">
        <v>45142.0</v>
      </c>
      <c r="C745" s="989" t="s">
        <v>5768</v>
      </c>
      <c r="D745" s="434" t="s">
        <v>918</v>
      </c>
      <c r="E745" s="434" t="s">
        <v>5553</v>
      </c>
      <c r="F745" s="990">
        <v>1.6351429E7</v>
      </c>
      <c r="G745" s="434" t="s">
        <v>32</v>
      </c>
      <c r="H745" s="989" t="s">
        <v>5798</v>
      </c>
      <c r="I745" s="989" t="s">
        <v>5804</v>
      </c>
      <c r="J745" s="987"/>
      <c r="K745" s="436" t="s">
        <v>278</v>
      </c>
      <c r="L745" s="436" t="s">
        <v>5800</v>
      </c>
      <c r="M745" s="436" t="s">
        <v>280</v>
      </c>
      <c r="N745" s="987"/>
      <c r="O745" s="436" t="s">
        <v>62</v>
      </c>
      <c r="P745" s="995">
        <v>45182.0</v>
      </c>
      <c r="Q745" s="987"/>
      <c r="R745" s="987"/>
      <c r="S745" s="987"/>
      <c r="T745" s="987"/>
      <c r="U745" s="436" t="s">
        <v>62</v>
      </c>
      <c r="V745" s="995">
        <v>45229.0</v>
      </c>
      <c r="W745" s="987"/>
      <c r="X745" s="987"/>
      <c r="Y745" s="987"/>
      <c r="Z745" s="987"/>
      <c r="AA745" s="986"/>
    </row>
    <row r="746" hidden="1">
      <c r="A746" s="995">
        <v>648.0</v>
      </c>
      <c r="B746" s="988">
        <v>45146.0</v>
      </c>
      <c r="C746" s="989" t="s">
        <v>5805</v>
      </c>
      <c r="D746" s="434" t="s">
        <v>417</v>
      </c>
      <c r="E746" s="434" t="s">
        <v>3043</v>
      </c>
      <c r="F746" s="434" t="s">
        <v>50</v>
      </c>
      <c r="G746" s="434" t="s">
        <v>200</v>
      </c>
      <c r="H746" s="993" t="s">
        <v>5806</v>
      </c>
      <c r="I746" s="993" t="s">
        <v>5807</v>
      </c>
      <c r="J746" s="987"/>
      <c r="K746" s="436" t="s">
        <v>265</v>
      </c>
      <c r="L746" s="436" t="s">
        <v>5305</v>
      </c>
      <c r="M746" s="436" t="s">
        <v>2852</v>
      </c>
      <c r="N746" s="987"/>
      <c r="O746" s="987"/>
      <c r="P746" s="987"/>
      <c r="Q746" s="987"/>
      <c r="R746" s="987"/>
      <c r="S746" s="987"/>
      <c r="T746" s="987"/>
      <c r="U746" s="987"/>
      <c r="V746" s="987"/>
      <c r="W746" s="987"/>
      <c r="X746" s="987"/>
      <c r="Y746" s="987"/>
      <c r="Z746" s="987"/>
      <c r="AA746" s="986"/>
    </row>
    <row r="747" hidden="1">
      <c r="A747" s="995">
        <v>649.0</v>
      </c>
      <c r="B747" s="988">
        <v>45148.0</v>
      </c>
      <c r="C747" s="989" t="s">
        <v>5808</v>
      </c>
      <c r="D747" s="434" t="s">
        <v>2021</v>
      </c>
      <c r="E747" s="434" t="s">
        <v>1865</v>
      </c>
      <c r="F747" s="990">
        <v>1.6363418E7</v>
      </c>
      <c r="G747" s="434" t="s">
        <v>42</v>
      </c>
      <c r="H747" s="989" t="s">
        <v>5809</v>
      </c>
      <c r="I747" s="989" t="s">
        <v>5810</v>
      </c>
      <c r="J747" s="987"/>
      <c r="K747" s="436" t="s">
        <v>3726</v>
      </c>
      <c r="L747" s="987"/>
      <c r="M747" s="987"/>
      <c r="N747" s="987"/>
      <c r="O747" s="436" t="s">
        <v>62</v>
      </c>
      <c r="P747" s="995">
        <v>45148.0</v>
      </c>
      <c r="Q747" s="987"/>
      <c r="R747" s="987"/>
      <c r="S747" s="987"/>
      <c r="T747" s="987"/>
      <c r="U747" s="987"/>
      <c r="V747" s="987"/>
      <c r="W747" s="987"/>
      <c r="X747" s="987"/>
      <c r="Y747" s="987"/>
      <c r="Z747" s="987"/>
      <c r="AA747" s="986"/>
    </row>
    <row r="748" hidden="1">
      <c r="A748" s="995">
        <v>651.0</v>
      </c>
      <c r="B748" s="996">
        <v>45152.0</v>
      </c>
      <c r="C748" s="984" t="s">
        <v>5811</v>
      </c>
      <c r="D748" s="436" t="s">
        <v>239</v>
      </c>
      <c r="E748" s="436" t="s">
        <v>559</v>
      </c>
      <c r="F748" s="995">
        <v>1.7190717E7</v>
      </c>
      <c r="G748" s="436" t="s">
        <v>103</v>
      </c>
      <c r="H748" s="984" t="s">
        <v>5812</v>
      </c>
      <c r="I748" s="997" t="s">
        <v>5789</v>
      </c>
      <c r="J748" s="987"/>
      <c r="K748" s="987"/>
      <c r="L748" s="987"/>
      <c r="M748" s="987"/>
      <c r="N748" s="987"/>
      <c r="O748" s="987"/>
      <c r="P748" s="987"/>
      <c r="Q748" s="987"/>
      <c r="R748" s="987"/>
      <c r="S748" s="987"/>
      <c r="T748" s="987"/>
      <c r="U748" s="987"/>
      <c r="V748" s="987"/>
      <c r="W748" s="987"/>
      <c r="X748" s="987"/>
      <c r="Y748" s="987"/>
      <c r="Z748" s="987"/>
      <c r="AA748" s="986"/>
    </row>
    <row r="749" hidden="1">
      <c r="A749" s="995">
        <v>653.0</v>
      </c>
      <c r="B749" s="988">
        <v>45152.0</v>
      </c>
      <c r="C749" s="989" t="s">
        <v>5813</v>
      </c>
      <c r="D749" s="434" t="s">
        <v>2316</v>
      </c>
      <c r="E749" s="434" t="s">
        <v>261</v>
      </c>
      <c r="F749" s="990">
        <v>1.8310046E7</v>
      </c>
      <c r="G749" s="434" t="s">
        <v>348</v>
      </c>
      <c r="H749" s="989" t="s">
        <v>5458</v>
      </c>
      <c r="I749" s="989" t="s">
        <v>5814</v>
      </c>
      <c r="J749" s="987"/>
      <c r="K749" s="436" t="s">
        <v>2319</v>
      </c>
      <c r="L749" s="436" t="s">
        <v>5318</v>
      </c>
      <c r="M749" s="436" t="s">
        <v>280</v>
      </c>
      <c r="N749" s="987"/>
      <c r="O749" s="987"/>
      <c r="P749" s="987"/>
      <c r="Q749" s="987"/>
      <c r="R749" s="987"/>
      <c r="S749" s="987"/>
      <c r="T749" s="987"/>
      <c r="U749" s="436" t="s">
        <v>62</v>
      </c>
      <c r="V749" s="995">
        <v>45142.0</v>
      </c>
      <c r="W749" s="987"/>
      <c r="X749" s="987"/>
      <c r="Y749" s="987"/>
      <c r="Z749" s="987"/>
      <c r="AA749" s="986"/>
    </row>
    <row r="750" hidden="1">
      <c r="A750" s="995">
        <v>655.0</v>
      </c>
      <c r="B750" s="988">
        <v>45156.0</v>
      </c>
      <c r="C750" s="989" t="s">
        <v>5801</v>
      </c>
      <c r="D750" s="434" t="s">
        <v>499</v>
      </c>
      <c r="E750" s="434" t="s">
        <v>1610</v>
      </c>
      <c r="F750" s="434" t="s">
        <v>50</v>
      </c>
      <c r="G750" s="434" t="s">
        <v>348</v>
      </c>
      <c r="H750" s="989" t="s">
        <v>5815</v>
      </c>
      <c r="I750" s="989" t="s">
        <v>5816</v>
      </c>
      <c r="J750" s="987"/>
      <c r="K750" s="436" t="s">
        <v>1613</v>
      </c>
      <c r="L750" s="436" t="s">
        <v>5817</v>
      </c>
      <c r="M750" s="436" t="s">
        <v>1669</v>
      </c>
      <c r="N750" s="987"/>
      <c r="O750" s="987"/>
      <c r="P750" s="987"/>
      <c r="Q750" s="987"/>
      <c r="R750" s="987"/>
      <c r="S750" s="987"/>
      <c r="T750" s="987"/>
      <c r="U750" s="987"/>
      <c r="V750" s="987"/>
      <c r="W750" s="987"/>
      <c r="X750" s="987"/>
      <c r="Y750" s="987"/>
      <c r="Z750" s="987"/>
      <c r="AA750" s="986"/>
    </row>
    <row r="751" hidden="1">
      <c r="A751" s="995">
        <v>656.0</v>
      </c>
      <c r="B751" s="988">
        <v>45159.0</v>
      </c>
      <c r="C751" s="989" t="s">
        <v>5808</v>
      </c>
      <c r="D751" s="434" t="s">
        <v>2021</v>
      </c>
      <c r="E751" s="434" t="s">
        <v>1865</v>
      </c>
      <c r="F751" s="990">
        <v>1.636345E7</v>
      </c>
      <c r="G751" s="434" t="s">
        <v>42</v>
      </c>
      <c r="H751" s="989" t="s">
        <v>5818</v>
      </c>
      <c r="I751" s="989" t="s">
        <v>5819</v>
      </c>
      <c r="J751" s="987"/>
      <c r="K751" s="436" t="s">
        <v>3726</v>
      </c>
      <c r="L751" s="987"/>
      <c r="M751" s="987"/>
      <c r="N751" s="987"/>
      <c r="O751" s="987"/>
      <c r="P751" s="987"/>
      <c r="Q751" s="987"/>
      <c r="R751" s="987"/>
      <c r="S751" s="987"/>
      <c r="T751" s="987"/>
      <c r="U751" s="987"/>
      <c r="V751" s="987"/>
      <c r="W751" s="987"/>
      <c r="X751" s="987"/>
      <c r="Y751" s="987"/>
      <c r="Z751" s="987"/>
      <c r="AA751" s="986"/>
    </row>
    <row r="752" hidden="1">
      <c r="A752" s="995">
        <v>657.0</v>
      </c>
      <c r="B752" s="988">
        <v>45160.0</v>
      </c>
      <c r="C752" s="989" t="s">
        <v>5699</v>
      </c>
      <c r="D752" s="434" t="s">
        <v>5588</v>
      </c>
      <c r="E752" s="434" t="s">
        <v>5820</v>
      </c>
      <c r="F752" s="434" t="s">
        <v>50</v>
      </c>
      <c r="G752" s="434" t="s">
        <v>348</v>
      </c>
      <c r="H752" s="989" t="s">
        <v>5821</v>
      </c>
      <c r="I752" s="989" t="s">
        <v>5822</v>
      </c>
      <c r="J752" s="987"/>
      <c r="K752" s="436" t="s">
        <v>5823</v>
      </c>
      <c r="L752" s="436" t="s">
        <v>5824</v>
      </c>
      <c r="M752" s="436" t="s">
        <v>1669</v>
      </c>
      <c r="N752" s="987"/>
      <c r="O752" s="436" t="s">
        <v>62</v>
      </c>
      <c r="P752" s="995">
        <v>45160.0</v>
      </c>
      <c r="Q752" s="987"/>
      <c r="R752" s="987"/>
      <c r="S752" s="987"/>
      <c r="T752" s="987"/>
      <c r="U752" s="987"/>
      <c r="V752" s="987"/>
      <c r="W752" s="987"/>
      <c r="X752" s="987"/>
      <c r="Y752" s="987"/>
      <c r="Z752" s="987"/>
      <c r="AA752" s="986"/>
    </row>
    <row r="753" hidden="1">
      <c r="A753" s="995">
        <v>658.0</v>
      </c>
      <c r="B753" s="988">
        <v>45160.0</v>
      </c>
      <c r="C753" s="989" t="s">
        <v>5825</v>
      </c>
      <c r="D753" s="434" t="s">
        <v>89</v>
      </c>
      <c r="E753" s="434" t="s">
        <v>41</v>
      </c>
      <c r="F753" s="990">
        <v>1.5831052E7</v>
      </c>
      <c r="G753" s="434" t="s">
        <v>51</v>
      </c>
      <c r="H753" s="989" t="s">
        <v>5648</v>
      </c>
      <c r="I753" s="989" t="s">
        <v>5826</v>
      </c>
      <c r="J753" s="987"/>
      <c r="K753" s="436" t="s">
        <v>92</v>
      </c>
      <c r="L753" s="436" t="s">
        <v>5650</v>
      </c>
      <c r="M753" s="436" t="s">
        <v>610</v>
      </c>
      <c r="N753" s="987"/>
      <c r="O753" s="436" t="s">
        <v>62</v>
      </c>
      <c r="P753" s="995">
        <v>45160.0</v>
      </c>
      <c r="Q753" s="987"/>
      <c r="R753" s="987"/>
      <c r="S753" s="987"/>
      <c r="T753" s="987"/>
      <c r="U753" s="436" t="s">
        <v>62</v>
      </c>
      <c r="V753" s="995">
        <v>45162.0</v>
      </c>
      <c r="W753" s="987"/>
      <c r="X753" s="987"/>
      <c r="Y753" s="987"/>
      <c r="Z753" s="987"/>
      <c r="AA753" s="986"/>
    </row>
    <row r="754" hidden="1">
      <c r="A754" s="995">
        <v>660.0</v>
      </c>
      <c r="B754" s="988">
        <v>45162.0</v>
      </c>
      <c r="C754" s="989" t="s">
        <v>5808</v>
      </c>
      <c r="D754" s="434" t="s">
        <v>2021</v>
      </c>
      <c r="E754" s="434" t="s">
        <v>1865</v>
      </c>
      <c r="F754" s="990">
        <v>1.6363453E7</v>
      </c>
      <c r="G754" s="434" t="s">
        <v>42</v>
      </c>
      <c r="H754" s="989" t="s">
        <v>5827</v>
      </c>
      <c r="I754" s="989" t="s">
        <v>5828</v>
      </c>
      <c r="J754" s="987"/>
      <c r="K754" s="436" t="s">
        <v>3726</v>
      </c>
      <c r="L754" s="987"/>
      <c r="M754" s="987"/>
      <c r="N754" s="987"/>
      <c r="O754" s="436" t="s">
        <v>62</v>
      </c>
      <c r="P754" s="987"/>
      <c r="Q754" s="987"/>
      <c r="R754" s="987"/>
      <c r="S754" s="987"/>
      <c r="T754" s="987"/>
      <c r="U754" s="436" t="s">
        <v>62</v>
      </c>
      <c r="V754" s="995">
        <v>45217.0</v>
      </c>
      <c r="W754" s="987"/>
      <c r="X754" s="987"/>
      <c r="Y754" s="987"/>
      <c r="Z754" s="987"/>
      <c r="AA754" s="986"/>
    </row>
    <row r="755" hidden="1">
      <c r="A755" s="995">
        <v>661.0</v>
      </c>
      <c r="B755" s="988">
        <v>45163.0</v>
      </c>
      <c r="C755" s="989" t="s">
        <v>5808</v>
      </c>
      <c r="D755" s="434" t="s">
        <v>2021</v>
      </c>
      <c r="E755" s="434" t="s">
        <v>1865</v>
      </c>
      <c r="F755" s="990">
        <v>1.6363492E7</v>
      </c>
      <c r="G755" s="434" t="s">
        <v>42</v>
      </c>
      <c r="H755" s="989" t="s">
        <v>5827</v>
      </c>
      <c r="I755" s="989" t="s">
        <v>5829</v>
      </c>
      <c r="J755" s="987"/>
      <c r="K755" s="436" t="s">
        <v>3726</v>
      </c>
      <c r="L755" s="987"/>
      <c r="M755" s="987"/>
      <c r="N755" s="987"/>
      <c r="O755" s="436" t="s">
        <v>62</v>
      </c>
      <c r="P755" s="987"/>
      <c r="Q755" s="987"/>
      <c r="R755" s="987"/>
      <c r="S755" s="987"/>
      <c r="T755" s="987"/>
      <c r="U755" s="436" t="s">
        <v>62</v>
      </c>
      <c r="V755" s="995">
        <v>45217.0</v>
      </c>
      <c r="W755" s="987"/>
      <c r="X755" s="987"/>
      <c r="Y755" s="987"/>
      <c r="Z755" s="987"/>
      <c r="AA755" s="986"/>
    </row>
    <row r="756" hidden="1">
      <c r="A756" s="995">
        <v>662.0</v>
      </c>
      <c r="B756" s="988">
        <v>45166.0</v>
      </c>
      <c r="C756" s="989" t="s">
        <v>5830</v>
      </c>
      <c r="D756" s="434" t="s">
        <v>1568</v>
      </c>
      <c r="E756" s="434" t="s">
        <v>49</v>
      </c>
      <c r="F756" s="990">
        <v>1.6270319E7</v>
      </c>
      <c r="G756" s="434" t="s">
        <v>51</v>
      </c>
      <c r="H756" s="989" t="s">
        <v>5831</v>
      </c>
      <c r="I756" s="989" t="s">
        <v>5832</v>
      </c>
      <c r="J756" s="987"/>
      <c r="K756" s="436" t="s">
        <v>5833</v>
      </c>
      <c r="L756" s="436" t="s">
        <v>965</v>
      </c>
      <c r="M756" s="436" t="s">
        <v>610</v>
      </c>
      <c r="N756" s="987"/>
      <c r="O756" s="436" t="s">
        <v>62</v>
      </c>
      <c r="P756" s="995">
        <v>45167.0</v>
      </c>
      <c r="Q756" s="987"/>
      <c r="R756" s="987"/>
      <c r="S756" s="987"/>
      <c r="T756" s="987"/>
      <c r="U756" s="436" t="s">
        <v>62</v>
      </c>
      <c r="V756" s="995">
        <v>45175.0</v>
      </c>
      <c r="W756" s="987"/>
      <c r="X756" s="987"/>
      <c r="Y756" s="987"/>
      <c r="Z756" s="987"/>
      <c r="AA756" s="986"/>
    </row>
    <row r="757" hidden="1">
      <c r="A757" s="995">
        <v>663.0</v>
      </c>
      <c r="B757" s="988">
        <v>45167.0</v>
      </c>
      <c r="C757" s="989" t="s">
        <v>5834</v>
      </c>
      <c r="D757" s="434" t="s">
        <v>5588</v>
      </c>
      <c r="E757" s="434" t="s">
        <v>5835</v>
      </c>
      <c r="F757" s="990">
        <v>1.6250136E7</v>
      </c>
      <c r="G757" s="434" t="s">
        <v>348</v>
      </c>
      <c r="H757" s="989" t="s">
        <v>5836</v>
      </c>
      <c r="I757" s="989" t="s">
        <v>5837</v>
      </c>
      <c r="J757" s="987"/>
      <c r="K757" s="436" t="s">
        <v>5838</v>
      </c>
      <c r="L757" s="436" t="s">
        <v>5839</v>
      </c>
      <c r="M757" s="436" t="s">
        <v>1669</v>
      </c>
      <c r="N757" s="987"/>
      <c r="O757" s="987"/>
      <c r="P757" s="987"/>
      <c r="Q757" s="987"/>
      <c r="R757" s="987"/>
      <c r="S757" s="987"/>
      <c r="T757" s="987"/>
      <c r="U757" s="987"/>
      <c r="V757" s="987"/>
      <c r="W757" s="987"/>
      <c r="X757" s="987"/>
      <c r="Y757" s="987"/>
      <c r="Z757" s="987"/>
      <c r="AA757" s="986"/>
    </row>
    <row r="758" hidden="1">
      <c r="A758" s="995">
        <v>668.0</v>
      </c>
      <c r="B758" s="988">
        <v>45173.0</v>
      </c>
      <c r="C758" s="989" t="s">
        <v>5840</v>
      </c>
      <c r="D758" s="434" t="s">
        <v>1394</v>
      </c>
      <c r="E758" s="434" t="s">
        <v>5841</v>
      </c>
      <c r="F758" s="990">
        <v>1.817014E7</v>
      </c>
      <c r="G758" s="434" t="s">
        <v>32</v>
      </c>
      <c r="H758" s="989" t="s">
        <v>5842</v>
      </c>
      <c r="I758" s="989" t="s">
        <v>5843</v>
      </c>
      <c r="J758" s="987"/>
      <c r="K758" s="436" t="s">
        <v>5844</v>
      </c>
      <c r="L758" s="987"/>
      <c r="M758" s="987"/>
      <c r="N758" s="987"/>
      <c r="O758" s="987"/>
      <c r="P758" s="987"/>
      <c r="Q758" s="987"/>
      <c r="R758" s="987"/>
      <c r="S758" s="987"/>
      <c r="T758" s="987"/>
      <c r="U758" s="987"/>
      <c r="V758" s="987"/>
      <c r="W758" s="987"/>
      <c r="X758" s="987"/>
      <c r="Y758" s="987"/>
      <c r="Z758" s="987"/>
      <c r="AA758" s="986"/>
    </row>
    <row r="759" hidden="1">
      <c r="A759" s="995">
        <v>669.0</v>
      </c>
      <c r="B759" s="988">
        <v>45174.0</v>
      </c>
      <c r="C759" s="989" t="s">
        <v>5790</v>
      </c>
      <c r="D759" s="434" t="s">
        <v>1101</v>
      </c>
      <c r="E759" s="434" t="s">
        <v>2361</v>
      </c>
      <c r="F759" s="434" t="s">
        <v>50</v>
      </c>
      <c r="G759" s="434" t="s">
        <v>348</v>
      </c>
      <c r="H759" s="989" t="s">
        <v>5845</v>
      </c>
      <c r="I759" s="989" t="s">
        <v>5846</v>
      </c>
      <c r="J759" s="987"/>
      <c r="K759" s="436" t="s">
        <v>2364</v>
      </c>
      <c r="L759" s="436" t="s">
        <v>5847</v>
      </c>
      <c r="M759" s="436" t="s">
        <v>1669</v>
      </c>
      <c r="N759" s="987"/>
      <c r="O759" s="436" t="s">
        <v>62</v>
      </c>
      <c r="P759" s="995">
        <v>45180.0</v>
      </c>
      <c r="Q759" s="987"/>
      <c r="R759" s="987"/>
      <c r="S759" s="987"/>
      <c r="T759" s="987"/>
      <c r="U759" s="987"/>
      <c r="V759" s="987"/>
      <c r="W759" s="987"/>
      <c r="X759" s="987"/>
      <c r="Y759" s="987"/>
      <c r="Z759" s="987"/>
      <c r="AA759" s="986"/>
    </row>
    <row r="760" hidden="1">
      <c r="A760" s="995">
        <v>674.0</v>
      </c>
      <c r="B760" s="988">
        <v>45180.0</v>
      </c>
      <c r="C760" s="989" t="s">
        <v>5801</v>
      </c>
      <c r="D760" s="434" t="s">
        <v>499</v>
      </c>
      <c r="E760" s="434" t="s">
        <v>1070</v>
      </c>
      <c r="F760" s="434" t="s">
        <v>50</v>
      </c>
      <c r="G760" s="434" t="s">
        <v>348</v>
      </c>
      <c r="H760" s="989" t="s">
        <v>5848</v>
      </c>
      <c r="I760" s="989" t="s">
        <v>5849</v>
      </c>
      <c r="J760" s="987"/>
      <c r="K760" s="436" t="s">
        <v>1073</v>
      </c>
      <c r="L760" s="436" t="s">
        <v>5850</v>
      </c>
      <c r="M760" s="436" t="s">
        <v>1669</v>
      </c>
      <c r="N760" s="987"/>
      <c r="O760" s="436" t="s">
        <v>62</v>
      </c>
      <c r="P760" s="995">
        <v>45182.0</v>
      </c>
      <c r="Q760" s="987"/>
      <c r="R760" s="987"/>
      <c r="S760" s="987"/>
      <c r="T760" s="987"/>
      <c r="U760" s="987"/>
      <c r="V760" s="987"/>
      <c r="W760" s="987"/>
      <c r="X760" s="987"/>
      <c r="Y760" s="987"/>
      <c r="Z760" s="987"/>
      <c r="AA760" s="986"/>
    </row>
    <row r="761" hidden="1">
      <c r="A761" s="995">
        <v>675.0</v>
      </c>
      <c r="B761" s="988">
        <v>45180.0</v>
      </c>
      <c r="C761" s="989" t="s">
        <v>5801</v>
      </c>
      <c r="D761" s="434" t="s">
        <v>499</v>
      </c>
      <c r="E761" s="434" t="s">
        <v>1070</v>
      </c>
      <c r="F761" s="434" t="s">
        <v>50</v>
      </c>
      <c r="G761" s="434" t="s">
        <v>348</v>
      </c>
      <c r="H761" s="989" t="s">
        <v>5851</v>
      </c>
      <c r="I761" s="989" t="s">
        <v>5852</v>
      </c>
      <c r="J761" s="987"/>
      <c r="K761" s="436" t="s">
        <v>1073</v>
      </c>
      <c r="L761" s="436" t="s">
        <v>5853</v>
      </c>
      <c r="M761" s="436" t="s">
        <v>1669</v>
      </c>
      <c r="N761" s="987"/>
      <c r="O761" s="436" t="s">
        <v>62</v>
      </c>
      <c r="P761" s="995">
        <v>45194.0</v>
      </c>
      <c r="Q761" s="987"/>
      <c r="R761" s="987"/>
      <c r="S761" s="987"/>
      <c r="T761" s="987"/>
      <c r="U761" s="987"/>
      <c r="V761" s="987"/>
      <c r="W761" s="987"/>
      <c r="X761" s="987"/>
      <c r="Y761" s="987"/>
      <c r="Z761" s="987"/>
      <c r="AA761" s="986"/>
    </row>
    <row r="762" hidden="1">
      <c r="A762" s="995">
        <v>676.0</v>
      </c>
      <c r="B762" s="988">
        <v>45180.0</v>
      </c>
      <c r="C762" s="989" t="s">
        <v>5801</v>
      </c>
      <c r="D762" s="434" t="s">
        <v>499</v>
      </c>
      <c r="E762" s="434" t="s">
        <v>1610</v>
      </c>
      <c r="F762" s="434" t="s">
        <v>50</v>
      </c>
      <c r="G762" s="434" t="s">
        <v>348</v>
      </c>
      <c r="H762" s="989" t="s">
        <v>5854</v>
      </c>
      <c r="I762" s="989" t="s">
        <v>5855</v>
      </c>
      <c r="J762" s="987"/>
      <c r="K762" s="436" t="s">
        <v>1613</v>
      </c>
      <c r="L762" s="436" t="s">
        <v>5856</v>
      </c>
      <c r="M762" s="436" t="s">
        <v>1669</v>
      </c>
      <c r="N762" s="987"/>
      <c r="O762" s="987"/>
      <c r="P762" s="987"/>
      <c r="Q762" s="987"/>
      <c r="R762" s="987"/>
      <c r="S762" s="987"/>
      <c r="T762" s="987"/>
      <c r="U762" s="987"/>
      <c r="V762" s="987"/>
      <c r="W762" s="987"/>
      <c r="X762" s="987"/>
      <c r="Y762" s="987"/>
      <c r="Z762" s="987"/>
      <c r="AA762" s="986"/>
    </row>
    <row r="763" hidden="1">
      <c r="A763" s="995">
        <v>678.0</v>
      </c>
      <c r="B763" s="988">
        <v>45180.0</v>
      </c>
      <c r="C763" s="989" t="s">
        <v>5801</v>
      </c>
      <c r="D763" s="434" t="s">
        <v>499</v>
      </c>
      <c r="E763" s="434" t="s">
        <v>1070</v>
      </c>
      <c r="F763" s="434" t="s">
        <v>50</v>
      </c>
      <c r="G763" s="434" t="s">
        <v>348</v>
      </c>
      <c r="H763" s="989" t="s">
        <v>5857</v>
      </c>
      <c r="I763" s="989" t="s">
        <v>5858</v>
      </c>
      <c r="J763" s="987"/>
      <c r="K763" s="436" t="s">
        <v>1613</v>
      </c>
      <c r="L763" s="436" t="s">
        <v>5859</v>
      </c>
      <c r="M763" s="436" t="s">
        <v>1669</v>
      </c>
      <c r="N763" s="987"/>
      <c r="O763" s="436" t="s">
        <v>62</v>
      </c>
      <c r="P763" s="995">
        <v>45194.0</v>
      </c>
      <c r="Q763" s="987"/>
      <c r="R763" s="987"/>
      <c r="S763" s="987"/>
      <c r="T763" s="987"/>
      <c r="U763" s="987"/>
      <c r="V763" s="987"/>
      <c r="W763" s="987"/>
      <c r="X763" s="987"/>
      <c r="Y763" s="987"/>
      <c r="Z763" s="987"/>
      <c r="AA763" s="986"/>
    </row>
    <row r="764" hidden="1">
      <c r="A764" s="995">
        <v>679.0</v>
      </c>
      <c r="B764" s="988">
        <v>45180.0</v>
      </c>
      <c r="C764" s="989" t="s">
        <v>5801</v>
      </c>
      <c r="D764" s="434" t="s">
        <v>499</v>
      </c>
      <c r="E764" s="434" t="s">
        <v>1610</v>
      </c>
      <c r="F764" s="434" t="s">
        <v>50</v>
      </c>
      <c r="G764" s="434" t="s">
        <v>348</v>
      </c>
      <c r="H764" s="989" t="s">
        <v>5860</v>
      </c>
      <c r="I764" s="989" t="s">
        <v>5861</v>
      </c>
      <c r="J764" s="987"/>
      <c r="K764" s="436" t="s">
        <v>1613</v>
      </c>
      <c r="L764" s="436" t="s">
        <v>5862</v>
      </c>
      <c r="M764" s="436" t="s">
        <v>1669</v>
      </c>
      <c r="N764" s="987"/>
      <c r="O764" s="436" t="s">
        <v>62</v>
      </c>
      <c r="P764" s="995">
        <v>45194.0</v>
      </c>
      <c r="Q764" s="987"/>
      <c r="R764" s="987"/>
      <c r="S764" s="987"/>
      <c r="T764" s="987"/>
      <c r="U764" s="987"/>
      <c r="V764" s="987"/>
      <c r="W764" s="987"/>
      <c r="X764" s="987"/>
      <c r="Y764" s="987"/>
      <c r="Z764" s="987"/>
      <c r="AA764" s="986"/>
    </row>
    <row r="765" hidden="1">
      <c r="A765" s="995">
        <v>685.0</v>
      </c>
      <c r="B765" s="988">
        <v>45183.0</v>
      </c>
      <c r="C765" s="989" t="s">
        <v>5863</v>
      </c>
      <c r="D765" s="434" t="s">
        <v>89</v>
      </c>
      <c r="E765" s="434" t="s">
        <v>41</v>
      </c>
      <c r="F765" s="990">
        <v>1.5831089E7</v>
      </c>
      <c r="G765" s="434" t="s">
        <v>51</v>
      </c>
      <c r="H765" s="989" t="s">
        <v>5864</v>
      </c>
      <c r="I765" s="989" t="s">
        <v>5865</v>
      </c>
      <c r="J765" s="987"/>
      <c r="K765" s="436" t="s">
        <v>92</v>
      </c>
      <c r="L765" s="436" t="s">
        <v>965</v>
      </c>
      <c r="M765" s="436" t="s">
        <v>610</v>
      </c>
      <c r="N765" s="987"/>
      <c r="O765" s="436" t="s">
        <v>62</v>
      </c>
      <c r="P765" s="995">
        <v>45188.0</v>
      </c>
      <c r="Q765" s="987"/>
      <c r="R765" s="987"/>
      <c r="S765" s="987"/>
      <c r="T765" s="987"/>
      <c r="U765" s="987"/>
      <c r="V765" s="987"/>
      <c r="W765" s="987"/>
      <c r="X765" s="987"/>
      <c r="Y765" s="987"/>
      <c r="Z765" s="987"/>
      <c r="AA765" s="986"/>
    </row>
    <row r="766" hidden="1">
      <c r="A766" s="995">
        <v>689.0</v>
      </c>
      <c r="B766" s="988">
        <v>45188.0</v>
      </c>
      <c r="C766" s="989" t="s">
        <v>2024</v>
      </c>
      <c r="D766" s="434" t="s">
        <v>885</v>
      </c>
      <c r="E766" s="434" t="s">
        <v>49</v>
      </c>
      <c r="F766" s="990">
        <v>1.5781454E7</v>
      </c>
      <c r="G766" s="434" t="s">
        <v>32</v>
      </c>
      <c r="H766" s="989" t="s">
        <v>5866</v>
      </c>
      <c r="I766" s="989" t="s">
        <v>5867</v>
      </c>
      <c r="J766" s="987"/>
      <c r="K766" s="436" t="s">
        <v>1244</v>
      </c>
      <c r="L766" s="436" t="s">
        <v>812</v>
      </c>
      <c r="M766" s="436" t="s">
        <v>610</v>
      </c>
      <c r="N766" s="987"/>
      <c r="O766" s="436" t="s">
        <v>62</v>
      </c>
      <c r="P766" s="995">
        <v>45202.0</v>
      </c>
      <c r="Q766" s="987"/>
      <c r="R766" s="987"/>
      <c r="S766" s="987"/>
      <c r="T766" s="987"/>
      <c r="U766" s="436" t="s">
        <v>62</v>
      </c>
      <c r="V766" s="995">
        <v>45217.0</v>
      </c>
      <c r="W766" s="987"/>
      <c r="X766" s="987"/>
      <c r="Y766" s="987"/>
      <c r="Z766" s="987"/>
      <c r="AA766" s="986"/>
    </row>
    <row r="767" hidden="1">
      <c r="A767" s="995">
        <v>690.0</v>
      </c>
      <c r="B767" s="988">
        <v>45188.0</v>
      </c>
      <c r="C767" s="989" t="s">
        <v>2024</v>
      </c>
      <c r="D767" s="434" t="s">
        <v>885</v>
      </c>
      <c r="E767" s="434" t="s">
        <v>49</v>
      </c>
      <c r="F767" s="990">
        <v>1.5791453E7</v>
      </c>
      <c r="G767" s="434" t="s">
        <v>32</v>
      </c>
      <c r="H767" s="989" t="s">
        <v>5868</v>
      </c>
      <c r="I767" s="989" t="s">
        <v>5869</v>
      </c>
      <c r="J767" s="987"/>
      <c r="K767" s="436" t="s">
        <v>1244</v>
      </c>
      <c r="L767" s="987"/>
      <c r="M767" s="984" t="s">
        <v>2874</v>
      </c>
      <c r="N767" s="987"/>
      <c r="O767" s="987"/>
      <c r="P767" s="987"/>
      <c r="Q767" s="987"/>
      <c r="R767" s="987"/>
      <c r="S767" s="987"/>
      <c r="T767" s="987"/>
      <c r="U767" s="987"/>
      <c r="V767" s="987"/>
      <c r="W767" s="987"/>
      <c r="X767" s="987"/>
      <c r="Y767" s="987"/>
      <c r="Z767" s="987"/>
      <c r="AA767" s="986"/>
    </row>
    <row r="768" hidden="1">
      <c r="A768" s="995">
        <v>691.0</v>
      </c>
      <c r="B768" s="988">
        <v>45188.0</v>
      </c>
      <c r="C768" s="989" t="s">
        <v>2024</v>
      </c>
      <c r="D768" s="434" t="s">
        <v>885</v>
      </c>
      <c r="E768" s="434" t="s">
        <v>49</v>
      </c>
      <c r="F768" s="990">
        <v>1.5781475E7</v>
      </c>
      <c r="G768" s="434" t="s">
        <v>32</v>
      </c>
      <c r="H768" s="989" t="s">
        <v>5870</v>
      </c>
      <c r="I768" s="989" t="s">
        <v>5871</v>
      </c>
      <c r="J768" s="987"/>
      <c r="K768" s="436" t="s">
        <v>1244</v>
      </c>
      <c r="L768" s="987"/>
      <c r="M768" s="436" t="s">
        <v>1234</v>
      </c>
      <c r="N768" s="987"/>
      <c r="O768" s="987"/>
      <c r="P768" s="987"/>
      <c r="Q768" s="987"/>
      <c r="R768" s="987"/>
      <c r="S768" s="987"/>
      <c r="T768" s="987"/>
      <c r="U768" s="987"/>
      <c r="V768" s="987"/>
      <c r="W768" s="987"/>
      <c r="X768" s="987"/>
      <c r="Y768" s="987"/>
      <c r="Z768" s="987"/>
      <c r="AA768" s="986"/>
    </row>
    <row r="769" hidden="1">
      <c r="A769" s="995">
        <v>692.0</v>
      </c>
      <c r="B769" s="988">
        <v>45188.0</v>
      </c>
      <c r="C769" s="989" t="s">
        <v>2024</v>
      </c>
      <c r="D769" s="434" t="s">
        <v>885</v>
      </c>
      <c r="E769" s="434" t="s">
        <v>49</v>
      </c>
      <c r="F769" s="990">
        <v>1.5781471E7</v>
      </c>
      <c r="G769" s="434" t="s">
        <v>32</v>
      </c>
      <c r="H769" s="989" t="s">
        <v>5872</v>
      </c>
      <c r="I769" s="989" t="s">
        <v>5873</v>
      </c>
      <c r="J769" s="987"/>
      <c r="K769" s="436" t="s">
        <v>1244</v>
      </c>
      <c r="L769" s="987"/>
      <c r="M769" s="987"/>
      <c r="N769" s="987"/>
      <c r="O769" s="987"/>
      <c r="P769" s="987"/>
      <c r="Q769" s="987"/>
      <c r="R769" s="987"/>
      <c r="S769" s="987"/>
      <c r="T769" s="987"/>
      <c r="U769" s="987"/>
      <c r="V769" s="987"/>
      <c r="W769" s="987"/>
      <c r="X769" s="987"/>
      <c r="Y769" s="987"/>
      <c r="Z769" s="987"/>
      <c r="AA769" s="986"/>
    </row>
    <row r="770" hidden="1">
      <c r="A770" s="995">
        <v>693.0</v>
      </c>
      <c r="B770" s="988">
        <v>45188.0</v>
      </c>
      <c r="C770" s="989" t="s">
        <v>2024</v>
      </c>
      <c r="D770" s="434" t="s">
        <v>885</v>
      </c>
      <c r="E770" s="434" t="s">
        <v>49</v>
      </c>
      <c r="F770" s="434" t="s">
        <v>50</v>
      </c>
      <c r="G770" s="434" t="s">
        <v>32</v>
      </c>
      <c r="H770" s="989" t="s">
        <v>5872</v>
      </c>
      <c r="I770" s="989" t="s">
        <v>5874</v>
      </c>
      <c r="J770" s="987"/>
      <c r="K770" s="436" t="s">
        <v>1244</v>
      </c>
      <c r="L770" s="436" t="s">
        <v>1557</v>
      </c>
      <c r="M770" s="436" t="s">
        <v>610</v>
      </c>
      <c r="N770" s="987"/>
      <c r="O770" s="436" t="s">
        <v>62</v>
      </c>
      <c r="P770" s="995">
        <v>45335.0</v>
      </c>
      <c r="Q770" s="987"/>
      <c r="R770" s="987"/>
      <c r="S770" s="987"/>
      <c r="T770" s="987"/>
      <c r="U770" s="987"/>
      <c r="V770" s="987"/>
      <c r="W770" s="987"/>
      <c r="X770" s="987"/>
      <c r="Y770" s="987"/>
      <c r="Z770" s="987"/>
      <c r="AA770" s="986"/>
    </row>
    <row r="771" hidden="1">
      <c r="A771" s="995">
        <v>694.0</v>
      </c>
      <c r="B771" s="988">
        <v>45191.0</v>
      </c>
      <c r="C771" s="989" t="s">
        <v>2024</v>
      </c>
      <c r="D771" s="434" t="s">
        <v>885</v>
      </c>
      <c r="E771" s="434" t="s">
        <v>49</v>
      </c>
      <c r="F771" s="990">
        <v>1.5122294E7</v>
      </c>
      <c r="G771" s="434" t="s">
        <v>32</v>
      </c>
      <c r="H771" s="989" t="s">
        <v>5875</v>
      </c>
      <c r="I771" s="989" t="s">
        <v>5876</v>
      </c>
      <c r="J771" s="987"/>
      <c r="K771" s="436" t="s">
        <v>1244</v>
      </c>
      <c r="L771" s="436" t="s">
        <v>1834</v>
      </c>
      <c r="M771" s="436" t="s">
        <v>1234</v>
      </c>
      <c r="N771" s="987"/>
      <c r="O771" s="987"/>
      <c r="P771" s="987"/>
      <c r="Q771" s="987"/>
      <c r="R771" s="987"/>
      <c r="S771" s="987"/>
      <c r="T771" s="987"/>
      <c r="U771" s="987"/>
      <c r="V771" s="987"/>
      <c r="W771" s="987"/>
      <c r="X771" s="987"/>
      <c r="Y771" s="987"/>
      <c r="Z771" s="987"/>
      <c r="AA771" s="986"/>
    </row>
    <row r="772" hidden="1">
      <c r="A772" s="995">
        <v>696.0</v>
      </c>
      <c r="B772" s="988">
        <v>45190.0</v>
      </c>
      <c r="C772" s="989" t="s">
        <v>2157</v>
      </c>
      <c r="D772" s="434" t="s">
        <v>506</v>
      </c>
      <c r="E772" s="434" t="s">
        <v>5877</v>
      </c>
      <c r="F772" s="434" t="s">
        <v>50</v>
      </c>
      <c r="G772" s="434" t="s">
        <v>32</v>
      </c>
      <c r="H772" s="989" t="s">
        <v>5878</v>
      </c>
      <c r="I772" s="989" t="s">
        <v>5879</v>
      </c>
      <c r="J772" s="987"/>
      <c r="K772" s="987"/>
      <c r="L772" s="987"/>
      <c r="M772" s="987"/>
      <c r="N772" s="987"/>
      <c r="O772" s="987"/>
      <c r="P772" s="987"/>
      <c r="Q772" s="987"/>
      <c r="R772" s="987"/>
      <c r="S772" s="987"/>
      <c r="T772" s="987"/>
      <c r="U772" s="987"/>
      <c r="V772" s="987"/>
      <c r="W772" s="987"/>
      <c r="X772" s="987"/>
      <c r="Y772" s="987"/>
      <c r="Z772" s="987"/>
      <c r="AA772" s="986"/>
    </row>
    <row r="773" hidden="1">
      <c r="A773" s="995">
        <v>697.0</v>
      </c>
      <c r="B773" s="988">
        <v>45195.0</v>
      </c>
      <c r="C773" s="989" t="s">
        <v>5880</v>
      </c>
      <c r="D773" s="434" t="s">
        <v>2733</v>
      </c>
      <c r="E773" s="434" t="s">
        <v>5881</v>
      </c>
      <c r="F773" s="990">
        <v>1.6780075E7</v>
      </c>
      <c r="G773" s="434" t="s">
        <v>103</v>
      </c>
      <c r="H773" s="989" t="s">
        <v>5882</v>
      </c>
      <c r="I773" s="989" t="s">
        <v>5883</v>
      </c>
      <c r="J773" s="987"/>
      <c r="K773" s="436" t="s">
        <v>5884</v>
      </c>
      <c r="L773" s="436" t="s">
        <v>5885</v>
      </c>
      <c r="M773" s="987"/>
      <c r="N773" s="987"/>
      <c r="O773" s="436" t="s">
        <v>62</v>
      </c>
      <c r="P773" s="995">
        <v>45212.0</v>
      </c>
      <c r="Q773" s="987"/>
      <c r="R773" s="987"/>
      <c r="S773" s="436" t="s">
        <v>62</v>
      </c>
      <c r="T773" s="995">
        <v>45212.0</v>
      </c>
      <c r="U773" s="987"/>
      <c r="V773" s="987"/>
      <c r="W773" s="987"/>
      <c r="X773" s="987"/>
      <c r="Y773" s="987"/>
      <c r="Z773" s="987"/>
      <c r="AA773" s="986"/>
    </row>
    <row r="774" hidden="1">
      <c r="A774" s="995">
        <v>699.0</v>
      </c>
      <c r="B774" s="988">
        <v>45190.0</v>
      </c>
      <c r="C774" s="989" t="s">
        <v>2024</v>
      </c>
      <c r="D774" s="434" t="s">
        <v>885</v>
      </c>
      <c r="E774" s="434" t="s">
        <v>49</v>
      </c>
      <c r="F774" s="990">
        <v>1.5781451E7</v>
      </c>
      <c r="G774" s="434" t="s">
        <v>32</v>
      </c>
      <c r="H774" s="989" t="s">
        <v>5886</v>
      </c>
      <c r="I774" s="989" t="s">
        <v>5887</v>
      </c>
      <c r="J774" s="987"/>
      <c r="K774" s="436" t="s">
        <v>1244</v>
      </c>
      <c r="L774" s="436" t="s">
        <v>5888</v>
      </c>
      <c r="M774" s="436" t="s">
        <v>610</v>
      </c>
      <c r="N774" s="987"/>
      <c r="O774" s="436" t="s">
        <v>62</v>
      </c>
      <c r="P774" s="995">
        <v>45204.0</v>
      </c>
      <c r="Q774" s="987"/>
      <c r="R774" s="987"/>
      <c r="S774" s="987"/>
      <c r="T774" s="987"/>
      <c r="U774" s="436" t="s">
        <v>62</v>
      </c>
      <c r="V774" s="995">
        <v>45204.0</v>
      </c>
      <c r="W774" s="987"/>
      <c r="X774" s="987"/>
      <c r="Y774" s="987"/>
      <c r="Z774" s="987"/>
      <c r="AA774" s="986"/>
    </row>
    <row r="775" hidden="1">
      <c r="A775" s="995">
        <v>702.0</v>
      </c>
      <c r="B775" s="988">
        <v>45197.0</v>
      </c>
      <c r="C775" s="989" t="s">
        <v>2024</v>
      </c>
      <c r="D775" s="434" t="s">
        <v>885</v>
      </c>
      <c r="E775" s="434" t="s">
        <v>49</v>
      </c>
      <c r="F775" s="434" t="s">
        <v>50</v>
      </c>
      <c r="G775" s="434" t="s">
        <v>32</v>
      </c>
      <c r="H775" s="989" t="s">
        <v>5889</v>
      </c>
      <c r="I775" s="989" t="s">
        <v>5890</v>
      </c>
      <c r="J775" s="987"/>
      <c r="K775" s="436" t="s">
        <v>1244</v>
      </c>
      <c r="L775" s="436" t="s">
        <v>1278</v>
      </c>
      <c r="M775" s="436" t="s">
        <v>1234</v>
      </c>
      <c r="N775" s="987"/>
      <c r="O775" s="436" t="s">
        <v>62</v>
      </c>
      <c r="P775" s="995">
        <v>45209.0</v>
      </c>
      <c r="Q775" s="987"/>
      <c r="R775" s="987"/>
      <c r="S775" s="436" t="s">
        <v>62</v>
      </c>
      <c r="T775" s="995">
        <v>45217.0</v>
      </c>
      <c r="U775" s="987"/>
      <c r="V775" s="987"/>
      <c r="W775" s="987"/>
      <c r="X775" s="987"/>
      <c r="Y775" s="987"/>
      <c r="Z775" s="987"/>
      <c r="AA775" s="986"/>
    </row>
    <row r="776" hidden="1">
      <c r="A776" s="995">
        <v>703.0</v>
      </c>
      <c r="B776" s="988">
        <v>45197.0</v>
      </c>
      <c r="C776" s="989" t="s">
        <v>2024</v>
      </c>
      <c r="D776" s="434" t="s">
        <v>885</v>
      </c>
      <c r="E776" s="434" t="s">
        <v>49</v>
      </c>
      <c r="F776" s="990">
        <v>1.5781463E7</v>
      </c>
      <c r="G776" s="434" t="s">
        <v>32</v>
      </c>
      <c r="H776" s="989" t="s">
        <v>5891</v>
      </c>
      <c r="I776" s="989" t="s">
        <v>5892</v>
      </c>
      <c r="J776" s="987"/>
      <c r="K776" s="436" t="s">
        <v>1244</v>
      </c>
      <c r="L776" s="436" t="s">
        <v>5893</v>
      </c>
      <c r="M776" s="984" t="s">
        <v>2874</v>
      </c>
      <c r="N776" s="987"/>
      <c r="O776" s="987"/>
      <c r="P776" s="987"/>
      <c r="Q776" s="987"/>
      <c r="R776" s="987"/>
      <c r="S776" s="987"/>
      <c r="T776" s="987"/>
      <c r="U776" s="987"/>
      <c r="V776" s="987"/>
      <c r="W776" s="987"/>
      <c r="X776" s="987"/>
      <c r="Y776" s="987"/>
      <c r="Z776" s="987"/>
      <c r="AA776" s="986"/>
    </row>
    <row r="777" hidden="1">
      <c r="A777" s="995">
        <v>704.0</v>
      </c>
      <c r="B777" s="988">
        <v>45197.0</v>
      </c>
      <c r="C777" s="989" t="s">
        <v>2024</v>
      </c>
      <c r="D777" s="434" t="s">
        <v>885</v>
      </c>
      <c r="E777" s="434" t="s">
        <v>49</v>
      </c>
      <c r="F777" s="990">
        <v>1.5781479E7</v>
      </c>
      <c r="G777" s="434" t="s">
        <v>32</v>
      </c>
      <c r="H777" s="989" t="s">
        <v>5894</v>
      </c>
      <c r="I777" s="989" t="s">
        <v>5895</v>
      </c>
      <c r="J777" s="987"/>
      <c r="K777" s="436" t="s">
        <v>1244</v>
      </c>
      <c r="L777" s="436" t="s">
        <v>1374</v>
      </c>
      <c r="M777" s="436" t="s">
        <v>1234</v>
      </c>
      <c r="N777" s="987"/>
      <c r="O777" s="987"/>
      <c r="P777" s="987"/>
      <c r="Q777" s="987"/>
      <c r="R777" s="987"/>
      <c r="S777" s="987"/>
      <c r="T777" s="987"/>
      <c r="U777" s="987"/>
      <c r="V777" s="987"/>
      <c r="W777" s="987"/>
      <c r="X777" s="987"/>
      <c r="Y777" s="987"/>
      <c r="Z777" s="987"/>
      <c r="AA777" s="986"/>
    </row>
    <row r="778" hidden="1">
      <c r="A778" s="995">
        <v>705.0</v>
      </c>
      <c r="B778" s="988">
        <v>45197.0</v>
      </c>
      <c r="C778" s="989" t="s">
        <v>2024</v>
      </c>
      <c r="D778" s="434" t="s">
        <v>885</v>
      </c>
      <c r="E778" s="434" t="s">
        <v>49</v>
      </c>
      <c r="F778" s="434" t="s">
        <v>50</v>
      </c>
      <c r="G778" s="434" t="s">
        <v>32</v>
      </c>
      <c r="H778" s="989" t="s">
        <v>5896</v>
      </c>
      <c r="I778" s="989" t="s">
        <v>5897</v>
      </c>
      <c r="J778" s="987"/>
      <c r="K778" s="436" t="s">
        <v>1244</v>
      </c>
      <c r="L778" s="436" t="s">
        <v>5898</v>
      </c>
      <c r="M778" s="436" t="s">
        <v>610</v>
      </c>
      <c r="N778" s="987"/>
      <c r="O778" s="987"/>
      <c r="P778" s="987"/>
      <c r="Q778" s="987"/>
      <c r="R778" s="987"/>
      <c r="S778" s="987"/>
      <c r="T778" s="987"/>
      <c r="U778" s="987"/>
      <c r="V778" s="987"/>
      <c r="W778" s="987"/>
      <c r="X778" s="987"/>
      <c r="Y778" s="987"/>
      <c r="Z778" s="987"/>
      <c r="AA778" s="986"/>
    </row>
    <row r="779" hidden="1">
      <c r="A779" s="995">
        <v>706.0</v>
      </c>
      <c r="B779" s="988">
        <v>45197.0</v>
      </c>
      <c r="C779" s="989" t="s">
        <v>5899</v>
      </c>
      <c r="D779" s="434" t="s">
        <v>2964</v>
      </c>
      <c r="E779" s="434" t="s">
        <v>300</v>
      </c>
      <c r="F779" s="990">
        <v>1.7940216E7</v>
      </c>
      <c r="G779" s="434" t="s">
        <v>200</v>
      </c>
      <c r="H779" s="989" t="s">
        <v>5900</v>
      </c>
      <c r="I779" s="989" t="s">
        <v>5901</v>
      </c>
      <c r="J779" s="987"/>
      <c r="K779" s="436" t="s">
        <v>5902</v>
      </c>
      <c r="L779" s="436" t="s">
        <v>4998</v>
      </c>
      <c r="M779" s="436" t="s">
        <v>2852</v>
      </c>
      <c r="N779" s="987"/>
      <c r="O779" s="987"/>
      <c r="P779" s="987"/>
      <c r="Q779" s="987"/>
      <c r="R779" s="987"/>
      <c r="S779" s="987"/>
      <c r="T779" s="987"/>
      <c r="U779" s="987"/>
      <c r="V779" s="987"/>
      <c r="W779" s="987"/>
      <c r="X779" s="987"/>
      <c r="Y779" s="987"/>
      <c r="Z779" s="987"/>
      <c r="AA779" s="986"/>
    </row>
    <row r="780" hidden="1">
      <c r="A780" s="995">
        <v>707.0</v>
      </c>
      <c r="B780" s="988">
        <v>45197.0</v>
      </c>
      <c r="C780" s="989" t="s">
        <v>5899</v>
      </c>
      <c r="D780" s="434" t="s">
        <v>2964</v>
      </c>
      <c r="E780" s="434" t="s">
        <v>300</v>
      </c>
      <c r="F780" s="990">
        <v>1.7940217E7</v>
      </c>
      <c r="G780" s="434" t="s">
        <v>200</v>
      </c>
      <c r="H780" s="989" t="s">
        <v>5900</v>
      </c>
      <c r="I780" s="989" t="s">
        <v>5901</v>
      </c>
      <c r="J780" s="987"/>
      <c r="K780" s="436" t="s">
        <v>5902</v>
      </c>
      <c r="L780" s="436" t="s">
        <v>4998</v>
      </c>
      <c r="M780" s="436" t="s">
        <v>2852</v>
      </c>
      <c r="N780" s="987"/>
      <c r="O780" s="987"/>
      <c r="P780" s="987"/>
      <c r="Q780" s="987"/>
      <c r="R780" s="987"/>
      <c r="S780" s="987"/>
      <c r="T780" s="987"/>
      <c r="U780" s="987"/>
      <c r="V780" s="987"/>
      <c r="W780" s="987"/>
      <c r="X780" s="987"/>
      <c r="Y780" s="987"/>
      <c r="Z780" s="987"/>
      <c r="AA780" s="986"/>
    </row>
    <row r="781" hidden="1">
      <c r="A781" s="995">
        <v>708.0</v>
      </c>
      <c r="B781" s="988">
        <v>45197.0</v>
      </c>
      <c r="C781" s="989" t="s">
        <v>5899</v>
      </c>
      <c r="D781" s="434" t="s">
        <v>2964</v>
      </c>
      <c r="E781" s="434" t="s">
        <v>300</v>
      </c>
      <c r="F781" s="990">
        <v>1.7940218E7</v>
      </c>
      <c r="G781" s="434" t="s">
        <v>200</v>
      </c>
      <c r="H781" s="989" t="s">
        <v>5903</v>
      </c>
      <c r="I781" s="989" t="s">
        <v>5901</v>
      </c>
      <c r="J781" s="987"/>
      <c r="K781" s="436" t="s">
        <v>5902</v>
      </c>
      <c r="L781" s="436" t="s">
        <v>5257</v>
      </c>
      <c r="M781" s="436" t="s">
        <v>2852</v>
      </c>
      <c r="N781" s="987"/>
      <c r="O781" s="987"/>
      <c r="P781" s="987"/>
      <c r="Q781" s="987"/>
      <c r="R781" s="987"/>
      <c r="S781" s="987"/>
      <c r="T781" s="987"/>
      <c r="U781" s="987"/>
      <c r="V781" s="987"/>
      <c r="W781" s="987"/>
      <c r="X781" s="987"/>
      <c r="Y781" s="987"/>
      <c r="Z781" s="987"/>
      <c r="AA781" s="986"/>
    </row>
    <row r="782" hidden="1">
      <c r="A782" s="995">
        <v>709.0</v>
      </c>
      <c r="B782" s="988">
        <v>45197.0</v>
      </c>
      <c r="C782" s="989" t="s">
        <v>5899</v>
      </c>
      <c r="D782" s="434" t="s">
        <v>2964</v>
      </c>
      <c r="E782" s="434" t="s">
        <v>300</v>
      </c>
      <c r="F782" s="990">
        <v>1.7940219E7</v>
      </c>
      <c r="G782" s="434" t="s">
        <v>200</v>
      </c>
      <c r="H782" s="989" t="s">
        <v>5903</v>
      </c>
      <c r="I782" s="989" t="s">
        <v>5901</v>
      </c>
      <c r="J782" s="987"/>
      <c r="K782" s="436" t="s">
        <v>5902</v>
      </c>
      <c r="L782" s="436" t="s">
        <v>5257</v>
      </c>
      <c r="M782" s="436" t="s">
        <v>2852</v>
      </c>
      <c r="N782" s="987"/>
      <c r="O782" s="987"/>
      <c r="P782" s="987"/>
      <c r="Q782" s="987"/>
      <c r="R782" s="987"/>
      <c r="S782" s="987"/>
      <c r="T782" s="987"/>
      <c r="U782" s="987"/>
      <c r="V782" s="987"/>
      <c r="W782" s="987"/>
      <c r="X782" s="987"/>
      <c r="Y782" s="987"/>
      <c r="Z782" s="987"/>
      <c r="AA782" s="986"/>
    </row>
    <row r="783" hidden="1">
      <c r="A783" s="995">
        <v>710.0</v>
      </c>
      <c r="B783" s="988">
        <v>45197.0</v>
      </c>
      <c r="C783" s="989" t="s">
        <v>5899</v>
      </c>
      <c r="D783" s="434" t="s">
        <v>2964</v>
      </c>
      <c r="E783" s="434" t="s">
        <v>300</v>
      </c>
      <c r="F783" s="990">
        <v>1.794022E7</v>
      </c>
      <c r="G783" s="434" t="s">
        <v>200</v>
      </c>
      <c r="H783" s="989" t="s">
        <v>5904</v>
      </c>
      <c r="I783" s="989" t="s">
        <v>5901</v>
      </c>
      <c r="J783" s="987"/>
      <c r="K783" s="436" t="s">
        <v>5902</v>
      </c>
      <c r="L783" s="436" t="s">
        <v>795</v>
      </c>
      <c r="M783" s="436" t="s">
        <v>2852</v>
      </c>
      <c r="N783" s="987"/>
      <c r="O783" s="987"/>
      <c r="P783" s="987"/>
      <c r="Q783" s="987"/>
      <c r="R783" s="987"/>
      <c r="S783" s="987"/>
      <c r="T783" s="987"/>
      <c r="U783" s="987"/>
      <c r="V783" s="987"/>
      <c r="W783" s="987"/>
      <c r="X783" s="987"/>
      <c r="Y783" s="987"/>
      <c r="Z783" s="987"/>
      <c r="AA783" s="986"/>
    </row>
    <row r="784" hidden="1">
      <c r="A784" s="995">
        <v>711.0</v>
      </c>
      <c r="B784" s="988">
        <v>45191.0</v>
      </c>
      <c r="C784" s="989" t="s">
        <v>2024</v>
      </c>
      <c r="D784" s="434" t="s">
        <v>885</v>
      </c>
      <c r="E784" s="434" t="s">
        <v>49</v>
      </c>
      <c r="F784" s="990">
        <v>1.5781452E7</v>
      </c>
      <c r="G784" s="434" t="s">
        <v>32</v>
      </c>
      <c r="H784" s="989" t="s">
        <v>5905</v>
      </c>
      <c r="I784" s="989" t="s">
        <v>5906</v>
      </c>
      <c r="J784" s="987"/>
      <c r="K784" s="436" t="s">
        <v>1244</v>
      </c>
      <c r="L784" s="987"/>
      <c r="M784" s="987"/>
      <c r="N784" s="987"/>
      <c r="O784" s="987"/>
      <c r="P784" s="987"/>
      <c r="Q784" s="987"/>
      <c r="R784" s="987"/>
      <c r="S784" s="987"/>
      <c r="T784" s="987"/>
      <c r="U784" s="436" t="s">
        <v>62</v>
      </c>
      <c r="V784" s="995">
        <v>45204.0</v>
      </c>
      <c r="W784" s="987"/>
      <c r="X784" s="987"/>
      <c r="Y784" s="987"/>
      <c r="Z784" s="987"/>
      <c r="AA784" s="986"/>
    </row>
    <row r="785" hidden="1">
      <c r="A785" s="995">
        <v>712.0</v>
      </c>
      <c r="B785" s="988">
        <v>45197.0</v>
      </c>
      <c r="C785" s="989" t="s">
        <v>2024</v>
      </c>
      <c r="D785" s="434" t="s">
        <v>885</v>
      </c>
      <c r="E785" s="434" t="s">
        <v>49</v>
      </c>
      <c r="F785" s="990">
        <v>1.5781455E7</v>
      </c>
      <c r="G785" s="434" t="s">
        <v>32</v>
      </c>
      <c r="H785" s="989" t="s">
        <v>5907</v>
      </c>
      <c r="I785" s="989" t="s">
        <v>5906</v>
      </c>
      <c r="J785" s="987"/>
      <c r="K785" s="987"/>
      <c r="L785" s="987"/>
      <c r="M785" s="987"/>
      <c r="N785" s="987"/>
      <c r="O785" s="987"/>
      <c r="P785" s="987"/>
      <c r="Q785" s="987"/>
      <c r="R785" s="987"/>
      <c r="S785" s="987"/>
      <c r="T785" s="987"/>
      <c r="U785" s="987"/>
      <c r="V785" s="987"/>
      <c r="W785" s="987"/>
      <c r="X785" s="987"/>
      <c r="Y785" s="987"/>
      <c r="Z785" s="987"/>
      <c r="AA785" s="986"/>
    </row>
    <row r="786" hidden="1">
      <c r="A786" s="995">
        <v>713.0</v>
      </c>
      <c r="B786" s="988">
        <v>45201.0</v>
      </c>
      <c r="C786" s="989" t="s">
        <v>2024</v>
      </c>
      <c r="D786" s="434" t="s">
        <v>885</v>
      </c>
      <c r="E786" s="434" t="s">
        <v>49</v>
      </c>
      <c r="F786" s="990">
        <v>1.5781456E7</v>
      </c>
      <c r="G786" s="434" t="s">
        <v>32</v>
      </c>
      <c r="H786" s="989" t="s">
        <v>5908</v>
      </c>
      <c r="I786" s="989" t="s">
        <v>5906</v>
      </c>
      <c r="J786" s="987"/>
      <c r="K786" s="987"/>
      <c r="L786" s="987"/>
      <c r="M786" s="987"/>
      <c r="N786" s="987"/>
      <c r="O786" s="987"/>
      <c r="P786" s="987"/>
      <c r="Q786" s="987"/>
      <c r="R786" s="987"/>
      <c r="S786" s="987"/>
      <c r="T786" s="987"/>
      <c r="U786" s="987"/>
      <c r="V786" s="987"/>
      <c r="W786" s="987"/>
      <c r="X786" s="987"/>
      <c r="Y786" s="987"/>
      <c r="Z786" s="987"/>
      <c r="AA786" s="986"/>
    </row>
    <row r="787" hidden="1">
      <c r="A787" s="995">
        <v>714.0</v>
      </c>
      <c r="B787" s="988">
        <v>45201.0</v>
      </c>
      <c r="C787" s="989" t="s">
        <v>2024</v>
      </c>
      <c r="D787" s="434" t="s">
        <v>885</v>
      </c>
      <c r="E787" s="434" t="s">
        <v>3140</v>
      </c>
      <c r="F787" s="990">
        <v>1.5781467E7</v>
      </c>
      <c r="G787" s="434" t="s">
        <v>32</v>
      </c>
      <c r="H787" s="989" t="s">
        <v>5909</v>
      </c>
      <c r="I787" s="989" t="s">
        <v>5910</v>
      </c>
      <c r="J787" s="987"/>
      <c r="K787" s="436" t="s">
        <v>1244</v>
      </c>
      <c r="L787" s="436" t="s">
        <v>1374</v>
      </c>
      <c r="M787" s="436" t="s">
        <v>1234</v>
      </c>
      <c r="N787" s="987"/>
      <c r="O787" s="987"/>
      <c r="P787" s="987"/>
      <c r="Q787" s="987"/>
      <c r="R787" s="987"/>
      <c r="S787" s="987"/>
      <c r="T787" s="987"/>
      <c r="U787" s="987"/>
      <c r="V787" s="987"/>
      <c r="W787" s="987"/>
      <c r="X787" s="987"/>
      <c r="Y787" s="987"/>
      <c r="Z787" s="987"/>
      <c r="AA787" s="986"/>
    </row>
    <row r="788" hidden="1">
      <c r="A788" s="995">
        <v>715.0</v>
      </c>
      <c r="B788" s="988">
        <v>45201.0</v>
      </c>
      <c r="C788" s="989" t="s">
        <v>2024</v>
      </c>
      <c r="D788" s="434" t="s">
        <v>885</v>
      </c>
      <c r="E788" s="434" t="s">
        <v>3140</v>
      </c>
      <c r="F788" s="990">
        <v>1.578153E7</v>
      </c>
      <c r="G788" s="434" t="s">
        <v>32</v>
      </c>
      <c r="H788" s="989" t="s">
        <v>5911</v>
      </c>
      <c r="I788" s="989" t="s">
        <v>5912</v>
      </c>
      <c r="J788" s="987"/>
      <c r="K788" s="436" t="s">
        <v>1244</v>
      </c>
      <c r="L788" s="436" t="s">
        <v>3433</v>
      </c>
      <c r="M788" s="436" t="s">
        <v>1234</v>
      </c>
      <c r="N788" s="987"/>
      <c r="O788" s="987"/>
      <c r="P788" s="987"/>
      <c r="Q788" s="987"/>
      <c r="R788" s="987"/>
      <c r="S788" s="987"/>
      <c r="T788" s="987"/>
      <c r="U788" s="436" t="s">
        <v>62</v>
      </c>
      <c r="V788" s="995">
        <v>45344.0</v>
      </c>
      <c r="W788" s="987"/>
      <c r="X788" s="987"/>
      <c r="Y788" s="987"/>
      <c r="Z788" s="987"/>
      <c r="AA788" s="986"/>
    </row>
    <row r="789" hidden="1">
      <c r="A789" s="995">
        <v>716.0</v>
      </c>
      <c r="B789" s="988">
        <v>45201.0</v>
      </c>
      <c r="C789" s="989" t="s">
        <v>2024</v>
      </c>
      <c r="D789" s="434" t="s">
        <v>885</v>
      </c>
      <c r="E789" s="434" t="s">
        <v>5913</v>
      </c>
      <c r="F789" s="990">
        <v>1.5781469E7</v>
      </c>
      <c r="G789" s="434" t="s">
        <v>32</v>
      </c>
      <c r="H789" s="989" t="s">
        <v>5914</v>
      </c>
      <c r="I789" s="989" t="s">
        <v>5915</v>
      </c>
      <c r="J789" s="987"/>
      <c r="K789" s="436" t="s">
        <v>1244</v>
      </c>
      <c r="L789" s="987"/>
      <c r="M789" s="987"/>
      <c r="N789" s="987"/>
      <c r="O789" s="987"/>
      <c r="P789" s="987"/>
      <c r="Q789" s="987"/>
      <c r="R789" s="987"/>
      <c r="S789" s="987"/>
      <c r="T789" s="987"/>
      <c r="U789" s="987"/>
      <c r="V789" s="987"/>
      <c r="W789" s="987"/>
      <c r="X789" s="987"/>
      <c r="Y789" s="987"/>
      <c r="Z789" s="987"/>
      <c r="AA789" s="986"/>
    </row>
    <row r="790" hidden="1">
      <c r="A790" s="995">
        <v>717.0</v>
      </c>
      <c r="B790" s="988">
        <v>45201.0</v>
      </c>
      <c r="C790" s="989" t="s">
        <v>2024</v>
      </c>
      <c r="D790" s="434" t="s">
        <v>885</v>
      </c>
      <c r="E790" s="434" t="s">
        <v>3140</v>
      </c>
      <c r="F790" s="990">
        <v>1.5781529E7</v>
      </c>
      <c r="G790" s="434" t="s">
        <v>32</v>
      </c>
      <c r="H790" s="989" t="s">
        <v>5916</v>
      </c>
      <c r="I790" s="989" t="s">
        <v>5917</v>
      </c>
      <c r="J790" s="987"/>
      <c r="K790" s="436" t="s">
        <v>1244</v>
      </c>
      <c r="L790" s="436" t="s">
        <v>1834</v>
      </c>
      <c r="M790" s="436" t="s">
        <v>1234</v>
      </c>
      <c r="N790" s="987"/>
      <c r="O790" s="987"/>
      <c r="P790" s="987"/>
      <c r="Q790" s="987"/>
      <c r="R790" s="987"/>
      <c r="S790" s="987"/>
      <c r="T790" s="987"/>
      <c r="U790" s="436" t="s">
        <v>62</v>
      </c>
      <c r="V790" s="995">
        <v>45344.0</v>
      </c>
      <c r="W790" s="987"/>
      <c r="X790" s="987"/>
      <c r="Y790" s="987"/>
      <c r="Z790" s="987"/>
      <c r="AA790" s="986"/>
    </row>
    <row r="791" hidden="1">
      <c r="A791" s="995">
        <v>719.0</v>
      </c>
      <c r="B791" s="988">
        <v>45202.0</v>
      </c>
      <c r="C791" s="989" t="s">
        <v>2024</v>
      </c>
      <c r="D791" s="434" t="s">
        <v>885</v>
      </c>
      <c r="E791" s="434" t="s">
        <v>3140</v>
      </c>
      <c r="F791" s="990">
        <v>1.5781527E7</v>
      </c>
      <c r="G791" s="434" t="s">
        <v>32</v>
      </c>
      <c r="H791" s="989" t="s">
        <v>5918</v>
      </c>
      <c r="I791" s="989" t="s">
        <v>5919</v>
      </c>
      <c r="J791" s="987"/>
      <c r="K791" s="436" t="s">
        <v>1244</v>
      </c>
      <c r="L791" s="987"/>
      <c r="M791" s="987"/>
      <c r="N791" s="987"/>
      <c r="O791" s="987"/>
      <c r="P791" s="987"/>
      <c r="Q791" s="987"/>
      <c r="R791" s="987"/>
      <c r="S791" s="987"/>
      <c r="T791" s="987"/>
      <c r="U791" s="436" t="s">
        <v>62</v>
      </c>
      <c r="V791" s="995">
        <v>45344.0</v>
      </c>
      <c r="W791" s="987"/>
      <c r="X791" s="987"/>
      <c r="Y791" s="987"/>
      <c r="Z791" s="987"/>
      <c r="AA791" s="986"/>
    </row>
    <row r="792" hidden="1">
      <c r="A792" s="995">
        <v>720.0</v>
      </c>
      <c r="B792" s="988">
        <v>45202.0</v>
      </c>
      <c r="C792" s="989" t="s">
        <v>2024</v>
      </c>
      <c r="D792" s="434" t="s">
        <v>885</v>
      </c>
      <c r="E792" s="434" t="s">
        <v>3140</v>
      </c>
      <c r="F792" s="990">
        <v>1.5781468E7</v>
      </c>
      <c r="G792" s="434" t="s">
        <v>32</v>
      </c>
      <c r="H792" s="989" t="s">
        <v>5920</v>
      </c>
      <c r="I792" s="989" t="s">
        <v>5921</v>
      </c>
      <c r="J792" s="987"/>
      <c r="K792" s="436" t="s">
        <v>1244</v>
      </c>
      <c r="L792" s="436" t="s">
        <v>1278</v>
      </c>
      <c r="M792" s="436" t="s">
        <v>1234</v>
      </c>
      <c r="N792" s="987"/>
      <c r="O792" s="987"/>
      <c r="P792" s="987"/>
      <c r="Q792" s="987"/>
      <c r="R792" s="987"/>
      <c r="S792" s="987"/>
      <c r="T792" s="987"/>
      <c r="U792" s="987"/>
      <c r="V792" s="987"/>
      <c r="W792" s="987"/>
      <c r="X792" s="987"/>
      <c r="Y792" s="987"/>
      <c r="Z792" s="987"/>
      <c r="AA792" s="986"/>
    </row>
    <row r="793" hidden="1">
      <c r="A793" s="995">
        <v>721.0</v>
      </c>
      <c r="B793" s="988">
        <v>45202.0</v>
      </c>
      <c r="C793" s="989" t="s">
        <v>2024</v>
      </c>
      <c r="D793" s="434" t="s">
        <v>885</v>
      </c>
      <c r="E793" s="434" t="s">
        <v>3140</v>
      </c>
      <c r="F793" s="434" t="s">
        <v>50</v>
      </c>
      <c r="G793" s="434" t="s">
        <v>32</v>
      </c>
      <c r="H793" s="989" t="s">
        <v>5922</v>
      </c>
      <c r="I793" s="989" t="s">
        <v>5923</v>
      </c>
      <c r="J793" s="987"/>
      <c r="K793" s="436" t="s">
        <v>1244</v>
      </c>
      <c r="L793" s="987"/>
      <c r="M793" s="987"/>
      <c r="N793" s="987"/>
      <c r="O793" s="987"/>
      <c r="P793" s="987"/>
      <c r="Q793" s="987"/>
      <c r="R793" s="987"/>
      <c r="S793" s="987"/>
      <c r="T793" s="987"/>
      <c r="U793" s="436" t="s">
        <v>62</v>
      </c>
      <c r="V793" s="995">
        <v>45344.0</v>
      </c>
      <c r="W793" s="987"/>
      <c r="X793" s="987"/>
      <c r="Y793" s="987"/>
      <c r="Z793" s="987"/>
      <c r="AA793" s="986"/>
    </row>
    <row r="794" hidden="1">
      <c r="A794" s="995">
        <v>722.0</v>
      </c>
      <c r="B794" s="988">
        <v>45202.0</v>
      </c>
      <c r="C794" s="989" t="s">
        <v>2024</v>
      </c>
      <c r="D794" s="434" t="s">
        <v>1979</v>
      </c>
      <c r="E794" s="434" t="s">
        <v>3140</v>
      </c>
      <c r="F794" s="990">
        <v>1.5781458E7</v>
      </c>
      <c r="G794" s="434" t="s">
        <v>32</v>
      </c>
      <c r="H794" s="989" t="s">
        <v>5924</v>
      </c>
      <c r="I794" s="989" t="s">
        <v>5925</v>
      </c>
      <c r="J794" s="987"/>
      <c r="K794" s="436" t="s">
        <v>1244</v>
      </c>
      <c r="L794" s="436" t="s">
        <v>812</v>
      </c>
      <c r="M794" s="987"/>
      <c r="N794" s="987"/>
      <c r="O794" s="987"/>
      <c r="P794" s="987"/>
      <c r="Q794" s="987"/>
      <c r="R794" s="987"/>
      <c r="S794" s="987"/>
      <c r="T794" s="987"/>
      <c r="U794" s="987"/>
      <c r="V794" s="987"/>
      <c r="W794" s="987"/>
      <c r="X794" s="987"/>
      <c r="Y794" s="987"/>
      <c r="Z794" s="987"/>
      <c r="AA794" s="986"/>
    </row>
    <row r="795" hidden="1">
      <c r="A795" s="995">
        <v>723.0</v>
      </c>
      <c r="B795" s="988">
        <v>45204.0</v>
      </c>
      <c r="C795" s="989" t="s">
        <v>3130</v>
      </c>
      <c r="D795" s="434" t="s">
        <v>1059</v>
      </c>
      <c r="E795" s="434" t="s">
        <v>1060</v>
      </c>
      <c r="F795" s="434" t="s">
        <v>50</v>
      </c>
      <c r="G795" s="434" t="s">
        <v>135</v>
      </c>
      <c r="H795" s="989" t="s">
        <v>5926</v>
      </c>
      <c r="I795" s="989" t="s">
        <v>5927</v>
      </c>
      <c r="J795" s="987"/>
      <c r="K795" s="436" t="s">
        <v>1063</v>
      </c>
      <c r="L795" s="436" t="s">
        <v>5928</v>
      </c>
      <c r="M795" s="987"/>
      <c r="N795" s="987"/>
      <c r="O795" s="987"/>
      <c r="P795" s="987"/>
      <c r="Q795" s="987"/>
      <c r="R795" s="987"/>
      <c r="S795" s="987"/>
      <c r="T795" s="987"/>
      <c r="U795" s="987"/>
      <c r="V795" s="987"/>
      <c r="W795" s="987"/>
      <c r="X795" s="987"/>
      <c r="Y795" s="987"/>
      <c r="Z795" s="987"/>
      <c r="AA795" s="986"/>
    </row>
    <row r="796" hidden="1">
      <c r="A796" s="995">
        <v>724.0</v>
      </c>
      <c r="B796" s="991">
        <v>45209.0</v>
      </c>
      <c r="C796" s="989" t="s">
        <v>2024</v>
      </c>
      <c r="D796" s="434" t="s">
        <v>885</v>
      </c>
      <c r="E796" s="434" t="s">
        <v>49</v>
      </c>
      <c r="F796" s="990">
        <v>1.578152E7</v>
      </c>
      <c r="G796" s="434" t="s">
        <v>32</v>
      </c>
      <c r="H796" s="989" t="s">
        <v>5929</v>
      </c>
      <c r="I796" s="993" t="s">
        <v>5930</v>
      </c>
      <c r="J796" s="987"/>
      <c r="K796" s="436" t="s">
        <v>1244</v>
      </c>
      <c r="L796" s="436" t="s">
        <v>1278</v>
      </c>
      <c r="M796" s="436" t="s">
        <v>1234</v>
      </c>
      <c r="N796" s="987"/>
      <c r="O796" s="436" t="s">
        <v>62</v>
      </c>
      <c r="P796" s="995">
        <v>45273.0</v>
      </c>
      <c r="Q796" s="987"/>
      <c r="R796" s="987"/>
      <c r="S796" s="987"/>
      <c r="T796" s="987"/>
      <c r="U796" s="436" t="s">
        <v>62</v>
      </c>
      <c r="V796" s="995">
        <v>45331.0</v>
      </c>
      <c r="W796" s="987"/>
      <c r="X796" s="987"/>
      <c r="Y796" s="987"/>
      <c r="Z796" s="987"/>
      <c r="AA796" s="986"/>
    </row>
    <row r="797" hidden="1">
      <c r="A797" s="995">
        <v>725.0</v>
      </c>
      <c r="B797" s="991">
        <v>45209.0</v>
      </c>
      <c r="C797" s="989" t="s">
        <v>2024</v>
      </c>
      <c r="D797" s="434" t="s">
        <v>885</v>
      </c>
      <c r="E797" s="434" t="s">
        <v>49</v>
      </c>
      <c r="F797" s="990">
        <v>1.5781456E7</v>
      </c>
      <c r="G797" s="434" t="s">
        <v>32</v>
      </c>
      <c r="H797" s="989" t="s">
        <v>5914</v>
      </c>
      <c r="I797" s="994"/>
      <c r="J797" s="987"/>
      <c r="K797" s="436" t="s">
        <v>1244</v>
      </c>
      <c r="L797" s="436" t="s">
        <v>1278</v>
      </c>
      <c r="M797" s="436" t="s">
        <v>610</v>
      </c>
      <c r="N797" s="987"/>
      <c r="O797" s="436" t="s">
        <v>62</v>
      </c>
      <c r="P797" s="995">
        <v>45209.0</v>
      </c>
      <c r="Q797" s="987"/>
      <c r="R797" s="987"/>
      <c r="S797" s="987"/>
      <c r="T797" s="987"/>
      <c r="U797" s="436" t="s">
        <v>62</v>
      </c>
      <c r="V797" s="995">
        <v>45217.0</v>
      </c>
      <c r="W797" s="987"/>
      <c r="X797" s="987"/>
      <c r="Y797" s="987"/>
      <c r="Z797" s="987"/>
      <c r="AA797" s="986"/>
    </row>
    <row r="798" hidden="1">
      <c r="A798" s="995">
        <v>726.0</v>
      </c>
      <c r="B798" s="991">
        <v>45209.0</v>
      </c>
      <c r="C798" s="989" t="s">
        <v>3130</v>
      </c>
      <c r="D798" s="434" t="s">
        <v>1059</v>
      </c>
      <c r="E798" s="434" t="s">
        <v>1060</v>
      </c>
      <c r="F798" s="434" t="s">
        <v>50</v>
      </c>
      <c r="G798" s="434" t="s">
        <v>135</v>
      </c>
      <c r="H798" s="989" t="s">
        <v>5931</v>
      </c>
      <c r="I798" s="989" t="s">
        <v>5932</v>
      </c>
      <c r="J798" s="987"/>
      <c r="K798" s="436" t="s">
        <v>1063</v>
      </c>
      <c r="L798" s="436" t="s">
        <v>5928</v>
      </c>
      <c r="M798" s="987"/>
      <c r="N798" s="987"/>
      <c r="O798" s="987"/>
      <c r="P798" s="987"/>
      <c r="Q798" s="987"/>
      <c r="R798" s="987"/>
      <c r="S798" s="987"/>
      <c r="T798" s="987"/>
      <c r="U798" s="987"/>
      <c r="V798" s="987"/>
      <c r="W798" s="987"/>
      <c r="X798" s="987"/>
      <c r="Y798" s="987"/>
      <c r="Z798" s="987"/>
      <c r="AA798" s="986"/>
    </row>
    <row r="799" hidden="1">
      <c r="A799" s="995">
        <v>728.0</v>
      </c>
      <c r="B799" s="991">
        <v>45209.0</v>
      </c>
      <c r="C799" s="989" t="s">
        <v>3130</v>
      </c>
      <c r="D799" s="434" t="s">
        <v>1059</v>
      </c>
      <c r="E799" s="434" t="s">
        <v>1060</v>
      </c>
      <c r="F799" s="434" t="s">
        <v>50</v>
      </c>
      <c r="G799" s="434" t="s">
        <v>135</v>
      </c>
      <c r="H799" s="989" t="s">
        <v>5933</v>
      </c>
      <c r="I799" s="989" t="s">
        <v>5934</v>
      </c>
      <c r="J799" s="987"/>
      <c r="K799" s="436" t="s">
        <v>1063</v>
      </c>
      <c r="L799" s="436" t="s">
        <v>5928</v>
      </c>
      <c r="M799" s="987"/>
      <c r="N799" s="987"/>
      <c r="O799" s="987"/>
      <c r="P799" s="987"/>
      <c r="Q799" s="987"/>
      <c r="R799" s="987"/>
      <c r="S799" s="987"/>
      <c r="T799" s="987"/>
      <c r="U799" s="987"/>
      <c r="V799" s="987"/>
      <c r="W799" s="987"/>
      <c r="X799" s="987"/>
      <c r="Y799" s="987"/>
      <c r="Z799" s="987"/>
      <c r="AA799" s="986"/>
    </row>
    <row r="800" hidden="1">
      <c r="A800" s="995">
        <v>729.0</v>
      </c>
      <c r="B800" s="991">
        <v>45210.0</v>
      </c>
      <c r="C800" s="989" t="s">
        <v>3130</v>
      </c>
      <c r="D800" s="434" t="s">
        <v>1059</v>
      </c>
      <c r="E800" s="434" t="s">
        <v>1060</v>
      </c>
      <c r="F800" s="434" t="s">
        <v>50</v>
      </c>
      <c r="G800" s="434" t="s">
        <v>135</v>
      </c>
      <c r="H800" s="989" t="s">
        <v>5931</v>
      </c>
      <c r="I800" s="989" t="s">
        <v>5935</v>
      </c>
      <c r="J800" s="987"/>
      <c r="K800" s="436" t="s">
        <v>1063</v>
      </c>
      <c r="L800" s="436" t="s">
        <v>5928</v>
      </c>
      <c r="M800" s="987"/>
      <c r="N800" s="987"/>
      <c r="O800" s="436" t="s">
        <v>62</v>
      </c>
      <c r="P800" s="1020">
        <v>45904.0</v>
      </c>
      <c r="Q800" s="987"/>
      <c r="R800" s="987"/>
      <c r="S800" s="987"/>
      <c r="T800" s="987"/>
      <c r="U800" s="987"/>
      <c r="V800" s="987"/>
      <c r="W800" s="987"/>
      <c r="X800" s="987"/>
      <c r="Y800" s="987"/>
      <c r="Z800" s="987"/>
      <c r="AA800" s="986"/>
    </row>
    <row r="801" hidden="1">
      <c r="A801" s="995">
        <v>730.0</v>
      </c>
      <c r="B801" s="991">
        <v>45210.0</v>
      </c>
      <c r="C801" s="989" t="s">
        <v>5768</v>
      </c>
      <c r="D801" s="434" t="s">
        <v>918</v>
      </c>
      <c r="E801" s="434" t="s">
        <v>261</v>
      </c>
      <c r="F801" s="1021">
        <v>1.64E8</v>
      </c>
      <c r="G801" s="434" t="s">
        <v>32</v>
      </c>
      <c r="H801" s="989" t="s">
        <v>5467</v>
      </c>
      <c r="I801" s="989" t="s">
        <v>5936</v>
      </c>
      <c r="J801" s="987"/>
      <c r="K801" s="436" t="s">
        <v>278</v>
      </c>
      <c r="L801" s="436" t="s">
        <v>5468</v>
      </c>
      <c r="M801" s="436" t="s">
        <v>280</v>
      </c>
      <c r="N801" s="987"/>
      <c r="O801" s="436" t="s">
        <v>62</v>
      </c>
      <c r="P801" s="995">
        <v>45239.0</v>
      </c>
      <c r="Q801" s="987"/>
      <c r="R801" s="987"/>
      <c r="S801" s="987"/>
      <c r="T801" s="987"/>
      <c r="U801" s="995">
        <v>45252.0</v>
      </c>
      <c r="V801" s="436" t="s">
        <v>62</v>
      </c>
      <c r="W801" s="987"/>
      <c r="X801" s="987"/>
      <c r="Y801" s="987"/>
      <c r="Z801" s="987"/>
      <c r="AA801" s="986"/>
    </row>
    <row r="802" hidden="1">
      <c r="A802" s="995">
        <v>732.0</v>
      </c>
      <c r="B802" s="991">
        <v>45211.0</v>
      </c>
      <c r="C802" s="989" t="s">
        <v>5825</v>
      </c>
      <c r="D802" s="434" t="s">
        <v>89</v>
      </c>
      <c r="E802" s="434" t="s">
        <v>111</v>
      </c>
      <c r="F802" s="990">
        <v>1.5831065E7</v>
      </c>
      <c r="G802" s="434" t="s">
        <v>51</v>
      </c>
      <c r="H802" s="989" t="s">
        <v>5937</v>
      </c>
      <c r="I802" s="993" t="s">
        <v>5938</v>
      </c>
      <c r="J802" s="987"/>
      <c r="K802" s="436" t="s">
        <v>92</v>
      </c>
      <c r="L802" s="987"/>
      <c r="M802" s="987"/>
      <c r="N802" s="987"/>
      <c r="O802" s="436" t="s">
        <v>62</v>
      </c>
      <c r="P802" s="987"/>
      <c r="Q802" s="987"/>
      <c r="R802" s="987"/>
      <c r="S802" s="987"/>
      <c r="T802" s="987"/>
      <c r="U802" s="436" t="s">
        <v>62</v>
      </c>
      <c r="V802" s="995">
        <v>45379.0</v>
      </c>
      <c r="W802" s="987"/>
      <c r="X802" s="987"/>
      <c r="Y802" s="987"/>
      <c r="Z802" s="987"/>
      <c r="AA802" s="986"/>
    </row>
    <row r="803" hidden="1">
      <c r="A803" s="995">
        <v>733.0</v>
      </c>
      <c r="B803" s="991">
        <v>45211.0</v>
      </c>
      <c r="C803" s="989" t="s">
        <v>5825</v>
      </c>
      <c r="D803" s="434" t="s">
        <v>89</v>
      </c>
      <c r="E803" s="434" t="s">
        <v>111</v>
      </c>
      <c r="F803" s="990">
        <v>1.5831068E7</v>
      </c>
      <c r="G803" s="434" t="s">
        <v>51</v>
      </c>
      <c r="H803" s="989" t="s">
        <v>5939</v>
      </c>
      <c r="I803" s="993" t="s">
        <v>5938</v>
      </c>
      <c r="J803" s="987"/>
      <c r="K803" s="436" t="s">
        <v>92</v>
      </c>
      <c r="L803" s="987"/>
      <c r="M803" s="987"/>
      <c r="N803" s="987"/>
      <c r="O803" s="436" t="s">
        <v>62</v>
      </c>
      <c r="P803" s="987"/>
      <c r="Q803" s="987"/>
      <c r="R803" s="987"/>
      <c r="S803" s="987"/>
      <c r="T803" s="987"/>
      <c r="U803" s="436" t="s">
        <v>62</v>
      </c>
      <c r="V803" s="995">
        <v>45379.0</v>
      </c>
      <c r="W803" s="987"/>
      <c r="X803" s="987"/>
      <c r="Y803" s="987"/>
      <c r="Z803" s="987"/>
      <c r="AA803" s="986"/>
    </row>
    <row r="804" hidden="1">
      <c r="A804" s="995">
        <v>734.0</v>
      </c>
      <c r="B804" s="991">
        <v>45211.0</v>
      </c>
      <c r="C804" s="989" t="s">
        <v>5825</v>
      </c>
      <c r="D804" s="434" t="s">
        <v>89</v>
      </c>
      <c r="E804" s="434" t="s">
        <v>111</v>
      </c>
      <c r="F804" s="990">
        <v>1.5831091E7</v>
      </c>
      <c r="G804" s="434" t="s">
        <v>51</v>
      </c>
      <c r="H804" s="989" t="s">
        <v>5940</v>
      </c>
      <c r="I804" s="993" t="s">
        <v>5941</v>
      </c>
      <c r="J804" s="987"/>
      <c r="K804" s="436" t="s">
        <v>92</v>
      </c>
      <c r="L804" s="987"/>
      <c r="M804" s="987"/>
      <c r="N804" s="987"/>
      <c r="O804" s="987"/>
      <c r="P804" s="987"/>
      <c r="Q804" s="987"/>
      <c r="R804" s="987"/>
      <c r="S804" s="987"/>
      <c r="T804" s="987"/>
      <c r="U804" s="436" t="s">
        <v>62</v>
      </c>
      <c r="V804" s="995">
        <v>45302.0</v>
      </c>
      <c r="W804" s="987"/>
      <c r="X804" s="987"/>
      <c r="Y804" s="987"/>
      <c r="Z804" s="987"/>
      <c r="AA804" s="986"/>
    </row>
    <row r="805" hidden="1">
      <c r="A805" s="995">
        <v>735.0</v>
      </c>
      <c r="B805" s="991">
        <v>45211.0</v>
      </c>
      <c r="C805" s="989" t="s">
        <v>5825</v>
      </c>
      <c r="D805" s="434" t="s">
        <v>89</v>
      </c>
      <c r="E805" s="434" t="s">
        <v>111</v>
      </c>
      <c r="F805" s="990">
        <v>1.5831092E7</v>
      </c>
      <c r="G805" s="434" t="s">
        <v>51</v>
      </c>
      <c r="H805" s="989" t="s">
        <v>5942</v>
      </c>
      <c r="I805" s="993" t="s">
        <v>5938</v>
      </c>
      <c r="J805" s="987"/>
      <c r="K805" s="436" t="s">
        <v>92</v>
      </c>
      <c r="L805" s="987"/>
      <c r="M805" s="987"/>
      <c r="N805" s="987"/>
      <c r="O805" s="436" t="s">
        <v>62</v>
      </c>
      <c r="P805" s="987"/>
      <c r="Q805" s="987"/>
      <c r="R805" s="987"/>
      <c r="S805" s="987"/>
      <c r="T805" s="987"/>
      <c r="U805" s="436" t="s">
        <v>62</v>
      </c>
      <c r="V805" s="995">
        <v>45377.0</v>
      </c>
      <c r="W805" s="987"/>
      <c r="X805" s="987"/>
      <c r="Y805" s="987"/>
      <c r="Z805" s="987"/>
      <c r="AA805" s="986"/>
    </row>
    <row r="806" hidden="1">
      <c r="A806" s="995">
        <v>736.0</v>
      </c>
      <c r="B806" s="991">
        <v>45212.0</v>
      </c>
      <c r="C806" s="989" t="s">
        <v>5825</v>
      </c>
      <c r="D806" s="434" t="s">
        <v>89</v>
      </c>
      <c r="E806" s="434" t="s">
        <v>111</v>
      </c>
      <c r="F806" s="990">
        <v>1.5831118E7</v>
      </c>
      <c r="G806" s="434" t="s">
        <v>51</v>
      </c>
      <c r="H806" s="989" t="s">
        <v>5943</v>
      </c>
      <c r="I806" s="993" t="s">
        <v>5941</v>
      </c>
      <c r="J806" s="987"/>
      <c r="K806" s="436" t="s">
        <v>92</v>
      </c>
      <c r="L806" s="987"/>
      <c r="M806" s="987"/>
      <c r="N806" s="987"/>
      <c r="O806" s="987"/>
      <c r="P806" s="987"/>
      <c r="Q806" s="987"/>
      <c r="R806" s="987"/>
      <c r="S806" s="987"/>
      <c r="T806" s="987"/>
      <c r="U806" s="436" t="s">
        <v>62</v>
      </c>
      <c r="V806" s="995">
        <v>45302.0</v>
      </c>
      <c r="W806" s="987"/>
      <c r="X806" s="987"/>
      <c r="Y806" s="987"/>
      <c r="Z806" s="987"/>
      <c r="AA806" s="986"/>
    </row>
    <row r="807" hidden="1">
      <c r="A807" s="995">
        <v>737.0</v>
      </c>
      <c r="B807" s="991">
        <v>45212.0</v>
      </c>
      <c r="C807" s="989" t="s">
        <v>1960</v>
      </c>
      <c r="D807" s="434" t="s">
        <v>89</v>
      </c>
      <c r="E807" s="434" t="s">
        <v>111</v>
      </c>
      <c r="F807" s="990">
        <v>1.5831119E7</v>
      </c>
      <c r="G807" s="434" t="s">
        <v>51</v>
      </c>
      <c r="H807" s="989" t="s">
        <v>5170</v>
      </c>
      <c r="I807" s="989" t="s">
        <v>5944</v>
      </c>
      <c r="J807" s="987"/>
      <c r="K807" s="436" t="s">
        <v>92</v>
      </c>
      <c r="L807" s="436" t="s">
        <v>613</v>
      </c>
      <c r="M807" s="436" t="s">
        <v>610</v>
      </c>
      <c r="N807" s="987"/>
      <c r="O807" s="436" t="s">
        <v>62</v>
      </c>
      <c r="P807" s="995">
        <v>45282.0</v>
      </c>
      <c r="Q807" s="987"/>
      <c r="R807" s="987"/>
      <c r="S807" s="987"/>
      <c r="T807" s="987"/>
      <c r="U807" s="436" t="s">
        <v>62</v>
      </c>
      <c r="V807" s="995">
        <v>45343.0</v>
      </c>
      <c r="W807" s="987"/>
      <c r="X807" s="987"/>
      <c r="Y807" s="987"/>
      <c r="Z807" s="987"/>
      <c r="AA807" s="986"/>
    </row>
    <row r="808" hidden="1">
      <c r="A808" s="995">
        <v>738.0</v>
      </c>
      <c r="B808" s="991">
        <v>45218.0</v>
      </c>
      <c r="C808" s="989" t="s">
        <v>5808</v>
      </c>
      <c r="D808" s="434" t="s">
        <v>2021</v>
      </c>
      <c r="E808" s="434" t="s">
        <v>1865</v>
      </c>
      <c r="F808" s="990">
        <v>1.636357E7</v>
      </c>
      <c r="G808" s="434" t="s">
        <v>42</v>
      </c>
      <c r="H808" s="989" t="s">
        <v>5945</v>
      </c>
      <c r="I808" s="989" t="s">
        <v>5946</v>
      </c>
      <c r="J808" s="987"/>
      <c r="K808" s="436" t="s">
        <v>3726</v>
      </c>
      <c r="L808" s="436" t="s">
        <v>5947</v>
      </c>
      <c r="M808" s="436" t="s">
        <v>3728</v>
      </c>
      <c r="N808" s="987"/>
      <c r="O808" s="436" t="s">
        <v>62</v>
      </c>
      <c r="P808" s="995">
        <v>45272.0</v>
      </c>
      <c r="Q808" s="987"/>
      <c r="R808" s="987"/>
      <c r="S808" s="987"/>
      <c r="T808" s="987"/>
      <c r="U808" s="436" t="s">
        <v>62</v>
      </c>
      <c r="V808" s="995">
        <v>45323.0</v>
      </c>
      <c r="W808" s="987"/>
      <c r="X808" s="987"/>
      <c r="Y808" s="987"/>
      <c r="Z808" s="987"/>
      <c r="AA808" s="986"/>
    </row>
    <row r="809" hidden="1">
      <c r="A809" s="995">
        <v>740.0</v>
      </c>
      <c r="B809" s="991">
        <v>45223.0</v>
      </c>
      <c r="C809" s="989" t="s">
        <v>2024</v>
      </c>
      <c r="D809" s="434" t="s">
        <v>885</v>
      </c>
      <c r="E809" s="434" t="s">
        <v>3140</v>
      </c>
      <c r="F809" s="990">
        <v>1.5781477E7</v>
      </c>
      <c r="G809" s="434" t="s">
        <v>32</v>
      </c>
      <c r="H809" s="989" t="s">
        <v>5948</v>
      </c>
      <c r="I809" s="989" t="s">
        <v>5949</v>
      </c>
      <c r="J809" s="987"/>
      <c r="K809" s="436" t="s">
        <v>1244</v>
      </c>
      <c r="L809" s="436" t="s">
        <v>640</v>
      </c>
      <c r="M809" s="436" t="s">
        <v>1234</v>
      </c>
      <c r="N809" s="987"/>
      <c r="O809" s="987"/>
      <c r="P809" s="987"/>
      <c r="Q809" s="987"/>
      <c r="R809" s="987"/>
      <c r="S809" s="987"/>
      <c r="T809" s="987"/>
      <c r="U809" s="987"/>
      <c r="V809" s="987"/>
      <c r="W809" s="987"/>
      <c r="X809" s="987"/>
      <c r="Y809" s="987"/>
      <c r="Z809" s="987"/>
      <c r="AA809" s="986"/>
    </row>
    <row r="810" hidden="1">
      <c r="A810" s="995">
        <v>741.0</v>
      </c>
      <c r="B810" s="991">
        <v>45223.0</v>
      </c>
      <c r="C810" s="989" t="s">
        <v>2024</v>
      </c>
      <c r="D810" s="434" t="s">
        <v>885</v>
      </c>
      <c r="E810" s="434" t="s">
        <v>3140</v>
      </c>
      <c r="F810" s="990">
        <v>1.5781478E7</v>
      </c>
      <c r="G810" s="434" t="s">
        <v>32</v>
      </c>
      <c r="H810" s="989" t="s">
        <v>5950</v>
      </c>
      <c r="I810" s="989" t="s">
        <v>5951</v>
      </c>
      <c r="J810" s="987"/>
      <c r="K810" s="436" t="s">
        <v>1244</v>
      </c>
      <c r="L810" s="436" t="s">
        <v>965</v>
      </c>
      <c r="M810" s="436" t="s">
        <v>610</v>
      </c>
      <c r="N810" s="987"/>
      <c r="O810" s="987"/>
      <c r="P810" s="987"/>
      <c r="Q810" s="987"/>
      <c r="R810" s="987"/>
      <c r="S810" s="987"/>
      <c r="T810" s="987"/>
      <c r="U810" s="987"/>
      <c r="V810" s="987"/>
      <c r="W810" s="987"/>
      <c r="X810" s="987"/>
      <c r="Y810" s="987"/>
      <c r="Z810" s="987"/>
      <c r="AA810" s="986"/>
    </row>
    <row r="811" hidden="1">
      <c r="A811" s="995">
        <v>742.0</v>
      </c>
      <c r="B811" s="991">
        <v>45223.0</v>
      </c>
      <c r="C811" s="989" t="s">
        <v>2024</v>
      </c>
      <c r="D811" s="434" t="s">
        <v>885</v>
      </c>
      <c r="E811" s="434" t="s">
        <v>3140</v>
      </c>
      <c r="F811" s="434" t="s">
        <v>50</v>
      </c>
      <c r="G811" s="434" t="s">
        <v>32</v>
      </c>
      <c r="H811" s="989" t="s">
        <v>5924</v>
      </c>
      <c r="I811" s="989" t="s">
        <v>5952</v>
      </c>
      <c r="J811" s="987"/>
      <c r="K811" s="436" t="s">
        <v>1244</v>
      </c>
      <c r="L811" s="436" t="s">
        <v>812</v>
      </c>
      <c r="M811" s="436" t="s">
        <v>610</v>
      </c>
      <c r="N811" s="987"/>
      <c r="O811" s="987"/>
      <c r="P811" s="987"/>
      <c r="Q811" s="987"/>
      <c r="R811" s="987"/>
      <c r="S811" s="987"/>
      <c r="T811" s="987"/>
      <c r="U811" s="987"/>
      <c r="V811" s="987"/>
      <c r="W811" s="987"/>
      <c r="X811" s="987"/>
      <c r="Y811" s="987"/>
      <c r="Z811" s="987"/>
      <c r="AA811" s="986"/>
    </row>
    <row r="812" hidden="1">
      <c r="A812" s="995">
        <v>743.0</v>
      </c>
      <c r="B812" s="991">
        <v>45223.0</v>
      </c>
      <c r="C812" s="989" t="s">
        <v>2024</v>
      </c>
      <c r="D812" s="434" t="s">
        <v>885</v>
      </c>
      <c r="E812" s="434" t="s">
        <v>3140</v>
      </c>
      <c r="F812" s="434" t="s">
        <v>50</v>
      </c>
      <c r="G812" s="434" t="s">
        <v>32</v>
      </c>
      <c r="H812" s="989" t="s">
        <v>5924</v>
      </c>
      <c r="I812" s="989" t="s">
        <v>5953</v>
      </c>
      <c r="J812" s="987"/>
      <c r="K812" s="436" t="s">
        <v>1244</v>
      </c>
      <c r="L812" s="436" t="s">
        <v>812</v>
      </c>
      <c r="M812" s="436" t="s">
        <v>610</v>
      </c>
      <c r="N812" s="987"/>
      <c r="O812" s="987"/>
      <c r="P812" s="987"/>
      <c r="Q812" s="987"/>
      <c r="R812" s="987"/>
      <c r="S812" s="987"/>
      <c r="T812" s="987"/>
      <c r="U812" s="987"/>
      <c r="V812" s="987"/>
      <c r="W812" s="987"/>
      <c r="X812" s="987"/>
      <c r="Y812" s="987"/>
      <c r="Z812" s="987"/>
      <c r="AA812" s="986"/>
    </row>
    <row r="813" hidden="1">
      <c r="A813" s="995">
        <v>744.0</v>
      </c>
      <c r="B813" s="991">
        <v>45223.0</v>
      </c>
      <c r="C813" s="989" t="s">
        <v>2024</v>
      </c>
      <c r="D813" s="434" t="s">
        <v>885</v>
      </c>
      <c r="E813" s="434" t="s">
        <v>3140</v>
      </c>
      <c r="F813" s="434" t="s">
        <v>50</v>
      </c>
      <c r="G813" s="434" t="s">
        <v>32</v>
      </c>
      <c r="H813" s="989" t="s">
        <v>5924</v>
      </c>
      <c r="I813" s="994"/>
      <c r="J813" s="987"/>
      <c r="K813" s="436" t="s">
        <v>1244</v>
      </c>
      <c r="L813" s="436" t="s">
        <v>812</v>
      </c>
      <c r="M813" s="436" t="s">
        <v>610</v>
      </c>
      <c r="N813" s="987"/>
      <c r="O813" s="987"/>
      <c r="P813" s="987"/>
      <c r="Q813" s="987"/>
      <c r="R813" s="987"/>
      <c r="S813" s="987"/>
      <c r="T813" s="987"/>
      <c r="U813" s="987"/>
      <c r="V813" s="987"/>
      <c r="W813" s="987"/>
      <c r="X813" s="987"/>
      <c r="Y813" s="987"/>
      <c r="Z813" s="987"/>
      <c r="AA813" s="986"/>
    </row>
    <row r="814" hidden="1">
      <c r="A814" s="995">
        <v>745.0</v>
      </c>
      <c r="B814" s="991">
        <v>45223.0</v>
      </c>
      <c r="C814" s="989" t="s">
        <v>2024</v>
      </c>
      <c r="D814" s="434" t="s">
        <v>885</v>
      </c>
      <c r="E814" s="434" t="s">
        <v>3140</v>
      </c>
      <c r="F814" s="434" t="s">
        <v>50</v>
      </c>
      <c r="G814" s="434" t="s">
        <v>32</v>
      </c>
      <c r="H814" s="989" t="s">
        <v>5954</v>
      </c>
      <c r="I814" s="989" t="s">
        <v>5955</v>
      </c>
      <c r="J814" s="987"/>
      <c r="K814" s="436" t="s">
        <v>1244</v>
      </c>
      <c r="L814" s="436" t="s">
        <v>1374</v>
      </c>
      <c r="M814" s="436" t="s">
        <v>1234</v>
      </c>
      <c r="N814" s="987"/>
      <c r="O814" s="987"/>
      <c r="P814" s="987"/>
      <c r="Q814" s="987"/>
      <c r="R814" s="987"/>
      <c r="S814" s="987"/>
      <c r="T814" s="987"/>
      <c r="U814" s="987"/>
      <c r="V814" s="987"/>
      <c r="W814" s="987"/>
      <c r="X814" s="987"/>
      <c r="Y814" s="987"/>
      <c r="Z814" s="987"/>
      <c r="AA814" s="986"/>
    </row>
    <row r="815" hidden="1">
      <c r="A815" s="995">
        <v>746.0</v>
      </c>
      <c r="B815" s="991">
        <v>45224.0</v>
      </c>
      <c r="C815" s="989" t="s">
        <v>5956</v>
      </c>
      <c r="D815" s="434" t="s">
        <v>2600</v>
      </c>
      <c r="E815" s="434" t="s">
        <v>2586</v>
      </c>
      <c r="F815" s="990">
        <v>1.851017E7</v>
      </c>
      <c r="G815" s="434" t="s">
        <v>200</v>
      </c>
      <c r="H815" s="989" t="s">
        <v>5957</v>
      </c>
      <c r="I815" s="989" t="s">
        <v>5958</v>
      </c>
      <c r="J815" s="987"/>
      <c r="K815" s="987"/>
      <c r="L815" s="436" t="s">
        <v>5959</v>
      </c>
      <c r="M815" s="987"/>
      <c r="N815" s="987"/>
      <c r="O815" s="987"/>
      <c r="P815" s="987"/>
      <c r="Q815" s="987"/>
      <c r="R815" s="987"/>
      <c r="S815" s="987"/>
      <c r="T815" s="987"/>
      <c r="U815" s="987"/>
      <c r="V815" s="987"/>
      <c r="W815" s="987"/>
      <c r="X815" s="987"/>
      <c r="Y815" s="987"/>
      <c r="Z815" s="987"/>
      <c r="AA815" s="986"/>
    </row>
    <row r="816" hidden="1">
      <c r="A816" s="995">
        <v>747.0</v>
      </c>
      <c r="B816" s="991">
        <v>45223.0</v>
      </c>
      <c r="C816" s="989" t="s">
        <v>2024</v>
      </c>
      <c r="D816" s="434" t="s">
        <v>1979</v>
      </c>
      <c r="E816" s="434" t="s">
        <v>3140</v>
      </c>
      <c r="F816" s="990">
        <v>1.5781466E7</v>
      </c>
      <c r="G816" s="434" t="s">
        <v>32</v>
      </c>
      <c r="H816" s="989" t="s">
        <v>1401</v>
      </c>
      <c r="I816" s="989" t="s">
        <v>5960</v>
      </c>
      <c r="J816" s="987"/>
      <c r="K816" s="436" t="s">
        <v>1244</v>
      </c>
      <c r="L816" s="436" t="s">
        <v>659</v>
      </c>
      <c r="M816" s="436" t="s">
        <v>610</v>
      </c>
      <c r="N816" s="987"/>
      <c r="O816" s="987"/>
      <c r="P816" s="987"/>
      <c r="Q816" s="987"/>
      <c r="R816" s="987"/>
      <c r="S816" s="987"/>
      <c r="T816" s="987"/>
      <c r="U816" s="987"/>
      <c r="V816" s="987"/>
      <c r="W816" s="987"/>
      <c r="X816" s="987"/>
      <c r="Y816" s="987"/>
      <c r="Z816" s="987"/>
      <c r="AA816" s="986"/>
    </row>
    <row r="817" hidden="1">
      <c r="A817" s="995">
        <v>748.0</v>
      </c>
      <c r="B817" s="991">
        <v>45224.0</v>
      </c>
      <c r="C817" s="989" t="s">
        <v>2024</v>
      </c>
      <c r="D817" s="434" t="s">
        <v>885</v>
      </c>
      <c r="E817" s="434" t="s">
        <v>3140</v>
      </c>
      <c r="F817" s="434" t="s">
        <v>50</v>
      </c>
      <c r="G817" s="434" t="s">
        <v>32</v>
      </c>
      <c r="H817" s="989" t="s">
        <v>5961</v>
      </c>
      <c r="I817" s="989" t="s">
        <v>5962</v>
      </c>
      <c r="J817" s="987"/>
      <c r="K817" s="436" t="s">
        <v>1244</v>
      </c>
      <c r="L817" s="436" t="s">
        <v>1902</v>
      </c>
      <c r="M817" s="436" t="s">
        <v>610</v>
      </c>
      <c r="N817" s="987"/>
      <c r="O817" s="987"/>
      <c r="P817" s="987"/>
      <c r="Q817" s="987"/>
      <c r="R817" s="987"/>
      <c r="S817" s="987"/>
      <c r="T817" s="987"/>
      <c r="U817" s="987"/>
      <c r="V817" s="987"/>
      <c r="W817" s="987"/>
      <c r="X817" s="987"/>
      <c r="Y817" s="987"/>
      <c r="Z817" s="987"/>
      <c r="AA817" s="986"/>
    </row>
    <row r="818" hidden="1">
      <c r="A818" s="995">
        <v>749.0</v>
      </c>
      <c r="B818" s="991">
        <v>45224.0</v>
      </c>
      <c r="C818" s="989" t="s">
        <v>2024</v>
      </c>
      <c r="D818" s="434" t="s">
        <v>885</v>
      </c>
      <c r="E818" s="434" t="s">
        <v>3140</v>
      </c>
      <c r="F818" s="990">
        <v>1.5781476E7</v>
      </c>
      <c r="G818" s="434" t="s">
        <v>32</v>
      </c>
      <c r="H818" s="989" t="s">
        <v>5950</v>
      </c>
      <c r="I818" s="989" t="s">
        <v>5951</v>
      </c>
      <c r="J818" s="987"/>
      <c r="K818" s="436" t="s">
        <v>1244</v>
      </c>
      <c r="L818" s="436" t="s">
        <v>965</v>
      </c>
      <c r="M818" s="436" t="s">
        <v>610</v>
      </c>
      <c r="N818" s="987"/>
      <c r="O818" s="987"/>
      <c r="P818" s="987"/>
      <c r="Q818" s="987"/>
      <c r="R818" s="987"/>
      <c r="S818" s="987"/>
      <c r="T818" s="987"/>
      <c r="U818" s="987"/>
      <c r="V818" s="987"/>
      <c r="W818" s="987"/>
      <c r="X818" s="987"/>
      <c r="Y818" s="987"/>
      <c r="Z818" s="987"/>
      <c r="AA818" s="986"/>
    </row>
    <row r="819" hidden="1">
      <c r="A819" s="995">
        <v>750.0</v>
      </c>
      <c r="B819" s="991">
        <v>45224.0</v>
      </c>
      <c r="C819" s="989" t="s">
        <v>2024</v>
      </c>
      <c r="D819" s="434" t="s">
        <v>885</v>
      </c>
      <c r="E819" s="434" t="s">
        <v>3140</v>
      </c>
      <c r="F819" s="990">
        <v>1.5781472E7</v>
      </c>
      <c r="G819" s="434" t="s">
        <v>32</v>
      </c>
      <c r="H819" s="989" t="s">
        <v>5950</v>
      </c>
      <c r="I819" s="989" t="s">
        <v>5951</v>
      </c>
      <c r="J819" s="987"/>
      <c r="K819" s="436" t="s">
        <v>1244</v>
      </c>
      <c r="L819" s="436" t="s">
        <v>965</v>
      </c>
      <c r="M819" s="436" t="s">
        <v>610</v>
      </c>
      <c r="N819" s="987"/>
      <c r="O819" s="987"/>
      <c r="P819" s="987"/>
      <c r="Q819" s="987"/>
      <c r="R819" s="987"/>
      <c r="S819" s="987"/>
      <c r="T819" s="987"/>
      <c r="U819" s="987"/>
      <c r="V819" s="987"/>
      <c r="W819" s="987"/>
      <c r="X819" s="987"/>
      <c r="Y819" s="987"/>
      <c r="Z819" s="987"/>
      <c r="AA819" s="986"/>
    </row>
    <row r="820" hidden="1">
      <c r="A820" s="995">
        <v>751.0</v>
      </c>
      <c r="B820" s="991">
        <v>45224.0</v>
      </c>
      <c r="C820" s="989" t="s">
        <v>2024</v>
      </c>
      <c r="D820" s="434" t="s">
        <v>885</v>
      </c>
      <c r="E820" s="434" t="s">
        <v>3140</v>
      </c>
      <c r="F820" s="434" t="s">
        <v>50</v>
      </c>
      <c r="G820" s="434" t="s">
        <v>32</v>
      </c>
      <c r="H820" s="989" t="s">
        <v>5963</v>
      </c>
      <c r="I820" s="989" t="s">
        <v>5964</v>
      </c>
      <c r="J820" s="987"/>
      <c r="K820" s="436" t="s">
        <v>1244</v>
      </c>
      <c r="L820" s="436" t="s">
        <v>1356</v>
      </c>
      <c r="M820" s="436" t="s">
        <v>610</v>
      </c>
      <c r="N820" s="987"/>
      <c r="O820" s="987"/>
      <c r="P820" s="987"/>
      <c r="Q820" s="987"/>
      <c r="R820" s="987"/>
      <c r="S820" s="987"/>
      <c r="T820" s="987"/>
      <c r="U820" s="987"/>
      <c r="V820" s="987"/>
      <c r="W820" s="987"/>
      <c r="X820" s="987"/>
      <c r="Y820" s="987"/>
      <c r="Z820" s="987"/>
      <c r="AA820" s="986"/>
    </row>
    <row r="821" hidden="1">
      <c r="A821" s="995">
        <v>752.0</v>
      </c>
      <c r="B821" s="991">
        <v>45225.0</v>
      </c>
      <c r="C821" s="989" t="s">
        <v>829</v>
      </c>
      <c r="D821" s="434" t="s">
        <v>830</v>
      </c>
      <c r="E821" s="434" t="s">
        <v>5965</v>
      </c>
      <c r="F821" s="990">
        <v>1.9190038E7</v>
      </c>
      <c r="G821" s="434" t="s">
        <v>32</v>
      </c>
      <c r="H821" s="989" t="s">
        <v>5966</v>
      </c>
      <c r="I821" s="989" t="s">
        <v>5967</v>
      </c>
      <c r="J821" s="987"/>
      <c r="K821" s="987"/>
      <c r="L821" s="987"/>
      <c r="M821" s="987"/>
      <c r="N821" s="987"/>
      <c r="O821" s="987"/>
      <c r="P821" s="987"/>
      <c r="Q821" s="987"/>
      <c r="R821" s="987"/>
      <c r="S821" s="987"/>
      <c r="T821" s="987"/>
      <c r="U821" s="436" t="s">
        <v>62</v>
      </c>
      <c r="V821" s="995">
        <v>45240.0</v>
      </c>
      <c r="W821" s="987"/>
      <c r="X821" s="987"/>
      <c r="Y821" s="987"/>
      <c r="Z821" s="987"/>
      <c r="AA821" s="986"/>
    </row>
    <row r="822" hidden="1">
      <c r="A822" s="995">
        <v>753.0</v>
      </c>
      <c r="B822" s="991">
        <v>45225.0</v>
      </c>
      <c r="C822" s="989" t="s">
        <v>2024</v>
      </c>
      <c r="D822" s="434" t="s">
        <v>885</v>
      </c>
      <c r="E822" s="434" t="s">
        <v>3140</v>
      </c>
      <c r="F822" s="990">
        <v>1.5781473E7</v>
      </c>
      <c r="G822" s="434" t="s">
        <v>32</v>
      </c>
      <c r="H822" s="989" t="s">
        <v>5968</v>
      </c>
      <c r="I822" s="989" t="s">
        <v>5969</v>
      </c>
      <c r="J822" s="987"/>
      <c r="K822" s="436" t="s">
        <v>1244</v>
      </c>
      <c r="L822" s="436" t="s">
        <v>812</v>
      </c>
      <c r="M822" s="436" t="s">
        <v>610</v>
      </c>
      <c r="N822" s="987"/>
      <c r="O822" s="987"/>
      <c r="P822" s="987"/>
      <c r="Q822" s="987"/>
      <c r="R822" s="987"/>
      <c r="S822" s="987"/>
      <c r="T822" s="987"/>
      <c r="U822" s="987"/>
      <c r="V822" s="987"/>
      <c r="W822" s="987"/>
      <c r="X822" s="987"/>
      <c r="Y822" s="987"/>
      <c r="Z822" s="987"/>
      <c r="AA822" s="986"/>
    </row>
    <row r="823" hidden="1">
      <c r="A823" s="995">
        <v>754.0</v>
      </c>
      <c r="B823" s="991">
        <v>45225.0</v>
      </c>
      <c r="C823" s="989" t="s">
        <v>2024</v>
      </c>
      <c r="D823" s="434" t="s">
        <v>885</v>
      </c>
      <c r="E823" s="434" t="s">
        <v>3140</v>
      </c>
      <c r="F823" s="990">
        <v>1.5781479E7</v>
      </c>
      <c r="G823" s="434" t="s">
        <v>32</v>
      </c>
      <c r="H823" s="989" t="s">
        <v>5963</v>
      </c>
      <c r="I823" s="989" t="s">
        <v>5970</v>
      </c>
      <c r="J823" s="987"/>
      <c r="K823" s="436" t="s">
        <v>1244</v>
      </c>
      <c r="L823" s="436" t="s">
        <v>812</v>
      </c>
      <c r="M823" s="436" t="s">
        <v>610</v>
      </c>
      <c r="N823" s="987"/>
      <c r="O823" s="987"/>
      <c r="P823" s="987"/>
      <c r="Q823" s="987"/>
      <c r="R823" s="987"/>
      <c r="S823" s="987"/>
      <c r="T823" s="987"/>
      <c r="U823" s="987"/>
      <c r="V823" s="987"/>
      <c r="W823" s="987"/>
      <c r="X823" s="987"/>
      <c r="Y823" s="987"/>
      <c r="Z823" s="987"/>
      <c r="AA823" s="986"/>
    </row>
    <row r="824" hidden="1">
      <c r="A824" s="995">
        <v>755.0</v>
      </c>
      <c r="B824" s="991">
        <v>45225.0</v>
      </c>
      <c r="C824" s="989" t="s">
        <v>2024</v>
      </c>
      <c r="D824" s="434" t="s">
        <v>885</v>
      </c>
      <c r="E824" s="434" t="s">
        <v>3140</v>
      </c>
      <c r="F824" s="990">
        <v>1.5781474E7</v>
      </c>
      <c r="G824" s="434" t="s">
        <v>32</v>
      </c>
      <c r="H824" s="989" t="s">
        <v>5968</v>
      </c>
      <c r="I824" s="989" t="s">
        <v>5969</v>
      </c>
      <c r="J824" s="987"/>
      <c r="K824" s="436" t="s">
        <v>1244</v>
      </c>
      <c r="L824" s="987"/>
      <c r="M824" s="987"/>
      <c r="N824" s="987"/>
      <c r="O824" s="987"/>
      <c r="P824" s="987"/>
      <c r="Q824" s="987"/>
      <c r="R824" s="987"/>
      <c r="S824" s="987"/>
      <c r="T824" s="987"/>
      <c r="U824" s="987"/>
      <c r="V824" s="987"/>
      <c r="W824" s="987"/>
      <c r="X824" s="987"/>
      <c r="Y824" s="987"/>
      <c r="Z824" s="987"/>
      <c r="AA824" s="986"/>
    </row>
    <row r="825" hidden="1">
      <c r="A825" s="995">
        <v>756.0</v>
      </c>
      <c r="B825" s="991">
        <v>45225.0</v>
      </c>
      <c r="C825" s="989" t="s">
        <v>2024</v>
      </c>
      <c r="D825" s="434" t="s">
        <v>885</v>
      </c>
      <c r="E825" s="434" t="s">
        <v>3140</v>
      </c>
      <c r="F825" s="434" t="s">
        <v>50</v>
      </c>
      <c r="G825" s="434" t="s">
        <v>32</v>
      </c>
      <c r="H825" s="989" t="s">
        <v>5971</v>
      </c>
      <c r="I825" s="989" t="s">
        <v>5972</v>
      </c>
      <c r="J825" s="987"/>
      <c r="K825" s="436" t="s">
        <v>1244</v>
      </c>
      <c r="L825" s="987"/>
      <c r="M825" s="987"/>
      <c r="N825" s="987"/>
      <c r="O825" s="987"/>
      <c r="P825" s="987"/>
      <c r="Q825" s="987"/>
      <c r="R825" s="987"/>
      <c r="S825" s="987"/>
      <c r="T825" s="987"/>
      <c r="U825" s="987"/>
      <c r="V825" s="987"/>
      <c r="W825" s="987"/>
      <c r="X825" s="987"/>
      <c r="Y825" s="987"/>
      <c r="Z825" s="987"/>
      <c r="AA825" s="986"/>
    </row>
    <row r="826" hidden="1">
      <c r="A826" s="995">
        <v>757.0</v>
      </c>
      <c r="B826" s="991">
        <v>45225.0</v>
      </c>
      <c r="C826" s="989" t="s">
        <v>2024</v>
      </c>
      <c r="D826" s="434" t="s">
        <v>885</v>
      </c>
      <c r="E826" s="434" t="s">
        <v>3140</v>
      </c>
      <c r="F826" s="990">
        <v>1.5122365E7</v>
      </c>
      <c r="G826" s="434" t="s">
        <v>32</v>
      </c>
      <c r="H826" s="989" t="s">
        <v>5968</v>
      </c>
      <c r="I826" s="989" t="s">
        <v>5973</v>
      </c>
      <c r="J826" s="987"/>
      <c r="K826" s="436" t="s">
        <v>1244</v>
      </c>
      <c r="L826" s="436" t="s">
        <v>812</v>
      </c>
      <c r="M826" s="436" t="s">
        <v>610</v>
      </c>
      <c r="N826" s="987"/>
      <c r="O826" s="436" t="s">
        <v>62</v>
      </c>
      <c r="P826" s="995">
        <v>45271.0</v>
      </c>
      <c r="Q826" s="987"/>
      <c r="R826" s="987"/>
      <c r="S826" s="987"/>
      <c r="T826" s="987"/>
      <c r="U826" s="987"/>
      <c r="V826" s="987"/>
      <c r="W826" s="987"/>
      <c r="X826" s="987"/>
      <c r="Y826" s="987"/>
      <c r="Z826" s="987"/>
      <c r="AA826" s="986"/>
    </row>
    <row r="827" hidden="1">
      <c r="A827" s="995">
        <v>759.0</v>
      </c>
      <c r="B827" s="991">
        <v>45226.0</v>
      </c>
      <c r="C827" s="989" t="s">
        <v>2024</v>
      </c>
      <c r="D827" s="434" t="s">
        <v>885</v>
      </c>
      <c r="E827" s="434" t="s">
        <v>3140</v>
      </c>
      <c r="F827" s="990">
        <v>1.5781528E7</v>
      </c>
      <c r="G827" s="434" t="s">
        <v>32</v>
      </c>
      <c r="H827" s="989" t="s">
        <v>5974</v>
      </c>
      <c r="I827" s="989" t="s">
        <v>5975</v>
      </c>
      <c r="J827" s="987"/>
      <c r="K827" s="436" t="s">
        <v>1244</v>
      </c>
      <c r="L827" s="436" t="s">
        <v>5976</v>
      </c>
      <c r="M827" s="984" t="s">
        <v>5977</v>
      </c>
      <c r="N827" s="987"/>
      <c r="O827" s="987"/>
      <c r="P827" s="987"/>
      <c r="Q827" s="987"/>
      <c r="R827" s="987"/>
      <c r="S827" s="987"/>
      <c r="T827" s="987"/>
      <c r="U827" s="436" t="s">
        <v>62</v>
      </c>
      <c r="V827" s="995">
        <v>45344.0</v>
      </c>
      <c r="W827" s="987"/>
      <c r="X827" s="987"/>
      <c r="Y827" s="987"/>
      <c r="Z827" s="987"/>
      <c r="AA827" s="986"/>
    </row>
    <row r="828" hidden="1">
      <c r="A828" s="995">
        <v>761.0</v>
      </c>
      <c r="B828" s="991">
        <v>45226.0</v>
      </c>
      <c r="C828" s="989" t="s">
        <v>2024</v>
      </c>
      <c r="D828" s="434" t="s">
        <v>885</v>
      </c>
      <c r="E828" s="434" t="s">
        <v>3140</v>
      </c>
      <c r="F828" s="990">
        <v>1.5122364E7</v>
      </c>
      <c r="G828" s="434" t="s">
        <v>32</v>
      </c>
      <c r="H828" s="989" t="s">
        <v>5950</v>
      </c>
      <c r="I828" s="989" t="s">
        <v>5978</v>
      </c>
      <c r="J828" s="987"/>
      <c r="K828" s="436" t="s">
        <v>1244</v>
      </c>
      <c r="L828" s="436" t="s">
        <v>965</v>
      </c>
      <c r="M828" s="436" t="s">
        <v>610</v>
      </c>
      <c r="N828" s="987"/>
      <c r="O828" s="436" t="s">
        <v>62</v>
      </c>
      <c r="P828" s="995">
        <v>45275.0</v>
      </c>
      <c r="Q828" s="987"/>
      <c r="R828" s="987"/>
      <c r="S828" s="987"/>
      <c r="T828" s="987"/>
      <c r="U828" s="987"/>
      <c r="V828" s="987"/>
      <c r="W828" s="987"/>
      <c r="X828" s="987"/>
      <c r="Y828" s="987"/>
      <c r="Z828" s="987"/>
      <c r="AA828" s="986"/>
    </row>
    <row r="829" hidden="1">
      <c r="A829" s="995">
        <v>762.0</v>
      </c>
      <c r="B829" s="991">
        <v>45226.0</v>
      </c>
      <c r="C829" s="989" t="s">
        <v>2024</v>
      </c>
      <c r="D829" s="434" t="s">
        <v>885</v>
      </c>
      <c r="E829" s="434" t="s">
        <v>3140</v>
      </c>
      <c r="F829" s="990">
        <v>1.5122363E7</v>
      </c>
      <c r="G829" s="434" t="s">
        <v>32</v>
      </c>
      <c r="H829" s="989" t="s">
        <v>5979</v>
      </c>
      <c r="I829" s="989" t="s">
        <v>5980</v>
      </c>
      <c r="J829" s="987"/>
      <c r="K829" s="436" t="s">
        <v>1244</v>
      </c>
      <c r="L829" s="436" t="s">
        <v>1557</v>
      </c>
      <c r="M829" s="436" t="s">
        <v>610</v>
      </c>
      <c r="N829" s="987"/>
      <c r="O829" s="436" t="s">
        <v>62</v>
      </c>
      <c r="P829" s="995">
        <v>45275.0</v>
      </c>
      <c r="Q829" s="987"/>
      <c r="R829" s="987"/>
      <c r="S829" s="987"/>
      <c r="T829" s="987"/>
      <c r="U829" s="987"/>
      <c r="V829" s="987"/>
      <c r="W829" s="987"/>
      <c r="X829" s="987"/>
      <c r="Y829" s="987"/>
      <c r="Z829" s="987"/>
      <c r="AA829" s="986"/>
    </row>
    <row r="830" hidden="1">
      <c r="A830" s="995">
        <v>763.0</v>
      </c>
      <c r="B830" s="991">
        <v>45226.0</v>
      </c>
      <c r="C830" s="989" t="s">
        <v>5981</v>
      </c>
      <c r="D830" s="434" t="s">
        <v>885</v>
      </c>
      <c r="E830" s="434" t="s">
        <v>3140</v>
      </c>
      <c r="F830" s="990">
        <v>1.5781519E7</v>
      </c>
      <c r="G830" s="434" t="s">
        <v>32</v>
      </c>
      <c r="H830" s="989" t="s">
        <v>5982</v>
      </c>
      <c r="I830" s="989" t="s">
        <v>5983</v>
      </c>
      <c r="J830" s="987"/>
      <c r="K830" s="436" t="s">
        <v>1244</v>
      </c>
      <c r="L830" s="436" t="s">
        <v>1297</v>
      </c>
      <c r="M830" s="436" t="s">
        <v>610</v>
      </c>
      <c r="N830" s="987"/>
      <c r="O830" s="987"/>
      <c r="P830" s="987"/>
      <c r="Q830" s="987"/>
      <c r="R830" s="987"/>
      <c r="S830" s="987"/>
      <c r="T830" s="987"/>
      <c r="U830" s="987"/>
      <c r="V830" s="987"/>
      <c r="W830" s="987"/>
      <c r="X830" s="987"/>
      <c r="Y830" s="987"/>
      <c r="Z830" s="987"/>
      <c r="AA830" s="986"/>
    </row>
    <row r="831" hidden="1">
      <c r="A831" s="995">
        <v>764.0</v>
      </c>
      <c r="B831" s="991">
        <v>45226.0</v>
      </c>
      <c r="C831" s="989" t="s">
        <v>2024</v>
      </c>
      <c r="D831" s="434" t="s">
        <v>885</v>
      </c>
      <c r="E831" s="434" t="s">
        <v>3140</v>
      </c>
      <c r="F831" s="990">
        <v>1.5781522E7</v>
      </c>
      <c r="G831" s="434" t="s">
        <v>32</v>
      </c>
      <c r="H831" s="989" t="s">
        <v>5963</v>
      </c>
      <c r="I831" s="989" t="s">
        <v>5984</v>
      </c>
      <c r="J831" s="987"/>
      <c r="K831" s="436" t="s">
        <v>1244</v>
      </c>
      <c r="L831" s="436" t="s">
        <v>1356</v>
      </c>
      <c r="M831" s="436" t="s">
        <v>610</v>
      </c>
      <c r="N831" s="987"/>
      <c r="O831" s="987"/>
      <c r="P831" s="987"/>
      <c r="Q831" s="987"/>
      <c r="R831" s="987"/>
      <c r="S831" s="987"/>
      <c r="T831" s="987"/>
      <c r="U831" s="436" t="s">
        <v>62</v>
      </c>
      <c r="V831" s="995">
        <v>45344.0</v>
      </c>
      <c r="W831" s="987"/>
      <c r="X831" s="987"/>
      <c r="Y831" s="987"/>
      <c r="Z831" s="987"/>
      <c r="AA831" s="986"/>
    </row>
    <row r="832" hidden="1">
      <c r="A832" s="995">
        <v>765.0</v>
      </c>
      <c r="B832" s="991">
        <v>45226.0</v>
      </c>
      <c r="C832" s="989" t="s">
        <v>2024</v>
      </c>
      <c r="D832" s="434" t="s">
        <v>885</v>
      </c>
      <c r="E832" s="434" t="s">
        <v>3140</v>
      </c>
      <c r="F832" s="990">
        <v>1.5781521E7</v>
      </c>
      <c r="G832" s="434" t="s">
        <v>32</v>
      </c>
      <c r="H832" s="989" t="s">
        <v>5985</v>
      </c>
      <c r="I832" s="989" t="s">
        <v>5986</v>
      </c>
      <c r="J832" s="987"/>
      <c r="K832" s="436" t="s">
        <v>1244</v>
      </c>
      <c r="L832" s="436" t="s">
        <v>5987</v>
      </c>
      <c r="M832" s="436" t="s">
        <v>610</v>
      </c>
      <c r="N832" s="987"/>
      <c r="O832" s="987"/>
      <c r="P832" s="987"/>
      <c r="Q832" s="987"/>
      <c r="R832" s="987"/>
      <c r="S832" s="987"/>
      <c r="T832" s="987"/>
      <c r="U832" s="436" t="s">
        <v>62</v>
      </c>
      <c r="V832" s="995">
        <v>45344.0</v>
      </c>
      <c r="W832" s="987"/>
      <c r="X832" s="987"/>
      <c r="Y832" s="987"/>
      <c r="Z832" s="987"/>
      <c r="AA832" s="986"/>
    </row>
    <row r="833" hidden="1">
      <c r="A833" s="995">
        <v>766.0</v>
      </c>
      <c r="B833" s="991">
        <v>45226.0</v>
      </c>
      <c r="C833" s="989" t="s">
        <v>2024</v>
      </c>
      <c r="D833" s="434" t="s">
        <v>885</v>
      </c>
      <c r="E833" s="434" t="s">
        <v>3140</v>
      </c>
      <c r="F833" s="990">
        <v>1.5781525E7</v>
      </c>
      <c r="G833" s="434" t="s">
        <v>32</v>
      </c>
      <c r="H833" s="989" t="s">
        <v>5988</v>
      </c>
      <c r="I833" s="989" t="s">
        <v>5989</v>
      </c>
      <c r="J833" s="987"/>
      <c r="K833" s="436" t="s">
        <v>1244</v>
      </c>
      <c r="L833" s="436" t="s">
        <v>5990</v>
      </c>
      <c r="M833" s="436" t="s">
        <v>610</v>
      </c>
      <c r="N833" s="987"/>
      <c r="O833" s="987"/>
      <c r="P833" s="987"/>
      <c r="Q833" s="987"/>
      <c r="R833" s="987"/>
      <c r="S833" s="987"/>
      <c r="T833" s="987"/>
      <c r="U833" s="436" t="s">
        <v>62</v>
      </c>
      <c r="V833" s="995">
        <v>45344.0</v>
      </c>
      <c r="W833" s="987"/>
      <c r="X833" s="987"/>
      <c r="Y833" s="987"/>
      <c r="Z833" s="987"/>
      <c r="AA833" s="986"/>
    </row>
    <row r="834" hidden="1">
      <c r="A834" s="995">
        <v>767.0</v>
      </c>
      <c r="B834" s="991">
        <v>45226.0</v>
      </c>
      <c r="C834" s="989" t="s">
        <v>2024</v>
      </c>
      <c r="D834" s="434" t="s">
        <v>885</v>
      </c>
      <c r="E834" s="434" t="s">
        <v>3140</v>
      </c>
      <c r="F834" s="990">
        <v>1.5781524E7</v>
      </c>
      <c r="G834" s="434" t="s">
        <v>32</v>
      </c>
      <c r="H834" s="989" t="s">
        <v>5954</v>
      </c>
      <c r="I834" s="989" t="s">
        <v>5991</v>
      </c>
      <c r="J834" s="987"/>
      <c r="K834" s="436" t="s">
        <v>1244</v>
      </c>
      <c r="L834" s="436" t="s">
        <v>1374</v>
      </c>
      <c r="M834" s="436" t="s">
        <v>1234</v>
      </c>
      <c r="N834" s="987"/>
      <c r="O834" s="987"/>
      <c r="P834" s="987"/>
      <c r="Q834" s="987"/>
      <c r="R834" s="987"/>
      <c r="S834" s="987"/>
      <c r="T834" s="987"/>
      <c r="U834" s="436" t="s">
        <v>62</v>
      </c>
      <c r="V834" s="995">
        <v>45344.0</v>
      </c>
      <c r="W834" s="987"/>
      <c r="X834" s="987"/>
      <c r="Y834" s="987"/>
      <c r="Z834" s="987"/>
      <c r="AA834" s="986"/>
    </row>
    <row r="835" hidden="1">
      <c r="A835" s="995">
        <v>768.0</v>
      </c>
      <c r="B835" s="991">
        <v>45226.0</v>
      </c>
      <c r="C835" s="989" t="s">
        <v>2024</v>
      </c>
      <c r="D835" s="434" t="s">
        <v>885</v>
      </c>
      <c r="E835" s="434" t="s">
        <v>3140</v>
      </c>
      <c r="F835" s="990">
        <v>1.5781523E7</v>
      </c>
      <c r="G835" s="434" t="s">
        <v>32</v>
      </c>
      <c r="H835" s="989" t="s">
        <v>5950</v>
      </c>
      <c r="I835" s="989" t="s">
        <v>5992</v>
      </c>
      <c r="J835" s="987"/>
      <c r="K835" s="436" t="s">
        <v>1244</v>
      </c>
      <c r="L835" s="436" t="s">
        <v>965</v>
      </c>
      <c r="M835" s="436" t="s">
        <v>610</v>
      </c>
      <c r="N835" s="987"/>
      <c r="O835" s="987"/>
      <c r="P835" s="987"/>
      <c r="Q835" s="987"/>
      <c r="R835" s="987"/>
      <c r="S835" s="987"/>
      <c r="T835" s="987"/>
      <c r="U835" s="436" t="s">
        <v>62</v>
      </c>
      <c r="V835" s="995">
        <v>45344.0</v>
      </c>
      <c r="W835" s="987"/>
      <c r="X835" s="987"/>
      <c r="Y835" s="987"/>
      <c r="Z835" s="987"/>
      <c r="AA835" s="986"/>
    </row>
    <row r="836" hidden="1">
      <c r="A836" s="995">
        <v>769.0</v>
      </c>
      <c r="B836" s="991">
        <v>45226.0</v>
      </c>
      <c r="C836" s="989" t="s">
        <v>2024</v>
      </c>
      <c r="D836" s="434" t="s">
        <v>885</v>
      </c>
      <c r="E836" s="434" t="s">
        <v>3140</v>
      </c>
      <c r="F836" s="434" t="s">
        <v>50</v>
      </c>
      <c r="G836" s="434" t="s">
        <v>32</v>
      </c>
      <c r="H836" s="989" t="s">
        <v>5993</v>
      </c>
      <c r="I836" s="989" t="s">
        <v>5994</v>
      </c>
      <c r="J836" s="987"/>
      <c r="K836" s="436" t="s">
        <v>1244</v>
      </c>
      <c r="L836" s="436" t="s">
        <v>5995</v>
      </c>
      <c r="M836" s="436" t="s">
        <v>610</v>
      </c>
      <c r="N836" s="987"/>
      <c r="O836" s="987"/>
      <c r="P836" s="987"/>
      <c r="Q836" s="987"/>
      <c r="R836" s="987"/>
      <c r="S836" s="987"/>
      <c r="T836" s="987"/>
      <c r="U836" s="987"/>
      <c r="V836" s="987"/>
      <c r="W836" s="987"/>
      <c r="X836" s="987"/>
      <c r="Y836" s="987"/>
      <c r="Z836" s="987"/>
      <c r="AA836" s="986"/>
    </row>
    <row r="837" hidden="1">
      <c r="A837" s="995">
        <v>771.0</v>
      </c>
      <c r="B837" s="988">
        <v>45236.0</v>
      </c>
      <c r="C837" s="989" t="s">
        <v>2929</v>
      </c>
      <c r="D837" s="434" t="s">
        <v>1312</v>
      </c>
      <c r="E837" s="434" t="s">
        <v>281</v>
      </c>
      <c r="F837" s="990">
        <v>1.3780623E7</v>
      </c>
      <c r="G837" s="434" t="s">
        <v>32</v>
      </c>
      <c r="H837" s="989" t="s">
        <v>5996</v>
      </c>
      <c r="I837" s="989" t="s">
        <v>5997</v>
      </c>
      <c r="J837" s="987"/>
      <c r="K837" s="436" t="s">
        <v>2932</v>
      </c>
      <c r="L837" s="436" t="s">
        <v>5998</v>
      </c>
      <c r="M837" s="436" t="s">
        <v>2852</v>
      </c>
      <c r="N837" s="987"/>
      <c r="O837" s="436" t="s">
        <v>62</v>
      </c>
      <c r="P837" s="995">
        <v>45238.0</v>
      </c>
      <c r="Q837" s="987"/>
      <c r="R837" s="987"/>
      <c r="S837" s="987"/>
      <c r="T837" s="987"/>
      <c r="U837" s="987"/>
      <c r="V837" s="987"/>
      <c r="W837" s="987"/>
      <c r="X837" s="987"/>
      <c r="Y837" s="987"/>
      <c r="Z837" s="987"/>
      <c r="AA837" s="986"/>
    </row>
    <row r="838" hidden="1">
      <c r="A838" s="995">
        <v>772.0</v>
      </c>
      <c r="B838" s="988">
        <v>45236.0</v>
      </c>
      <c r="C838" s="989" t="s">
        <v>2929</v>
      </c>
      <c r="D838" s="434" t="s">
        <v>1312</v>
      </c>
      <c r="E838" s="434" t="s">
        <v>281</v>
      </c>
      <c r="F838" s="990">
        <v>1.3780624E7</v>
      </c>
      <c r="G838" s="434" t="s">
        <v>32</v>
      </c>
      <c r="H838" s="989" t="s">
        <v>5999</v>
      </c>
      <c r="I838" s="989" t="s">
        <v>6000</v>
      </c>
      <c r="J838" s="987"/>
      <c r="K838" s="436" t="s">
        <v>2932</v>
      </c>
      <c r="L838" s="436" t="s">
        <v>6001</v>
      </c>
      <c r="M838" s="436" t="s">
        <v>2852</v>
      </c>
      <c r="N838" s="987"/>
      <c r="O838" s="436" t="s">
        <v>62</v>
      </c>
      <c r="P838" s="995">
        <v>45238.0</v>
      </c>
      <c r="Q838" s="987"/>
      <c r="R838" s="987"/>
      <c r="S838" s="987"/>
      <c r="T838" s="987"/>
      <c r="U838" s="987"/>
      <c r="V838" s="987"/>
      <c r="W838" s="987"/>
      <c r="X838" s="987"/>
      <c r="Y838" s="987"/>
      <c r="Z838" s="987"/>
      <c r="AA838" s="986"/>
    </row>
    <row r="839" hidden="1">
      <c r="A839" s="995">
        <v>773.0</v>
      </c>
      <c r="B839" s="988">
        <v>45236.0</v>
      </c>
      <c r="C839" s="989" t="s">
        <v>2929</v>
      </c>
      <c r="D839" s="434" t="s">
        <v>1312</v>
      </c>
      <c r="E839" s="434" t="s">
        <v>281</v>
      </c>
      <c r="F839" s="990">
        <v>1.3780625E7</v>
      </c>
      <c r="G839" s="434" t="s">
        <v>32</v>
      </c>
      <c r="H839" s="989" t="s">
        <v>5999</v>
      </c>
      <c r="I839" s="989" t="s">
        <v>6000</v>
      </c>
      <c r="J839" s="987"/>
      <c r="K839" s="436" t="s">
        <v>2932</v>
      </c>
      <c r="L839" s="436" t="s">
        <v>6001</v>
      </c>
      <c r="M839" s="436" t="s">
        <v>2852</v>
      </c>
      <c r="N839" s="987"/>
      <c r="O839" s="436" t="s">
        <v>62</v>
      </c>
      <c r="P839" s="995">
        <v>45238.0</v>
      </c>
      <c r="Q839" s="987"/>
      <c r="R839" s="987"/>
      <c r="S839" s="987"/>
      <c r="T839" s="987"/>
      <c r="U839" s="987"/>
      <c r="V839" s="987"/>
      <c r="W839" s="987"/>
      <c r="X839" s="987"/>
      <c r="Y839" s="987"/>
      <c r="Z839" s="987"/>
      <c r="AA839" s="986"/>
    </row>
    <row r="840" hidden="1">
      <c r="A840" s="995">
        <v>774.0</v>
      </c>
      <c r="B840" s="988">
        <v>45236.0</v>
      </c>
      <c r="C840" s="989" t="s">
        <v>2929</v>
      </c>
      <c r="D840" s="434" t="s">
        <v>1312</v>
      </c>
      <c r="E840" s="434" t="s">
        <v>281</v>
      </c>
      <c r="F840" s="434" t="s">
        <v>3932</v>
      </c>
      <c r="G840" s="434" t="s">
        <v>32</v>
      </c>
      <c r="H840" s="989" t="s">
        <v>5999</v>
      </c>
      <c r="I840" s="989" t="s">
        <v>6002</v>
      </c>
      <c r="J840" s="987"/>
      <c r="K840" s="436" t="s">
        <v>2932</v>
      </c>
      <c r="L840" s="436" t="s">
        <v>6001</v>
      </c>
      <c r="M840" s="436" t="s">
        <v>2852</v>
      </c>
      <c r="N840" s="987"/>
      <c r="O840" s="987"/>
      <c r="P840" s="987"/>
      <c r="Q840" s="987"/>
      <c r="R840" s="987"/>
      <c r="S840" s="987"/>
      <c r="T840" s="987"/>
      <c r="U840" s="987"/>
      <c r="V840" s="987"/>
      <c r="W840" s="987"/>
      <c r="X840" s="987"/>
      <c r="Y840" s="987"/>
      <c r="Z840" s="987"/>
      <c r="AA840" s="986"/>
    </row>
    <row r="841" hidden="1">
      <c r="A841" s="995">
        <v>775.0</v>
      </c>
      <c r="B841" s="988">
        <v>45236.0</v>
      </c>
      <c r="C841" s="989" t="s">
        <v>2929</v>
      </c>
      <c r="D841" s="434" t="s">
        <v>1312</v>
      </c>
      <c r="E841" s="434" t="s">
        <v>281</v>
      </c>
      <c r="F841" s="434" t="s">
        <v>4067</v>
      </c>
      <c r="G841" s="434" t="s">
        <v>32</v>
      </c>
      <c r="H841" s="989" t="s">
        <v>5999</v>
      </c>
      <c r="I841" s="989" t="s">
        <v>6002</v>
      </c>
      <c r="J841" s="987"/>
      <c r="K841" s="436" t="s">
        <v>2932</v>
      </c>
      <c r="L841" s="436" t="s">
        <v>6001</v>
      </c>
      <c r="M841" s="436" t="s">
        <v>2852</v>
      </c>
      <c r="N841" s="987"/>
      <c r="O841" s="987"/>
      <c r="P841" s="987"/>
      <c r="Q841" s="987"/>
      <c r="R841" s="987"/>
      <c r="S841" s="987"/>
      <c r="T841" s="987"/>
      <c r="U841" s="987"/>
      <c r="V841" s="987"/>
      <c r="W841" s="987"/>
      <c r="X841" s="987"/>
      <c r="Y841" s="987"/>
      <c r="Z841" s="987"/>
      <c r="AA841" s="986"/>
    </row>
    <row r="842" hidden="1">
      <c r="A842" s="995">
        <v>776.0</v>
      </c>
      <c r="B842" s="988">
        <v>45236.0</v>
      </c>
      <c r="C842" s="989" t="s">
        <v>2929</v>
      </c>
      <c r="D842" s="434" t="s">
        <v>1312</v>
      </c>
      <c r="E842" s="434" t="s">
        <v>281</v>
      </c>
      <c r="F842" s="434" t="s">
        <v>4472</v>
      </c>
      <c r="G842" s="434" t="s">
        <v>32</v>
      </c>
      <c r="H842" s="989" t="s">
        <v>5996</v>
      </c>
      <c r="I842" s="989" t="s">
        <v>6003</v>
      </c>
      <c r="J842" s="987"/>
      <c r="K842" s="436" t="s">
        <v>2932</v>
      </c>
      <c r="L842" s="436" t="s">
        <v>5998</v>
      </c>
      <c r="M842" s="436" t="s">
        <v>2852</v>
      </c>
      <c r="N842" s="987"/>
      <c r="O842" s="987"/>
      <c r="P842" s="987"/>
      <c r="Q842" s="987"/>
      <c r="R842" s="987"/>
      <c r="S842" s="987"/>
      <c r="T842" s="987"/>
      <c r="U842" s="987"/>
      <c r="V842" s="987"/>
      <c r="W842" s="987"/>
      <c r="X842" s="987"/>
      <c r="Y842" s="987"/>
      <c r="Z842" s="987"/>
      <c r="AA842" s="986"/>
    </row>
    <row r="843" hidden="1">
      <c r="A843" s="995">
        <v>777.0</v>
      </c>
      <c r="B843" s="991">
        <v>45240.0</v>
      </c>
      <c r="C843" s="989" t="s">
        <v>5863</v>
      </c>
      <c r="D843" s="434" t="s">
        <v>1386</v>
      </c>
      <c r="E843" s="434" t="s">
        <v>281</v>
      </c>
      <c r="F843" s="990">
        <v>1.5800281E7</v>
      </c>
      <c r="G843" s="434" t="s">
        <v>32</v>
      </c>
      <c r="H843" s="989" t="s">
        <v>6004</v>
      </c>
      <c r="I843" s="989" t="s">
        <v>6005</v>
      </c>
      <c r="J843" s="987"/>
      <c r="K843" s="436" t="s">
        <v>1999</v>
      </c>
      <c r="L843" s="436" t="s">
        <v>6006</v>
      </c>
      <c r="M843" s="436" t="s">
        <v>2852</v>
      </c>
      <c r="N843" s="987"/>
      <c r="O843" s="436" t="s">
        <v>62</v>
      </c>
      <c r="P843" s="995">
        <v>45240.0</v>
      </c>
      <c r="Q843" s="987"/>
      <c r="R843" s="987"/>
      <c r="S843" s="987"/>
      <c r="T843" s="987"/>
      <c r="U843" s="436" t="s">
        <v>62</v>
      </c>
      <c r="V843" s="995">
        <v>45261.0</v>
      </c>
      <c r="W843" s="987"/>
      <c r="X843" s="987"/>
      <c r="Y843" s="987"/>
      <c r="Z843" s="987"/>
      <c r="AA843" s="986"/>
    </row>
    <row r="844" hidden="1">
      <c r="A844" s="995">
        <v>778.0</v>
      </c>
      <c r="B844" s="991">
        <v>45240.0</v>
      </c>
      <c r="C844" s="989" t="s">
        <v>5863</v>
      </c>
      <c r="D844" s="434" t="s">
        <v>1386</v>
      </c>
      <c r="E844" s="434" t="s">
        <v>281</v>
      </c>
      <c r="F844" s="990">
        <v>1.5800282E7</v>
      </c>
      <c r="G844" s="434" t="s">
        <v>32</v>
      </c>
      <c r="H844" s="989" t="s">
        <v>6007</v>
      </c>
      <c r="I844" s="989" t="s">
        <v>6008</v>
      </c>
      <c r="J844" s="987"/>
      <c r="K844" s="436" t="s">
        <v>1999</v>
      </c>
      <c r="L844" s="436" t="s">
        <v>3694</v>
      </c>
      <c r="M844" s="436" t="s">
        <v>2852</v>
      </c>
      <c r="N844" s="987"/>
      <c r="O844" s="436" t="s">
        <v>62</v>
      </c>
      <c r="P844" s="995">
        <v>45240.0</v>
      </c>
      <c r="Q844" s="987"/>
      <c r="R844" s="987"/>
      <c r="S844" s="987"/>
      <c r="T844" s="987"/>
      <c r="U844" s="436" t="s">
        <v>62</v>
      </c>
      <c r="V844" s="995">
        <v>45261.0</v>
      </c>
      <c r="W844" s="987"/>
      <c r="X844" s="987"/>
      <c r="Y844" s="987"/>
      <c r="Z844" s="987"/>
      <c r="AA844" s="986"/>
    </row>
    <row r="845" hidden="1">
      <c r="A845" s="995">
        <v>779.0</v>
      </c>
      <c r="B845" s="991">
        <v>45240.0</v>
      </c>
      <c r="C845" s="989" t="s">
        <v>5863</v>
      </c>
      <c r="D845" s="434" t="s">
        <v>1386</v>
      </c>
      <c r="E845" s="434" t="s">
        <v>281</v>
      </c>
      <c r="F845" s="990">
        <v>1.5800283E7</v>
      </c>
      <c r="G845" s="434" t="s">
        <v>32</v>
      </c>
      <c r="H845" s="989" t="s">
        <v>6009</v>
      </c>
      <c r="I845" s="989" t="s">
        <v>6010</v>
      </c>
      <c r="J845" s="987"/>
      <c r="K845" s="436" t="s">
        <v>1999</v>
      </c>
      <c r="L845" s="436" t="s">
        <v>4998</v>
      </c>
      <c r="M845" s="436" t="s">
        <v>2852</v>
      </c>
      <c r="N845" s="987"/>
      <c r="O845" s="436" t="s">
        <v>62</v>
      </c>
      <c r="P845" s="995">
        <v>45240.0</v>
      </c>
      <c r="Q845" s="987"/>
      <c r="R845" s="987"/>
      <c r="S845" s="987"/>
      <c r="T845" s="987"/>
      <c r="U845" s="436" t="s">
        <v>62</v>
      </c>
      <c r="V845" s="995">
        <v>45261.0</v>
      </c>
      <c r="W845" s="987"/>
      <c r="X845" s="987"/>
      <c r="Y845" s="987"/>
      <c r="Z845" s="987"/>
      <c r="AA845" s="986"/>
    </row>
    <row r="846" hidden="1">
      <c r="A846" s="995">
        <v>780.0</v>
      </c>
      <c r="B846" s="991">
        <v>45240.0</v>
      </c>
      <c r="C846" s="989" t="s">
        <v>5863</v>
      </c>
      <c r="D846" s="434" t="s">
        <v>1386</v>
      </c>
      <c r="E846" s="434" t="s">
        <v>281</v>
      </c>
      <c r="F846" s="990">
        <v>1.5800284E7</v>
      </c>
      <c r="G846" s="434" t="s">
        <v>32</v>
      </c>
      <c r="H846" s="989" t="s">
        <v>6009</v>
      </c>
      <c r="I846" s="989" t="s">
        <v>6010</v>
      </c>
      <c r="J846" s="987"/>
      <c r="K846" s="436" t="s">
        <v>1999</v>
      </c>
      <c r="L846" s="436" t="s">
        <v>4998</v>
      </c>
      <c r="M846" s="436" t="s">
        <v>2852</v>
      </c>
      <c r="N846" s="987"/>
      <c r="O846" s="436" t="s">
        <v>62</v>
      </c>
      <c r="P846" s="995">
        <v>45240.0</v>
      </c>
      <c r="Q846" s="987"/>
      <c r="R846" s="987"/>
      <c r="S846" s="987"/>
      <c r="T846" s="987"/>
      <c r="U846" s="436" t="s">
        <v>62</v>
      </c>
      <c r="V846" s="995">
        <v>45261.0</v>
      </c>
      <c r="W846" s="987"/>
      <c r="X846" s="987"/>
      <c r="Y846" s="987"/>
      <c r="Z846" s="987"/>
      <c r="AA846" s="986"/>
    </row>
    <row r="847" hidden="1">
      <c r="A847" s="995">
        <v>781.0</v>
      </c>
      <c r="B847" s="991">
        <v>45240.0</v>
      </c>
      <c r="C847" s="989" t="s">
        <v>5863</v>
      </c>
      <c r="D847" s="434" t="s">
        <v>1386</v>
      </c>
      <c r="E847" s="434" t="s">
        <v>281</v>
      </c>
      <c r="F847" s="990">
        <v>1.5800285E7</v>
      </c>
      <c r="G847" s="434" t="s">
        <v>32</v>
      </c>
      <c r="H847" s="989" t="s">
        <v>6009</v>
      </c>
      <c r="I847" s="989" t="s">
        <v>6010</v>
      </c>
      <c r="J847" s="987"/>
      <c r="K847" s="436" t="s">
        <v>1999</v>
      </c>
      <c r="L847" s="436" t="s">
        <v>4998</v>
      </c>
      <c r="M847" s="436" t="s">
        <v>2852</v>
      </c>
      <c r="N847" s="987"/>
      <c r="O847" s="436" t="s">
        <v>62</v>
      </c>
      <c r="P847" s="995">
        <v>45240.0</v>
      </c>
      <c r="Q847" s="987"/>
      <c r="R847" s="987"/>
      <c r="S847" s="987"/>
      <c r="T847" s="987"/>
      <c r="U847" s="436" t="s">
        <v>62</v>
      </c>
      <c r="V847" s="995">
        <v>45261.0</v>
      </c>
      <c r="W847" s="987"/>
      <c r="X847" s="987"/>
      <c r="Y847" s="987"/>
      <c r="Z847" s="987"/>
      <c r="AA847" s="986"/>
    </row>
    <row r="848" hidden="1">
      <c r="A848" s="995">
        <v>782.0</v>
      </c>
      <c r="B848" s="991">
        <v>45240.0</v>
      </c>
      <c r="C848" s="989" t="s">
        <v>5863</v>
      </c>
      <c r="D848" s="434" t="s">
        <v>1386</v>
      </c>
      <c r="E848" s="434" t="s">
        <v>281</v>
      </c>
      <c r="F848" s="990">
        <v>1.5800286E7</v>
      </c>
      <c r="G848" s="434" t="s">
        <v>32</v>
      </c>
      <c r="H848" s="989" t="s">
        <v>6011</v>
      </c>
      <c r="I848" s="989" t="s">
        <v>6012</v>
      </c>
      <c r="J848" s="987"/>
      <c r="K848" s="436" t="s">
        <v>1999</v>
      </c>
      <c r="L848" s="436" t="s">
        <v>5257</v>
      </c>
      <c r="M848" s="436" t="s">
        <v>2852</v>
      </c>
      <c r="N848" s="987"/>
      <c r="O848" s="436" t="s">
        <v>62</v>
      </c>
      <c r="P848" s="995">
        <v>45240.0</v>
      </c>
      <c r="Q848" s="987"/>
      <c r="R848" s="987"/>
      <c r="S848" s="987"/>
      <c r="T848" s="987"/>
      <c r="U848" s="436" t="s">
        <v>62</v>
      </c>
      <c r="V848" s="995">
        <v>45261.0</v>
      </c>
      <c r="W848" s="987"/>
      <c r="X848" s="987"/>
      <c r="Y848" s="987"/>
      <c r="Z848" s="987"/>
      <c r="AA848" s="986"/>
    </row>
    <row r="849" hidden="1">
      <c r="A849" s="995">
        <v>783.0</v>
      </c>
      <c r="B849" s="991">
        <v>45240.0</v>
      </c>
      <c r="C849" s="989" t="s">
        <v>5863</v>
      </c>
      <c r="D849" s="434" t="s">
        <v>1386</v>
      </c>
      <c r="E849" s="434" t="s">
        <v>281</v>
      </c>
      <c r="F849" s="990">
        <v>1.5800287E7</v>
      </c>
      <c r="G849" s="434" t="s">
        <v>32</v>
      </c>
      <c r="H849" s="989" t="s">
        <v>6007</v>
      </c>
      <c r="I849" s="989" t="s">
        <v>6008</v>
      </c>
      <c r="J849" s="987"/>
      <c r="K849" s="436" t="s">
        <v>1999</v>
      </c>
      <c r="L849" s="436" t="s">
        <v>3694</v>
      </c>
      <c r="M849" s="436" t="s">
        <v>2852</v>
      </c>
      <c r="N849" s="987"/>
      <c r="O849" s="436" t="s">
        <v>62</v>
      </c>
      <c r="P849" s="995">
        <v>45240.0</v>
      </c>
      <c r="Q849" s="987"/>
      <c r="R849" s="987"/>
      <c r="S849" s="987"/>
      <c r="T849" s="987"/>
      <c r="U849" s="436" t="s">
        <v>62</v>
      </c>
      <c r="V849" s="995">
        <v>45261.0</v>
      </c>
      <c r="W849" s="987"/>
      <c r="X849" s="987"/>
      <c r="Y849" s="987"/>
      <c r="Z849" s="987"/>
      <c r="AA849" s="986"/>
    </row>
    <row r="850" hidden="1">
      <c r="A850" s="995">
        <v>784.0</v>
      </c>
      <c r="B850" s="991">
        <v>45240.0</v>
      </c>
      <c r="C850" s="989" t="s">
        <v>5863</v>
      </c>
      <c r="D850" s="434" t="s">
        <v>1386</v>
      </c>
      <c r="E850" s="434" t="s">
        <v>281</v>
      </c>
      <c r="F850" s="990">
        <v>1.5800288E7</v>
      </c>
      <c r="G850" s="434" t="s">
        <v>32</v>
      </c>
      <c r="H850" s="989" t="s">
        <v>6007</v>
      </c>
      <c r="I850" s="989" t="s">
        <v>6008</v>
      </c>
      <c r="J850" s="987"/>
      <c r="K850" s="436" t="s">
        <v>1999</v>
      </c>
      <c r="L850" s="436" t="s">
        <v>3694</v>
      </c>
      <c r="M850" s="436" t="s">
        <v>2852</v>
      </c>
      <c r="N850" s="987"/>
      <c r="O850" s="436" t="s">
        <v>62</v>
      </c>
      <c r="P850" s="995">
        <v>45240.0</v>
      </c>
      <c r="Q850" s="987"/>
      <c r="R850" s="987"/>
      <c r="S850" s="987"/>
      <c r="T850" s="987"/>
      <c r="U850" s="436" t="s">
        <v>62</v>
      </c>
      <c r="V850" s="995">
        <v>45261.0</v>
      </c>
      <c r="W850" s="987"/>
      <c r="X850" s="987"/>
      <c r="Y850" s="987"/>
      <c r="Z850" s="987"/>
      <c r="AA850" s="986"/>
    </row>
    <row r="851" hidden="1">
      <c r="A851" s="995">
        <v>785.0</v>
      </c>
      <c r="B851" s="991">
        <v>45240.0</v>
      </c>
      <c r="C851" s="989" t="s">
        <v>5863</v>
      </c>
      <c r="D851" s="434" t="s">
        <v>1386</v>
      </c>
      <c r="E851" s="434" t="s">
        <v>281</v>
      </c>
      <c r="F851" s="990">
        <v>1.5800289E7</v>
      </c>
      <c r="G851" s="434" t="s">
        <v>32</v>
      </c>
      <c r="H851" s="989" t="s">
        <v>6011</v>
      </c>
      <c r="I851" s="989" t="s">
        <v>6012</v>
      </c>
      <c r="J851" s="987"/>
      <c r="K851" s="436" t="s">
        <v>1999</v>
      </c>
      <c r="L851" s="436" t="s">
        <v>5257</v>
      </c>
      <c r="M851" s="436" t="s">
        <v>2852</v>
      </c>
      <c r="N851" s="987"/>
      <c r="O851" s="436" t="s">
        <v>62</v>
      </c>
      <c r="P851" s="995">
        <v>45240.0</v>
      </c>
      <c r="Q851" s="987"/>
      <c r="R851" s="987"/>
      <c r="S851" s="987"/>
      <c r="T851" s="987"/>
      <c r="U851" s="436" t="s">
        <v>62</v>
      </c>
      <c r="V851" s="995">
        <v>45261.0</v>
      </c>
      <c r="W851" s="987"/>
      <c r="X851" s="987"/>
      <c r="Y851" s="987"/>
      <c r="Z851" s="987"/>
      <c r="AA851" s="986"/>
    </row>
    <row r="852" hidden="1">
      <c r="A852" s="995">
        <v>786.0</v>
      </c>
      <c r="B852" s="991">
        <v>45240.0</v>
      </c>
      <c r="C852" s="989" t="s">
        <v>5863</v>
      </c>
      <c r="D852" s="434" t="s">
        <v>1386</v>
      </c>
      <c r="E852" s="434" t="s">
        <v>281</v>
      </c>
      <c r="F852" s="990">
        <v>1.580029E7</v>
      </c>
      <c r="G852" s="434" t="s">
        <v>32</v>
      </c>
      <c r="H852" s="989" t="s">
        <v>6009</v>
      </c>
      <c r="I852" s="989" t="s">
        <v>6010</v>
      </c>
      <c r="J852" s="987"/>
      <c r="K852" s="436" t="s">
        <v>1999</v>
      </c>
      <c r="L852" s="436" t="s">
        <v>4998</v>
      </c>
      <c r="M852" s="436" t="s">
        <v>2852</v>
      </c>
      <c r="N852" s="987"/>
      <c r="O852" s="436" t="s">
        <v>62</v>
      </c>
      <c r="P852" s="995">
        <v>45240.0</v>
      </c>
      <c r="Q852" s="987"/>
      <c r="R852" s="987"/>
      <c r="S852" s="987"/>
      <c r="T852" s="987"/>
      <c r="U852" s="436" t="s">
        <v>62</v>
      </c>
      <c r="V852" s="995">
        <v>45261.0</v>
      </c>
      <c r="W852" s="987"/>
      <c r="X852" s="987"/>
      <c r="Y852" s="987"/>
      <c r="Z852" s="987"/>
      <c r="AA852" s="986"/>
    </row>
    <row r="853" hidden="1">
      <c r="A853" s="995">
        <v>787.0</v>
      </c>
      <c r="B853" s="991">
        <v>45240.0</v>
      </c>
      <c r="C853" s="989" t="s">
        <v>5863</v>
      </c>
      <c r="D853" s="434" t="s">
        <v>1386</v>
      </c>
      <c r="E853" s="434" t="s">
        <v>281</v>
      </c>
      <c r="F853" s="990">
        <v>1.5800291E7</v>
      </c>
      <c r="G853" s="434" t="s">
        <v>32</v>
      </c>
      <c r="H853" s="989" t="s">
        <v>6009</v>
      </c>
      <c r="I853" s="989" t="s">
        <v>6010</v>
      </c>
      <c r="J853" s="987"/>
      <c r="K853" s="436" t="s">
        <v>1999</v>
      </c>
      <c r="L853" s="436" t="s">
        <v>4998</v>
      </c>
      <c r="M853" s="436" t="s">
        <v>2852</v>
      </c>
      <c r="N853" s="987"/>
      <c r="O853" s="436" t="s">
        <v>62</v>
      </c>
      <c r="P853" s="995">
        <v>45240.0</v>
      </c>
      <c r="Q853" s="987"/>
      <c r="R853" s="987"/>
      <c r="S853" s="987"/>
      <c r="T853" s="987"/>
      <c r="U853" s="436" t="s">
        <v>62</v>
      </c>
      <c r="V853" s="995">
        <v>45261.0</v>
      </c>
      <c r="W853" s="987"/>
      <c r="X853" s="987"/>
      <c r="Y853" s="987"/>
      <c r="Z853" s="987"/>
      <c r="AA853" s="986"/>
    </row>
    <row r="854" hidden="1">
      <c r="A854" s="995">
        <v>788.0</v>
      </c>
      <c r="B854" s="991">
        <v>45240.0</v>
      </c>
      <c r="C854" s="989" t="s">
        <v>5863</v>
      </c>
      <c r="D854" s="434" t="s">
        <v>1386</v>
      </c>
      <c r="E854" s="434" t="s">
        <v>281</v>
      </c>
      <c r="F854" s="990">
        <v>1.5800292E7</v>
      </c>
      <c r="G854" s="434" t="s">
        <v>32</v>
      </c>
      <c r="H854" s="989" t="s">
        <v>6004</v>
      </c>
      <c r="I854" s="989" t="s">
        <v>6005</v>
      </c>
      <c r="J854" s="987"/>
      <c r="K854" s="436" t="s">
        <v>1999</v>
      </c>
      <c r="L854" s="436" t="s">
        <v>6006</v>
      </c>
      <c r="M854" s="436" t="s">
        <v>2852</v>
      </c>
      <c r="N854" s="987"/>
      <c r="O854" s="436" t="s">
        <v>62</v>
      </c>
      <c r="P854" s="995">
        <v>45240.0</v>
      </c>
      <c r="Q854" s="987"/>
      <c r="R854" s="987"/>
      <c r="S854" s="987"/>
      <c r="T854" s="987"/>
      <c r="U854" s="436" t="s">
        <v>62</v>
      </c>
      <c r="V854" s="995">
        <v>45261.0</v>
      </c>
      <c r="W854" s="987"/>
      <c r="X854" s="987"/>
      <c r="Y854" s="987"/>
      <c r="Z854" s="987"/>
      <c r="AA854" s="986"/>
    </row>
    <row r="855" hidden="1">
      <c r="A855" s="995">
        <v>789.0</v>
      </c>
      <c r="B855" s="991">
        <v>45240.0</v>
      </c>
      <c r="C855" s="989" t="s">
        <v>5863</v>
      </c>
      <c r="D855" s="434" t="s">
        <v>1386</v>
      </c>
      <c r="E855" s="434" t="s">
        <v>281</v>
      </c>
      <c r="F855" s="990">
        <v>1.5800293E7</v>
      </c>
      <c r="G855" s="434" t="s">
        <v>32</v>
      </c>
      <c r="H855" s="989" t="s">
        <v>6013</v>
      </c>
      <c r="I855" s="989" t="s">
        <v>6014</v>
      </c>
      <c r="J855" s="987"/>
      <c r="K855" s="436" t="s">
        <v>1999</v>
      </c>
      <c r="L855" s="436" t="s">
        <v>795</v>
      </c>
      <c r="M855" s="436" t="s">
        <v>2852</v>
      </c>
      <c r="N855" s="987"/>
      <c r="O855" s="436" t="s">
        <v>62</v>
      </c>
      <c r="P855" s="995">
        <v>45240.0</v>
      </c>
      <c r="Q855" s="987"/>
      <c r="R855" s="987"/>
      <c r="S855" s="987"/>
      <c r="T855" s="987"/>
      <c r="U855" s="436" t="s">
        <v>62</v>
      </c>
      <c r="V855" s="995">
        <v>45261.0</v>
      </c>
      <c r="W855" s="987"/>
      <c r="X855" s="987"/>
      <c r="Y855" s="987"/>
      <c r="Z855" s="987"/>
      <c r="AA855" s="986"/>
    </row>
    <row r="856" hidden="1">
      <c r="A856" s="995">
        <v>790.0</v>
      </c>
      <c r="B856" s="991">
        <v>45240.0</v>
      </c>
      <c r="C856" s="989" t="s">
        <v>5863</v>
      </c>
      <c r="D856" s="434" t="s">
        <v>1386</v>
      </c>
      <c r="E856" s="434" t="s">
        <v>281</v>
      </c>
      <c r="F856" s="990">
        <v>1.5800294E7</v>
      </c>
      <c r="G856" s="434" t="s">
        <v>32</v>
      </c>
      <c r="H856" s="989" t="s">
        <v>6015</v>
      </c>
      <c r="I856" s="993" t="s">
        <v>6016</v>
      </c>
      <c r="J856" s="987"/>
      <c r="K856" s="436" t="s">
        <v>1999</v>
      </c>
      <c r="L856" s="436" t="s">
        <v>6017</v>
      </c>
      <c r="M856" s="436" t="s">
        <v>2852</v>
      </c>
      <c r="N856" s="987"/>
      <c r="O856" s="436" t="s">
        <v>62</v>
      </c>
      <c r="P856" s="995">
        <v>45240.0</v>
      </c>
      <c r="Q856" s="987"/>
      <c r="R856" s="987"/>
      <c r="S856" s="987"/>
      <c r="T856" s="987"/>
      <c r="U856" s="436" t="s">
        <v>62</v>
      </c>
      <c r="V856" s="995">
        <v>45306.0</v>
      </c>
      <c r="W856" s="987"/>
      <c r="X856" s="987"/>
      <c r="Y856" s="987"/>
      <c r="Z856" s="987"/>
      <c r="AA856" s="986"/>
    </row>
    <row r="857" hidden="1">
      <c r="A857" s="995">
        <v>791.0</v>
      </c>
      <c r="B857" s="991">
        <v>45240.0</v>
      </c>
      <c r="C857" s="989" t="s">
        <v>5863</v>
      </c>
      <c r="D857" s="434" t="s">
        <v>1386</v>
      </c>
      <c r="E857" s="434" t="s">
        <v>281</v>
      </c>
      <c r="F857" s="990">
        <v>1.5800295E7</v>
      </c>
      <c r="G857" s="434" t="s">
        <v>32</v>
      </c>
      <c r="H857" s="989" t="s">
        <v>6009</v>
      </c>
      <c r="I857" s="993" t="s">
        <v>6018</v>
      </c>
      <c r="J857" s="987"/>
      <c r="K857" s="436" t="s">
        <v>1999</v>
      </c>
      <c r="L857" s="436" t="s">
        <v>4998</v>
      </c>
      <c r="M857" s="436" t="s">
        <v>2852</v>
      </c>
      <c r="N857" s="987"/>
      <c r="O857" s="436" t="s">
        <v>62</v>
      </c>
      <c r="P857" s="995">
        <v>45240.0</v>
      </c>
      <c r="Q857" s="987"/>
      <c r="R857" s="987"/>
      <c r="S857" s="987"/>
      <c r="T857" s="987"/>
      <c r="U857" s="987"/>
      <c r="V857" s="987"/>
      <c r="W857" s="987"/>
      <c r="X857" s="987"/>
      <c r="Y857" s="987"/>
      <c r="Z857" s="987"/>
      <c r="AA857" s="986"/>
    </row>
    <row r="858" hidden="1">
      <c r="A858" s="995">
        <v>792.0</v>
      </c>
      <c r="B858" s="988">
        <v>45238.0</v>
      </c>
      <c r="C858" s="989" t="s">
        <v>3123</v>
      </c>
      <c r="D858" s="434" t="s">
        <v>774</v>
      </c>
      <c r="E858" s="434" t="s">
        <v>589</v>
      </c>
      <c r="F858" s="989" t="s">
        <v>6019</v>
      </c>
      <c r="G858" s="434" t="s">
        <v>42</v>
      </c>
      <c r="H858" s="989" t="s">
        <v>6020</v>
      </c>
      <c r="I858" s="989" t="s">
        <v>6021</v>
      </c>
      <c r="J858" s="987"/>
      <c r="K858" s="987"/>
      <c r="L858" s="987"/>
      <c r="M858" s="987"/>
      <c r="N858" s="987"/>
      <c r="O858" s="987"/>
      <c r="P858" s="987"/>
      <c r="Q858" s="987"/>
      <c r="R858" s="987"/>
      <c r="S858" s="987"/>
      <c r="T858" s="987"/>
      <c r="U858" s="987"/>
      <c r="V858" s="987"/>
      <c r="W858" s="987"/>
      <c r="X858" s="987"/>
      <c r="Y858" s="987"/>
      <c r="Z858" s="987"/>
      <c r="AA858" s="986"/>
    </row>
    <row r="859" hidden="1">
      <c r="A859" s="995">
        <v>793.0</v>
      </c>
      <c r="B859" s="988">
        <v>45238.0</v>
      </c>
      <c r="C859" s="989" t="s">
        <v>3123</v>
      </c>
      <c r="D859" s="434" t="s">
        <v>774</v>
      </c>
      <c r="E859" s="434" t="s">
        <v>589</v>
      </c>
      <c r="F859" s="989" t="s">
        <v>6022</v>
      </c>
      <c r="G859" s="434" t="s">
        <v>42</v>
      </c>
      <c r="H859" s="989" t="s">
        <v>6023</v>
      </c>
      <c r="I859" s="989" t="s">
        <v>6021</v>
      </c>
      <c r="J859" s="987"/>
      <c r="K859" s="987"/>
      <c r="L859" s="987"/>
      <c r="M859" s="987"/>
      <c r="N859" s="987"/>
      <c r="O859" s="987"/>
      <c r="P859" s="987"/>
      <c r="Q859" s="987"/>
      <c r="R859" s="987"/>
      <c r="S859" s="987"/>
      <c r="T859" s="987"/>
      <c r="U859" s="987"/>
      <c r="V859" s="987"/>
      <c r="W859" s="987"/>
      <c r="X859" s="987"/>
      <c r="Y859" s="987"/>
      <c r="Z859" s="987"/>
      <c r="AA859" s="986"/>
    </row>
    <row r="860" hidden="1">
      <c r="A860" s="995">
        <v>794.0</v>
      </c>
      <c r="B860" s="988">
        <v>45238.0</v>
      </c>
      <c r="C860" s="989" t="s">
        <v>3123</v>
      </c>
      <c r="D860" s="434" t="s">
        <v>774</v>
      </c>
      <c r="E860" s="434" t="s">
        <v>589</v>
      </c>
      <c r="F860" s="990">
        <v>1.9280084E7</v>
      </c>
      <c r="G860" s="434" t="s">
        <v>42</v>
      </c>
      <c r="H860" s="989" t="s">
        <v>6024</v>
      </c>
      <c r="I860" s="989" t="s">
        <v>6025</v>
      </c>
      <c r="J860" s="987"/>
      <c r="K860" s="987"/>
      <c r="L860" s="987"/>
      <c r="M860" s="987"/>
      <c r="N860" s="987"/>
      <c r="O860" s="987"/>
      <c r="P860" s="987"/>
      <c r="Q860" s="987"/>
      <c r="R860" s="987"/>
      <c r="S860" s="987"/>
      <c r="T860" s="987"/>
      <c r="U860" s="987"/>
      <c r="V860" s="987"/>
      <c r="W860" s="987"/>
      <c r="X860" s="987"/>
      <c r="Y860" s="987"/>
      <c r="Z860" s="987"/>
      <c r="AA860" s="986"/>
    </row>
    <row r="861" hidden="1">
      <c r="A861" s="995">
        <v>799.0</v>
      </c>
      <c r="B861" s="988">
        <v>45190.0</v>
      </c>
      <c r="C861" s="989" t="s">
        <v>2024</v>
      </c>
      <c r="D861" s="434" t="s">
        <v>885</v>
      </c>
      <c r="E861" s="434" t="s">
        <v>49</v>
      </c>
      <c r="F861" s="434" t="s">
        <v>50</v>
      </c>
      <c r="G861" s="434" t="s">
        <v>32</v>
      </c>
      <c r="H861" s="989" t="s">
        <v>6026</v>
      </c>
      <c r="I861" s="989" t="s">
        <v>6027</v>
      </c>
      <c r="J861" s="987"/>
      <c r="K861" s="436" t="s">
        <v>1244</v>
      </c>
      <c r="L861" s="436" t="s">
        <v>5314</v>
      </c>
      <c r="M861" s="436" t="s">
        <v>610</v>
      </c>
      <c r="N861" s="987"/>
      <c r="O861" s="987"/>
      <c r="P861" s="987"/>
      <c r="Q861" s="987"/>
      <c r="R861" s="987"/>
      <c r="S861" s="987"/>
      <c r="T861" s="987"/>
      <c r="U861" s="987"/>
      <c r="V861" s="987"/>
      <c r="W861" s="987"/>
      <c r="X861" s="987"/>
      <c r="Y861" s="987"/>
      <c r="Z861" s="987"/>
      <c r="AA861" s="986"/>
    </row>
    <row r="862" hidden="1">
      <c r="A862" s="995">
        <v>800.0</v>
      </c>
      <c r="B862" s="991">
        <v>45246.0</v>
      </c>
      <c r="C862" s="989" t="s">
        <v>65</v>
      </c>
      <c r="D862" s="434" t="s">
        <v>67</v>
      </c>
      <c r="E862" s="434" t="s">
        <v>49</v>
      </c>
      <c r="F862" s="990">
        <v>1.9050162E7</v>
      </c>
      <c r="G862" s="434" t="s">
        <v>42</v>
      </c>
      <c r="H862" s="989" t="s">
        <v>6028</v>
      </c>
      <c r="I862" s="989" t="s">
        <v>6029</v>
      </c>
      <c r="J862" s="987"/>
      <c r="K862" s="987"/>
      <c r="L862" s="987"/>
      <c r="M862" s="987"/>
      <c r="N862" s="987"/>
      <c r="O862" s="987"/>
      <c r="P862" s="987"/>
      <c r="Q862" s="987"/>
      <c r="R862" s="987"/>
      <c r="S862" s="987"/>
      <c r="T862" s="987"/>
      <c r="U862" s="987"/>
      <c r="V862" s="987"/>
      <c r="W862" s="987"/>
      <c r="X862" s="987"/>
      <c r="Y862" s="987"/>
      <c r="Z862" s="987"/>
      <c r="AA862" s="986"/>
    </row>
    <row r="863" hidden="1">
      <c r="A863" s="995">
        <v>802.0</v>
      </c>
      <c r="B863" s="988">
        <v>45191.0</v>
      </c>
      <c r="C863" s="989" t="s">
        <v>2024</v>
      </c>
      <c r="D863" s="434" t="s">
        <v>6030</v>
      </c>
      <c r="E863" s="434" t="s">
        <v>49</v>
      </c>
      <c r="F863" s="434" t="s">
        <v>50</v>
      </c>
      <c r="G863" s="434" t="s">
        <v>32</v>
      </c>
      <c r="H863" s="989" t="s">
        <v>6031</v>
      </c>
      <c r="I863" s="994"/>
      <c r="J863" s="987"/>
      <c r="K863" s="436" t="s">
        <v>1244</v>
      </c>
      <c r="L863" s="436" t="s">
        <v>613</v>
      </c>
      <c r="M863" s="436" t="s">
        <v>1234</v>
      </c>
      <c r="N863" s="987"/>
      <c r="O863" s="987"/>
      <c r="P863" s="987"/>
      <c r="Q863" s="987"/>
      <c r="R863" s="987"/>
      <c r="S863" s="987"/>
      <c r="T863" s="987"/>
      <c r="U863" s="987"/>
      <c r="V863" s="987"/>
      <c r="W863" s="987"/>
      <c r="X863" s="987"/>
      <c r="Y863" s="987"/>
      <c r="Z863" s="987"/>
      <c r="AA863" s="986"/>
    </row>
    <row r="864" hidden="1">
      <c r="A864" s="995">
        <v>803.0</v>
      </c>
      <c r="B864" s="991">
        <v>45247.0</v>
      </c>
      <c r="C864" s="989" t="s">
        <v>6032</v>
      </c>
      <c r="D864" s="434" t="s">
        <v>1386</v>
      </c>
      <c r="E864" s="434" t="s">
        <v>300</v>
      </c>
      <c r="F864" s="990">
        <v>1.5800292E7</v>
      </c>
      <c r="G864" s="434" t="s">
        <v>200</v>
      </c>
      <c r="H864" s="989" t="s">
        <v>6033</v>
      </c>
      <c r="I864" s="989" t="s">
        <v>6034</v>
      </c>
      <c r="J864" s="987"/>
      <c r="K864" s="436" t="s">
        <v>2416</v>
      </c>
      <c r="L864" s="436" t="s">
        <v>2632</v>
      </c>
      <c r="M864" s="987"/>
      <c r="N864" s="987"/>
      <c r="O864" s="987"/>
      <c r="P864" s="987"/>
      <c r="Q864" s="987"/>
      <c r="R864" s="987"/>
      <c r="S864" s="987"/>
      <c r="T864" s="987"/>
      <c r="U864" s="987"/>
      <c r="V864" s="987"/>
      <c r="W864" s="987"/>
      <c r="X864" s="987"/>
      <c r="Y864" s="987"/>
      <c r="Z864" s="987"/>
      <c r="AA864" s="986"/>
    </row>
    <row r="865" hidden="1">
      <c r="A865" s="995">
        <v>807.0</v>
      </c>
      <c r="B865" s="991">
        <v>45251.0</v>
      </c>
      <c r="C865" s="989" t="s">
        <v>5790</v>
      </c>
      <c r="D865" s="434" t="s">
        <v>1101</v>
      </c>
      <c r="E865" s="434" t="s">
        <v>2361</v>
      </c>
      <c r="F865" s="990">
        <v>1.715031E7</v>
      </c>
      <c r="G865" s="434" t="s">
        <v>348</v>
      </c>
      <c r="H865" s="989" t="s">
        <v>6035</v>
      </c>
      <c r="I865" s="989" t="s">
        <v>6036</v>
      </c>
      <c r="J865" s="987"/>
      <c r="K865" s="436" t="s">
        <v>2364</v>
      </c>
      <c r="L865" s="436" t="s">
        <v>554</v>
      </c>
      <c r="M865" s="436" t="s">
        <v>5237</v>
      </c>
      <c r="N865" s="987"/>
      <c r="O865" s="987"/>
      <c r="P865" s="987"/>
      <c r="Q865" s="987"/>
      <c r="R865" s="987"/>
      <c r="S865" s="987"/>
      <c r="T865" s="987"/>
      <c r="U865" s="987"/>
      <c r="V865" s="987"/>
      <c r="W865" s="987"/>
      <c r="X865" s="987"/>
      <c r="Y865" s="987"/>
      <c r="Z865" s="987"/>
      <c r="AA865" s="986"/>
    </row>
    <row r="866" hidden="1">
      <c r="A866" s="995">
        <v>811.0</v>
      </c>
      <c r="B866" s="991">
        <v>45257.0</v>
      </c>
      <c r="C866" s="989" t="s">
        <v>2024</v>
      </c>
      <c r="D866" s="434" t="s">
        <v>885</v>
      </c>
      <c r="E866" s="434" t="s">
        <v>49</v>
      </c>
      <c r="F866" s="990">
        <v>1.5781511E7</v>
      </c>
      <c r="G866" s="434" t="s">
        <v>32</v>
      </c>
      <c r="H866" s="989" t="s">
        <v>6037</v>
      </c>
      <c r="I866" s="993" t="s">
        <v>6038</v>
      </c>
      <c r="J866" s="987"/>
      <c r="K866" s="436" t="s">
        <v>1244</v>
      </c>
      <c r="L866" s="987"/>
      <c r="M866" s="436" t="s">
        <v>1234</v>
      </c>
      <c r="N866" s="987"/>
      <c r="O866" s="436" t="s">
        <v>62</v>
      </c>
      <c r="P866" s="987"/>
      <c r="Q866" s="987"/>
      <c r="R866" s="987"/>
      <c r="S866" s="987"/>
      <c r="T866" s="987"/>
      <c r="U866" s="436" t="s">
        <v>62</v>
      </c>
      <c r="V866" s="995">
        <v>45272.0</v>
      </c>
      <c r="W866" s="987"/>
      <c r="X866" s="987"/>
      <c r="Y866" s="987"/>
      <c r="Z866" s="987"/>
      <c r="AA866" s="986"/>
    </row>
    <row r="867" hidden="1">
      <c r="A867" s="995">
        <v>812.0</v>
      </c>
      <c r="B867" s="991">
        <v>45258.0</v>
      </c>
      <c r="C867" s="989" t="s">
        <v>3123</v>
      </c>
      <c r="D867" s="434" t="s">
        <v>774</v>
      </c>
      <c r="E867" s="434" t="s">
        <v>295</v>
      </c>
      <c r="F867" s="990">
        <v>1.9280106E7</v>
      </c>
      <c r="G867" s="434" t="s">
        <v>42</v>
      </c>
      <c r="H867" s="989" t="s">
        <v>6039</v>
      </c>
      <c r="I867" s="989" t="s">
        <v>6040</v>
      </c>
      <c r="J867" s="987"/>
      <c r="K867" s="987"/>
      <c r="L867" s="987"/>
      <c r="M867" s="987"/>
      <c r="N867" s="987"/>
      <c r="O867" s="987"/>
      <c r="P867" s="987"/>
      <c r="Q867" s="987"/>
      <c r="R867" s="987"/>
      <c r="S867" s="987"/>
      <c r="T867" s="987"/>
      <c r="U867" s="436" t="s">
        <v>62</v>
      </c>
      <c r="V867" s="995">
        <v>45266.0</v>
      </c>
      <c r="W867" s="987"/>
      <c r="X867" s="987"/>
      <c r="Y867" s="987"/>
      <c r="Z867" s="987"/>
      <c r="AA867" s="986"/>
    </row>
    <row r="868" hidden="1">
      <c r="A868" s="995">
        <v>813.0</v>
      </c>
      <c r="B868" s="991">
        <v>45258.0</v>
      </c>
      <c r="C868" s="989" t="s">
        <v>5805</v>
      </c>
      <c r="D868" s="434" t="s">
        <v>417</v>
      </c>
      <c r="E868" s="434" t="s">
        <v>3043</v>
      </c>
      <c r="F868" s="990">
        <v>1.6340506E7</v>
      </c>
      <c r="G868" s="434" t="s">
        <v>200</v>
      </c>
      <c r="H868" s="989" t="s">
        <v>6041</v>
      </c>
      <c r="I868" s="989" t="s">
        <v>6042</v>
      </c>
      <c r="J868" s="987"/>
      <c r="K868" s="436" t="s">
        <v>265</v>
      </c>
      <c r="L868" s="436" t="s">
        <v>6043</v>
      </c>
      <c r="M868" s="436" t="s">
        <v>267</v>
      </c>
      <c r="N868" s="987"/>
      <c r="O868" s="987"/>
      <c r="P868" s="987"/>
      <c r="Q868" s="987"/>
      <c r="R868" s="987"/>
      <c r="S868" s="987"/>
      <c r="T868" s="987"/>
      <c r="U868" s="436" t="s">
        <v>62</v>
      </c>
      <c r="V868" s="995">
        <v>45306.0</v>
      </c>
      <c r="W868" s="987"/>
      <c r="X868" s="987"/>
      <c r="Y868" s="987"/>
      <c r="Z868" s="987"/>
      <c r="AA868" s="986"/>
    </row>
    <row r="869" hidden="1">
      <c r="A869" s="995">
        <v>814.0</v>
      </c>
      <c r="B869" s="991">
        <v>45258.0</v>
      </c>
      <c r="C869" s="989" t="s">
        <v>5805</v>
      </c>
      <c r="D869" s="434" t="s">
        <v>417</v>
      </c>
      <c r="E869" s="434" t="s">
        <v>3043</v>
      </c>
      <c r="F869" s="990">
        <v>1.6340507E7</v>
      </c>
      <c r="G869" s="434" t="s">
        <v>200</v>
      </c>
      <c r="H869" s="989" t="s">
        <v>6044</v>
      </c>
      <c r="I869" s="989" t="s">
        <v>6042</v>
      </c>
      <c r="J869" s="987"/>
      <c r="K869" s="436" t="s">
        <v>265</v>
      </c>
      <c r="L869" s="436" t="s">
        <v>6045</v>
      </c>
      <c r="M869" s="436" t="s">
        <v>267</v>
      </c>
      <c r="N869" s="987"/>
      <c r="O869" s="987"/>
      <c r="P869" s="987"/>
      <c r="Q869" s="987"/>
      <c r="R869" s="987"/>
      <c r="S869" s="987"/>
      <c r="T869" s="987"/>
      <c r="U869" s="436" t="s">
        <v>62</v>
      </c>
      <c r="V869" s="995">
        <v>45310.0</v>
      </c>
      <c r="W869" s="987"/>
      <c r="X869" s="987"/>
      <c r="Y869" s="987"/>
      <c r="Z869" s="987"/>
      <c r="AA869" s="986"/>
    </row>
    <row r="870" hidden="1">
      <c r="A870" s="995">
        <v>815.0</v>
      </c>
      <c r="B870" s="991">
        <v>45258.0</v>
      </c>
      <c r="C870" s="989" t="s">
        <v>5805</v>
      </c>
      <c r="D870" s="434" t="s">
        <v>417</v>
      </c>
      <c r="E870" s="434" t="s">
        <v>3043</v>
      </c>
      <c r="F870" s="990">
        <v>1.6340508E7</v>
      </c>
      <c r="G870" s="434" t="s">
        <v>200</v>
      </c>
      <c r="H870" s="989" t="s">
        <v>6044</v>
      </c>
      <c r="I870" s="993" t="s">
        <v>6046</v>
      </c>
      <c r="J870" s="987"/>
      <c r="K870" s="436" t="s">
        <v>265</v>
      </c>
      <c r="L870" s="436" t="s">
        <v>6045</v>
      </c>
      <c r="M870" s="436" t="s">
        <v>267</v>
      </c>
      <c r="N870" s="987"/>
      <c r="O870" s="987"/>
      <c r="P870" s="987"/>
      <c r="Q870" s="987"/>
      <c r="R870" s="987"/>
      <c r="S870" s="987"/>
      <c r="T870" s="987"/>
      <c r="U870" s="436" t="s">
        <v>62</v>
      </c>
      <c r="V870" s="995">
        <v>45310.0</v>
      </c>
      <c r="W870" s="987"/>
      <c r="X870" s="987"/>
      <c r="Y870" s="987"/>
      <c r="Z870" s="987"/>
      <c r="AA870" s="986"/>
    </row>
    <row r="871" hidden="1">
      <c r="A871" s="995">
        <v>816.0</v>
      </c>
      <c r="B871" s="991">
        <v>45258.0</v>
      </c>
      <c r="C871" s="989" t="s">
        <v>5805</v>
      </c>
      <c r="D871" s="434" t="s">
        <v>417</v>
      </c>
      <c r="E871" s="434" t="s">
        <v>3043</v>
      </c>
      <c r="F871" s="990">
        <v>1.6340509E7</v>
      </c>
      <c r="G871" s="434" t="s">
        <v>200</v>
      </c>
      <c r="H871" s="989" t="s">
        <v>6047</v>
      </c>
      <c r="I871" s="993" t="s">
        <v>6046</v>
      </c>
      <c r="J871" s="987"/>
      <c r="K871" s="436" t="s">
        <v>265</v>
      </c>
      <c r="L871" s="436" t="s">
        <v>2374</v>
      </c>
      <c r="M871" s="436" t="s">
        <v>267</v>
      </c>
      <c r="N871" s="987"/>
      <c r="O871" s="987"/>
      <c r="P871" s="987"/>
      <c r="Q871" s="987"/>
      <c r="R871" s="987"/>
      <c r="S871" s="987"/>
      <c r="T871" s="987"/>
      <c r="U871" s="436" t="s">
        <v>62</v>
      </c>
      <c r="V871" s="995">
        <v>45335.0</v>
      </c>
      <c r="W871" s="987"/>
      <c r="X871" s="987"/>
      <c r="Y871" s="987"/>
      <c r="Z871" s="987"/>
      <c r="AA871" s="986"/>
    </row>
    <row r="872" hidden="1">
      <c r="A872" s="995">
        <v>818.0</v>
      </c>
      <c r="B872" s="1006">
        <v>45259.0</v>
      </c>
      <c r="C872" s="984" t="s">
        <v>4545</v>
      </c>
      <c r="D872" s="436" t="s">
        <v>48</v>
      </c>
      <c r="E872" s="436" t="s">
        <v>49</v>
      </c>
      <c r="F872" s="995">
        <v>1.4691738E7</v>
      </c>
      <c r="G872" s="436" t="s">
        <v>51</v>
      </c>
      <c r="H872" s="984" t="s">
        <v>6048</v>
      </c>
      <c r="I872" s="999" t="s">
        <v>6049</v>
      </c>
      <c r="J872" s="987"/>
      <c r="K872" s="987"/>
      <c r="L872" s="987"/>
      <c r="M872" s="987"/>
      <c r="N872" s="987"/>
      <c r="O872" s="436" t="s">
        <v>62</v>
      </c>
      <c r="P872" s="987"/>
      <c r="Q872" s="987"/>
      <c r="R872" s="987"/>
      <c r="S872" s="987"/>
      <c r="T872" s="987"/>
      <c r="U872" s="987"/>
      <c r="V872" s="987"/>
      <c r="W872" s="987"/>
      <c r="X872" s="987"/>
      <c r="Y872" s="987"/>
      <c r="Z872" s="987"/>
      <c r="AA872" s="986"/>
    </row>
    <row r="873" hidden="1">
      <c r="A873" s="995">
        <v>821.0</v>
      </c>
      <c r="B873" s="988">
        <v>45262.0</v>
      </c>
      <c r="C873" s="989" t="s">
        <v>5725</v>
      </c>
      <c r="D873" s="434" t="s">
        <v>475</v>
      </c>
      <c r="E873" s="434" t="s">
        <v>5234</v>
      </c>
      <c r="F873" s="434" t="s">
        <v>50</v>
      </c>
      <c r="G873" s="434" t="s">
        <v>348</v>
      </c>
      <c r="H873" s="989" t="s">
        <v>6050</v>
      </c>
      <c r="I873" s="989" t="s">
        <v>6051</v>
      </c>
      <c r="J873" s="987"/>
      <c r="K873" s="436" t="s">
        <v>479</v>
      </c>
      <c r="L873" s="436" t="s">
        <v>554</v>
      </c>
      <c r="M873" s="436" t="s">
        <v>5237</v>
      </c>
      <c r="N873" s="987"/>
      <c r="O873" s="987"/>
      <c r="P873" s="987"/>
      <c r="Q873" s="987"/>
      <c r="R873" s="987"/>
      <c r="S873" s="987"/>
      <c r="T873" s="987"/>
      <c r="U873" s="987"/>
      <c r="V873" s="987"/>
      <c r="W873" s="987"/>
      <c r="X873" s="987"/>
      <c r="Y873" s="987"/>
      <c r="Z873" s="987"/>
      <c r="AA873" s="986"/>
    </row>
    <row r="874" hidden="1">
      <c r="A874" s="995">
        <v>824.0</v>
      </c>
      <c r="B874" s="988">
        <v>45265.0</v>
      </c>
      <c r="C874" s="989" t="s">
        <v>3054</v>
      </c>
      <c r="D874" s="434" t="s">
        <v>1766</v>
      </c>
      <c r="E874" s="434" t="s">
        <v>1865</v>
      </c>
      <c r="F874" s="990">
        <v>1.6451468E7</v>
      </c>
      <c r="G874" s="434" t="s">
        <v>42</v>
      </c>
      <c r="H874" s="989" t="s">
        <v>6052</v>
      </c>
      <c r="I874" s="993" t="s">
        <v>6053</v>
      </c>
      <c r="J874" s="987"/>
      <c r="K874" s="987"/>
      <c r="L874" s="987"/>
      <c r="M874" s="987"/>
      <c r="N874" s="987"/>
      <c r="O874" s="436" t="s">
        <v>62</v>
      </c>
      <c r="P874" s="995">
        <v>45282.0</v>
      </c>
      <c r="Q874" s="987"/>
      <c r="R874" s="987"/>
      <c r="S874" s="436" t="s">
        <v>62</v>
      </c>
      <c r="T874" s="995">
        <v>45282.0</v>
      </c>
      <c r="U874" s="436" t="s">
        <v>62</v>
      </c>
      <c r="V874" s="995">
        <v>45327.0</v>
      </c>
      <c r="W874" s="987"/>
      <c r="X874" s="987"/>
      <c r="Y874" s="987"/>
      <c r="Z874" s="987"/>
      <c r="AA874" s="986"/>
    </row>
    <row r="875" hidden="1">
      <c r="A875" s="995">
        <v>825.0</v>
      </c>
      <c r="B875" s="988">
        <v>45266.0</v>
      </c>
      <c r="C875" s="989" t="s">
        <v>3660</v>
      </c>
      <c r="D875" s="434" t="s">
        <v>205</v>
      </c>
      <c r="E875" s="434" t="s">
        <v>49</v>
      </c>
      <c r="F875" s="990">
        <v>1.8240415E7</v>
      </c>
      <c r="G875" s="434" t="s">
        <v>51</v>
      </c>
      <c r="H875" s="989" t="s">
        <v>6054</v>
      </c>
      <c r="I875" s="989" t="s">
        <v>6055</v>
      </c>
      <c r="J875" s="987"/>
      <c r="K875" s="436" t="s">
        <v>3663</v>
      </c>
      <c r="L875" s="436" t="s">
        <v>1902</v>
      </c>
      <c r="M875" s="436" t="s">
        <v>610</v>
      </c>
      <c r="N875" s="987"/>
      <c r="O875" s="987"/>
      <c r="P875" s="987"/>
      <c r="Q875" s="987"/>
      <c r="R875" s="987"/>
      <c r="S875" s="987"/>
      <c r="T875" s="987"/>
      <c r="U875" s="987"/>
      <c r="V875" s="987"/>
      <c r="W875" s="987"/>
      <c r="X875" s="987"/>
      <c r="Y875" s="987"/>
      <c r="Z875" s="987"/>
      <c r="AA875" s="986"/>
    </row>
    <row r="876" hidden="1">
      <c r="A876" s="995">
        <v>826.0</v>
      </c>
      <c r="B876" s="991">
        <v>45274.0</v>
      </c>
      <c r="C876" s="989" t="s">
        <v>5805</v>
      </c>
      <c r="D876" s="434" t="s">
        <v>417</v>
      </c>
      <c r="E876" s="434" t="s">
        <v>3043</v>
      </c>
      <c r="F876" s="990">
        <v>1.6340503E7</v>
      </c>
      <c r="G876" s="434" t="s">
        <v>200</v>
      </c>
      <c r="H876" s="989" t="s">
        <v>3050</v>
      </c>
      <c r="I876" s="989" t="s">
        <v>6056</v>
      </c>
      <c r="J876" s="987"/>
      <c r="K876" s="436" t="s">
        <v>265</v>
      </c>
      <c r="L876" s="987"/>
      <c r="M876" s="436" t="s">
        <v>267</v>
      </c>
      <c r="N876" s="987"/>
      <c r="O876" s="987"/>
      <c r="P876" s="987"/>
      <c r="Q876" s="987"/>
      <c r="R876" s="987"/>
      <c r="S876" s="987"/>
      <c r="T876" s="987"/>
      <c r="U876" s="436" t="s">
        <v>62</v>
      </c>
      <c r="V876" s="995">
        <v>45306.0</v>
      </c>
      <c r="W876" s="987"/>
      <c r="X876" s="987"/>
      <c r="Y876" s="987"/>
      <c r="Z876" s="987"/>
      <c r="AA876" s="986"/>
    </row>
    <row r="877" hidden="1">
      <c r="A877" s="995">
        <v>827.0</v>
      </c>
      <c r="B877" s="991">
        <v>45274.0</v>
      </c>
      <c r="C877" s="989" t="s">
        <v>5805</v>
      </c>
      <c r="D877" s="434" t="s">
        <v>417</v>
      </c>
      <c r="E877" s="434" t="s">
        <v>3043</v>
      </c>
      <c r="F877" s="990">
        <v>1.6340504E7</v>
      </c>
      <c r="G877" s="434" t="s">
        <v>200</v>
      </c>
      <c r="H877" s="989" t="s">
        <v>6057</v>
      </c>
      <c r="I877" s="989" t="s">
        <v>6056</v>
      </c>
      <c r="J877" s="987"/>
      <c r="K877" s="436" t="s">
        <v>265</v>
      </c>
      <c r="L877" s="987"/>
      <c r="M877" s="436" t="s">
        <v>267</v>
      </c>
      <c r="N877" s="987"/>
      <c r="O877" s="987"/>
      <c r="P877" s="987"/>
      <c r="Q877" s="987"/>
      <c r="R877" s="987"/>
      <c r="S877" s="987"/>
      <c r="T877" s="987"/>
      <c r="U877" s="436" t="s">
        <v>62</v>
      </c>
      <c r="V877" s="995">
        <v>45306.0</v>
      </c>
      <c r="W877" s="987"/>
      <c r="X877" s="987"/>
      <c r="Y877" s="987"/>
      <c r="Z877" s="987"/>
      <c r="AA877" s="986"/>
    </row>
    <row r="878" hidden="1">
      <c r="A878" s="995">
        <v>828.0</v>
      </c>
      <c r="B878" s="991">
        <v>45274.0</v>
      </c>
      <c r="C878" s="989" t="s">
        <v>5805</v>
      </c>
      <c r="D878" s="434" t="s">
        <v>417</v>
      </c>
      <c r="E878" s="434" t="s">
        <v>3043</v>
      </c>
      <c r="F878" s="990">
        <v>1.6340505E7</v>
      </c>
      <c r="G878" s="434" t="s">
        <v>200</v>
      </c>
      <c r="H878" s="989" t="s">
        <v>6058</v>
      </c>
      <c r="I878" s="989" t="s">
        <v>6056</v>
      </c>
      <c r="J878" s="987"/>
      <c r="K878" s="436" t="s">
        <v>265</v>
      </c>
      <c r="L878" s="987"/>
      <c r="M878" s="436" t="s">
        <v>267</v>
      </c>
      <c r="N878" s="987"/>
      <c r="O878" s="987"/>
      <c r="P878" s="987"/>
      <c r="Q878" s="987"/>
      <c r="R878" s="987"/>
      <c r="S878" s="987"/>
      <c r="T878" s="987"/>
      <c r="U878" s="436" t="s">
        <v>62</v>
      </c>
      <c r="V878" s="995">
        <v>45306.0</v>
      </c>
      <c r="W878" s="987"/>
      <c r="X878" s="987"/>
      <c r="Y878" s="987"/>
      <c r="Z878" s="987"/>
      <c r="AA878" s="986"/>
    </row>
    <row r="879" hidden="1">
      <c r="A879" s="995">
        <v>829.0</v>
      </c>
      <c r="B879" s="991">
        <v>45275.0</v>
      </c>
      <c r="C879" s="989" t="s">
        <v>6059</v>
      </c>
      <c r="D879" s="434" t="s">
        <v>918</v>
      </c>
      <c r="E879" s="434" t="s">
        <v>3043</v>
      </c>
      <c r="F879" s="434" t="s">
        <v>50</v>
      </c>
      <c r="G879" s="434" t="s">
        <v>32</v>
      </c>
      <c r="H879" s="989" t="s">
        <v>6060</v>
      </c>
      <c r="I879" s="989" t="s">
        <v>6061</v>
      </c>
      <c r="J879" s="987"/>
      <c r="K879" s="436" t="s">
        <v>284</v>
      </c>
      <c r="L879" s="436" t="s">
        <v>4998</v>
      </c>
      <c r="M879" s="436" t="s">
        <v>2852</v>
      </c>
      <c r="N879" s="987"/>
      <c r="O879" s="987"/>
      <c r="P879" s="987"/>
      <c r="Q879" s="987"/>
      <c r="R879" s="987"/>
      <c r="S879" s="987"/>
      <c r="T879" s="987"/>
      <c r="U879" s="987"/>
      <c r="V879" s="987"/>
      <c r="W879" s="987"/>
      <c r="X879" s="987"/>
      <c r="Y879" s="987"/>
      <c r="Z879" s="987"/>
      <c r="AA879" s="986"/>
    </row>
    <row r="880" hidden="1">
      <c r="A880" s="995">
        <v>830.0</v>
      </c>
      <c r="B880" s="991">
        <v>45275.0</v>
      </c>
      <c r="C880" s="989" t="s">
        <v>6059</v>
      </c>
      <c r="D880" s="434" t="s">
        <v>918</v>
      </c>
      <c r="E880" s="434" t="s">
        <v>3043</v>
      </c>
      <c r="F880" s="434" t="s">
        <v>50</v>
      </c>
      <c r="G880" s="434" t="s">
        <v>32</v>
      </c>
      <c r="H880" s="989" t="s">
        <v>6062</v>
      </c>
      <c r="I880" s="989" t="s">
        <v>6061</v>
      </c>
      <c r="J880" s="987"/>
      <c r="K880" s="436" t="s">
        <v>284</v>
      </c>
      <c r="L880" s="436" t="s">
        <v>4998</v>
      </c>
      <c r="M880" s="436" t="s">
        <v>2852</v>
      </c>
      <c r="N880" s="987"/>
      <c r="O880" s="987"/>
      <c r="P880" s="987"/>
      <c r="Q880" s="987"/>
      <c r="R880" s="987"/>
      <c r="S880" s="987"/>
      <c r="T880" s="987"/>
      <c r="U880" s="987"/>
      <c r="V880" s="987"/>
      <c r="W880" s="987"/>
      <c r="X880" s="987"/>
      <c r="Y880" s="987"/>
      <c r="Z880" s="987"/>
      <c r="AA880" s="986"/>
    </row>
    <row r="881" hidden="1">
      <c r="A881" s="995">
        <v>831.0</v>
      </c>
      <c r="B881" s="991">
        <v>45275.0</v>
      </c>
      <c r="C881" s="989" t="s">
        <v>6059</v>
      </c>
      <c r="D881" s="434" t="s">
        <v>918</v>
      </c>
      <c r="E881" s="434" t="s">
        <v>3043</v>
      </c>
      <c r="F881" s="434" t="s">
        <v>50</v>
      </c>
      <c r="G881" s="434" t="s">
        <v>32</v>
      </c>
      <c r="H881" s="989" t="s">
        <v>6063</v>
      </c>
      <c r="I881" s="989" t="s">
        <v>6064</v>
      </c>
      <c r="J881" s="987"/>
      <c r="K881" s="436" t="s">
        <v>284</v>
      </c>
      <c r="L881" s="436" t="s">
        <v>5257</v>
      </c>
      <c r="M881" s="436" t="s">
        <v>2852</v>
      </c>
      <c r="N881" s="987"/>
      <c r="O881" s="987"/>
      <c r="P881" s="987"/>
      <c r="Q881" s="987"/>
      <c r="R881" s="987"/>
      <c r="S881" s="987"/>
      <c r="T881" s="987"/>
      <c r="U881" s="987"/>
      <c r="V881" s="987"/>
      <c r="W881" s="987"/>
      <c r="X881" s="987"/>
      <c r="Y881" s="987"/>
      <c r="Z881" s="987"/>
      <c r="AA881" s="986"/>
    </row>
    <row r="882" hidden="1">
      <c r="A882" s="995">
        <v>832.0</v>
      </c>
      <c r="B882" s="991">
        <v>45275.0</v>
      </c>
      <c r="C882" s="989" t="s">
        <v>6059</v>
      </c>
      <c r="D882" s="434" t="s">
        <v>918</v>
      </c>
      <c r="E882" s="434" t="s">
        <v>3043</v>
      </c>
      <c r="F882" s="434" t="s">
        <v>50</v>
      </c>
      <c r="G882" s="434" t="s">
        <v>32</v>
      </c>
      <c r="H882" s="989" t="s">
        <v>6065</v>
      </c>
      <c r="I882" s="989" t="s">
        <v>6066</v>
      </c>
      <c r="J882" s="987"/>
      <c r="K882" s="436" t="s">
        <v>284</v>
      </c>
      <c r="L882" s="436" t="s">
        <v>3694</v>
      </c>
      <c r="M882" s="436" t="s">
        <v>2852</v>
      </c>
      <c r="N882" s="987"/>
      <c r="O882" s="987"/>
      <c r="P882" s="987"/>
      <c r="Q882" s="987"/>
      <c r="R882" s="987"/>
      <c r="S882" s="987"/>
      <c r="T882" s="987"/>
      <c r="U882" s="987"/>
      <c r="V882" s="987"/>
      <c r="W882" s="987"/>
      <c r="X882" s="987"/>
      <c r="Y882" s="987"/>
      <c r="Z882" s="987"/>
      <c r="AA882" s="986"/>
    </row>
    <row r="883" hidden="1">
      <c r="A883" s="995">
        <v>833.0</v>
      </c>
      <c r="B883" s="991">
        <v>45275.0</v>
      </c>
      <c r="C883" s="989" t="s">
        <v>6059</v>
      </c>
      <c r="D883" s="434" t="s">
        <v>918</v>
      </c>
      <c r="E883" s="434" t="s">
        <v>3043</v>
      </c>
      <c r="F883" s="434" t="s">
        <v>50</v>
      </c>
      <c r="G883" s="434" t="s">
        <v>32</v>
      </c>
      <c r="H883" s="989" t="s">
        <v>6067</v>
      </c>
      <c r="I883" s="989" t="s">
        <v>6064</v>
      </c>
      <c r="J883" s="987"/>
      <c r="K883" s="436" t="s">
        <v>284</v>
      </c>
      <c r="L883" s="436" t="s">
        <v>5257</v>
      </c>
      <c r="M883" s="436" t="s">
        <v>2852</v>
      </c>
      <c r="N883" s="987"/>
      <c r="O883" s="987"/>
      <c r="P883" s="987"/>
      <c r="Q883" s="987"/>
      <c r="R883" s="987"/>
      <c r="S883" s="987"/>
      <c r="T883" s="987"/>
      <c r="U883" s="987"/>
      <c r="V883" s="987"/>
      <c r="W883" s="987"/>
      <c r="X883" s="987"/>
      <c r="Y883" s="987"/>
      <c r="Z883" s="987"/>
      <c r="AA883" s="986"/>
    </row>
    <row r="884" hidden="1">
      <c r="A884" s="995">
        <v>834.0</v>
      </c>
      <c r="B884" s="991">
        <v>45275.0</v>
      </c>
      <c r="C884" s="989" t="s">
        <v>6059</v>
      </c>
      <c r="D884" s="434" t="s">
        <v>918</v>
      </c>
      <c r="E884" s="434" t="s">
        <v>3043</v>
      </c>
      <c r="F884" s="434" t="s">
        <v>50</v>
      </c>
      <c r="G884" s="434" t="s">
        <v>32</v>
      </c>
      <c r="H884" s="989" t="s">
        <v>6068</v>
      </c>
      <c r="I884" s="989" t="s">
        <v>6064</v>
      </c>
      <c r="J884" s="987"/>
      <c r="K884" s="436" t="s">
        <v>284</v>
      </c>
      <c r="L884" s="436" t="s">
        <v>5257</v>
      </c>
      <c r="M884" s="436" t="s">
        <v>2852</v>
      </c>
      <c r="N884" s="987"/>
      <c r="O884" s="987"/>
      <c r="P884" s="987"/>
      <c r="Q884" s="987"/>
      <c r="R884" s="987"/>
      <c r="S884" s="987"/>
      <c r="T884" s="987"/>
      <c r="U884" s="987"/>
      <c r="V884" s="987"/>
      <c r="W884" s="987"/>
      <c r="X884" s="987"/>
      <c r="Y884" s="987"/>
      <c r="Z884" s="987"/>
      <c r="AA884" s="986"/>
    </row>
    <row r="885" hidden="1">
      <c r="A885" s="995">
        <v>835.0</v>
      </c>
      <c r="B885" s="991">
        <v>45275.0</v>
      </c>
      <c r="C885" s="989" t="s">
        <v>6059</v>
      </c>
      <c r="D885" s="434" t="s">
        <v>918</v>
      </c>
      <c r="E885" s="434" t="s">
        <v>3043</v>
      </c>
      <c r="F885" s="434" t="s">
        <v>50</v>
      </c>
      <c r="G885" s="434" t="s">
        <v>32</v>
      </c>
      <c r="H885" s="989" t="s">
        <v>6069</v>
      </c>
      <c r="I885" s="989" t="s">
        <v>6066</v>
      </c>
      <c r="J885" s="987"/>
      <c r="K885" s="436" t="s">
        <v>284</v>
      </c>
      <c r="L885" s="436" t="s">
        <v>3694</v>
      </c>
      <c r="M885" s="436" t="s">
        <v>2852</v>
      </c>
      <c r="N885" s="987"/>
      <c r="O885" s="987"/>
      <c r="P885" s="987"/>
      <c r="Q885" s="987"/>
      <c r="R885" s="987"/>
      <c r="S885" s="987"/>
      <c r="T885" s="987"/>
      <c r="U885" s="987"/>
      <c r="V885" s="987"/>
      <c r="W885" s="987"/>
      <c r="X885" s="987"/>
      <c r="Y885" s="987"/>
      <c r="Z885" s="987"/>
      <c r="AA885" s="986"/>
    </row>
    <row r="886" hidden="1">
      <c r="A886" s="995">
        <v>836.0</v>
      </c>
      <c r="B886" s="991">
        <v>45274.0</v>
      </c>
      <c r="C886" s="989" t="s">
        <v>2885</v>
      </c>
      <c r="D886" s="434" t="s">
        <v>1386</v>
      </c>
      <c r="E886" s="434" t="s">
        <v>3043</v>
      </c>
      <c r="F886" s="434" t="s">
        <v>50</v>
      </c>
      <c r="G886" s="434" t="s">
        <v>200</v>
      </c>
      <c r="H886" s="989" t="s">
        <v>6070</v>
      </c>
      <c r="I886" s="989" t="s">
        <v>6071</v>
      </c>
      <c r="J886" s="987"/>
      <c r="K886" s="436" t="s">
        <v>2416</v>
      </c>
      <c r="L886" s="436" t="s">
        <v>5305</v>
      </c>
      <c r="M886" s="436" t="s">
        <v>2852</v>
      </c>
      <c r="N886" s="987"/>
      <c r="O886" s="987"/>
      <c r="P886" s="987"/>
      <c r="Q886" s="987"/>
      <c r="R886" s="987"/>
      <c r="S886" s="987"/>
      <c r="T886" s="987"/>
      <c r="U886" s="987"/>
      <c r="V886" s="987"/>
      <c r="W886" s="987"/>
      <c r="X886" s="987"/>
      <c r="Y886" s="987"/>
      <c r="Z886" s="987"/>
      <c r="AA886" s="986"/>
    </row>
    <row r="887" hidden="1">
      <c r="A887" s="995">
        <v>839.0</v>
      </c>
      <c r="B887" s="991">
        <v>45280.0</v>
      </c>
      <c r="C887" s="989" t="s">
        <v>6059</v>
      </c>
      <c r="D887" s="434" t="s">
        <v>918</v>
      </c>
      <c r="E887" s="434" t="s">
        <v>3043</v>
      </c>
      <c r="F887" s="990">
        <v>1.6531459E7</v>
      </c>
      <c r="G887" s="434" t="s">
        <v>32</v>
      </c>
      <c r="H887" s="989" t="s">
        <v>6072</v>
      </c>
      <c r="I887" s="989" t="s">
        <v>6073</v>
      </c>
      <c r="J887" s="987"/>
      <c r="K887" s="436" t="s">
        <v>6074</v>
      </c>
      <c r="L887" s="436" t="s">
        <v>863</v>
      </c>
      <c r="M887" s="436" t="s">
        <v>1663</v>
      </c>
      <c r="N887" s="987"/>
      <c r="O887" s="987"/>
      <c r="P887" s="987"/>
      <c r="Q887" s="987"/>
      <c r="R887" s="987"/>
      <c r="S887" s="987"/>
      <c r="T887" s="987"/>
      <c r="U887" s="987"/>
      <c r="V887" s="987"/>
      <c r="W887" s="987"/>
      <c r="X887" s="987"/>
      <c r="Y887" s="987"/>
      <c r="Z887" s="987"/>
      <c r="AA887" s="986"/>
    </row>
    <row r="888" hidden="1">
      <c r="A888" s="995">
        <v>840.0</v>
      </c>
      <c r="B888" s="991">
        <v>45212.0</v>
      </c>
      <c r="C888" s="989" t="s">
        <v>5825</v>
      </c>
      <c r="D888" s="434" t="s">
        <v>89</v>
      </c>
      <c r="E888" s="434" t="s">
        <v>111</v>
      </c>
      <c r="F888" s="990">
        <v>1.5831069E7</v>
      </c>
      <c r="G888" s="434" t="s">
        <v>51</v>
      </c>
      <c r="H888" s="989" t="s">
        <v>6075</v>
      </c>
      <c r="I888" s="993" t="s">
        <v>6076</v>
      </c>
      <c r="J888" s="987"/>
      <c r="K888" s="436" t="s">
        <v>92</v>
      </c>
      <c r="L888" s="987"/>
      <c r="M888" s="987"/>
      <c r="N888" s="987"/>
      <c r="O888" s="987"/>
      <c r="P888" s="987"/>
      <c r="Q888" s="987"/>
      <c r="R888" s="987"/>
      <c r="S888" s="987"/>
      <c r="T888" s="987"/>
      <c r="U888" s="436" t="s">
        <v>62</v>
      </c>
      <c r="V888" s="995">
        <v>45302.0</v>
      </c>
      <c r="W888" s="987"/>
      <c r="X888" s="987"/>
      <c r="Y888" s="987"/>
      <c r="Z888" s="987"/>
      <c r="AA888" s="986"/>
    </row>
    <row r="889" hidden="1">
      <c r="A889" s="995">
        <v>842.0</v>
      </c>
      <c r="B889" s="991">
        <v>45279.0</v>
      </c>
      <c r="C889" s="989" t="s">
        <v>3074</v>
      </c>
      <c r="D889" s="434" t="s">
        <v>759</v>
      </c>
      <c r="E889" s="434" t="s">
        <v>6077</v>
      </c>
      <c r="F889" s="992"/>
      <c r="G889" s="434" t="s">
        <v>32</v>
      </c>
      <c r="H889" s="989" t="s">
        <v>6078</v>
      </c>
      <c r="I889" s="989" t="s">
        <v>6079</v>
      </c>
      <c r="J889" s="987"/>
      <c r="K889" s="436" t="s">
        <v>904</v>
      </c>
      <c r="L889" s="436" t="s">
        <v>905</v>
      </c>
      <c r="M889" s="436" t="s">
        <v>2189</v>
      </c>
      <c r="N889" s="987"/>
      <c r="O889" s="987"/>
      <c r="P889" s="987"/>
      <c r="Q889" s="987"/>
      <c r="R889" s="987"/>
      <c r="S889" s="436" t="s">
        <v>62</v>
      </c>
      <c r="T889" s="995">
        <v>45366.0</v>
      </c>
      <c r="U889" s="987"/>
      <c r="V889" s="987"/>
      <c r="W889" s="987"/>
      <c r="X889" s="987"/>
      <c r="Y889" s="987"/>
      <c r="Z889" s="987"/>
      <c r="AA889" s="986"/>
    </row>
    <row r="890" hidden="1">
      <c r="A890" s="995">
        <v>844.0</v>
      </c>
      <c r="B890" s="991">
        <v>45282.0</v>
      </c>
      <c r="C890" s="989" t="s">
        <v>6059</v>
      </c>
      <c r="D890" s="434" t="s">
        <v>918</v>
      </c>
      <c r="E890" s="434" t="s">
        <v>3043</v>
      </c>
      <c r="F890" s="434" t="s">
        <v>50</v>
      </c>
      <c r="G890" s="434" t="s">
        <v>32</v>
      </c>
      <c r="H890" s="989" t="s">
        <v>6080</v>
      </c>
      <c r="I890" s="989" t="s">
        <v>6081</v>
      </c>
      <c r="J890" s="987"/>
      <c r="K890" s="436" t="s">
        <v>284</v>
      </c>
      <c r="L890" s="436" t="s">
        <v>4998</v>
      </c>
      <c r="M890" s="436" t="s">
        <v>2852</v>
      </c>
      <c r="N890" s="987"/>
      <c r="O890" s="987"/>
      <c r="P890" s="987"/>
      <c r="Q890" s="987"/>
      <c r="R890" s="987"/>
      <c r="S890" s="987"/>
      <c r="T890" s="987"/>
      <c r="U890" s="987"/>
      <c r="V890" s="987"/>
      <c r="W890" s="987"/>
      <c r="X890" s="987"/>
      <c r="Y890" s="987"/>
      <c r="Z890" s="987"/>
      <c r="AA890" s="986"/>
    </row>
    <row r="891" hidden="1">
      <c r="A891" s="995">
        <v>845.0</v>
      </c>
      <c r="B891" s="991">
        <v>45282.0</v>
      </c>
      <c r="C891" s="989" t="s">
        <v>6059</v>
      </c>
      <c r="D891" s="434" t="s">
        <v>918</v>
      </c>
      <c r="E891" s="434" t="s">
        <v>3043</v>
      </c>
      <c r="F891" s="434" t="s">
        <v>50</v>
      </c>
      <c r="G891" s="434" t="s">
        <v>32</v>
      </c>
      <c r="H891" s="989" t="s">
        <v>6082</v>
      </c>
      <c r="I891" s="989" t="s">
        <v>6083</v>
      </c>
      <c r="J891" s="987"/>
      <c r="K891" s="436" t="s">
        <v>284</v>
      </c>
      <c r="L891" s="436" t="s">
        <v>3694</v>
      </c>
      <c r="M891" s="436" t="s">
        <v>2852</v>
      </c>
      <c r="N891" s="987"/>
      <c r="O891" s="987"/>
      <c r="P891" s="987"/>
      <c r="Q891" s="987"/>
      <c r="R891" s="987"/>
      <c r="S891" s="987"/>
      <c r="T891" s="987"/>
      <c r="U891" s="987"/>
      <c r="V891" s="987"/>
      <c r="W891" s="987"/>
      <c r="X891" s="987"/>
      <c r="Y891" s="987"/>
      <c r="Z891" s="987"/>
      <c r="AA891" s="986"/>
    </row>
    <row r="892" hidden="1">
      <c r="A892" s="995">
        <v>846.0</v>
      </c>
      <c r="B892" s="991">
        <v>45282.0</v>
      </c>
      <c r="C892" s="989" t="s">
        <v>6059</v>
      </c>
      <c r="D892" s="434" t="s">
        <v>918</v>
      </c>
      <c r="E892" s="434" t="s">
        <v>3043</v>
      </c>
      <c r="F892" s="434" t="s">
        <v>50</v>
      </c>
      <c r="G892" s="434" t="s">
        <v>32</v>
      </c>
      <c r="H892" s="989" t="s">
        <v>6084</v>
      </c>
      <c r="I892" s="989" t="s">
        <v>6081</v>
      </c>
      <c r="J892" s="987"/>
      <c r="K892" s="436" t="s">
        <v>284</v>
      </c>
      <c r="L892" s="436" t="s">
        <v>4998</v>
      </c>
      <c r="M892" s="436" t="s">
        <v>2852</v>
      </c>
      <c r="N892" s="987"/>
      <c r="O892" s="987"/>
      <c r="P892" s="987"/>
      <c r="Q892" s="987"/>
      <c r="R892" s="987"/>
      <c r="S892" s="987"/>
      <c r="T892" s="987"/>
      <c r="U892" s="987"/>
      <c r="V892" s="987"/>
      <c r="W892" s="987"/>
      <c r="X892" s="987"/>
      <c r="Y892" s="987"/>
      <c r="Z892" s="987"/>
      <c r="AA892" s="986"/>
    </row>
    <row r="893" hidden="1">
      <c r="A893" s="995">
        <v>847.0</v>
      </c>
      <c r="B893" s="991">
        <v>45282.0</v>
      </c>
      <c r="C893" s="989" t="s">
        <v>6059</v>
      </c>
      <c r="D893" s="434" t="s">
        <v>918</v>
      </c>
      <c r="E893" s="434" t="s">
        <v>3043</v>
      </c>
      <c r="F893" s="434" t="s">
        <v>50</v>
      </c>
      <c r="G893" s="434" t="s">
        <v>32</v>
      </c>
      <c r="H893" s="989" t="s">
        <v>6085</v>
      </c>
      <c r="I893" s="989" t="s">
        <v>6086</v>
      </c>
      <c r="J893" s="987"/>
      <c r="K893" s="436" t="s">
        <v>284</v>
      </c>
      <c r="L893" s="436" t="s">
        <v>5257</v>
      </c>
      <c r="M893" s="436" t="s">
        <v>2852</v>
      </c>
      <c r="N893" s="987"/>
      <c r="O893" s="987"/>
      <c r="P893" s="987"/>
      <c r="Q893" s="987"/>
      <c r="R893" s="987"/>
      <c r="S893" s="987"/>
      <c r="T893" s="987"/>
      <c r="U893" s="987"/>
      <c r="V893" s="987"/>
      <c r="W893" s="987"/>
      <c r="X893" s="987"/>
      <c r="Y893" s="987"/>
      <c r="Z893" s="987"/>
      <c r="AA893" s="986"/>
    </row>
    <row r="894" hidden="1">
      <c r="A894" s="995">
        <v>848.0</v>
      </c>
      <c r="B894" s="991">
        <v>45282.0</v>
      </c>
      <c r="C894" s="989" t="s">
        <v>6059</v>
      </c>
      <c r="D894" s="434" t="s">
        <v>918</v>
      </c>
      <c r="E894" s="434" t="s">
        <v>3043</v>
      </c>
      <c r="F894" s="434" t="s">
        <v>50</v>
      </c>
      <c r="G894" s="434" t="s">
        <v>32</v>
      </c>
      <c r="H894" s="989" t="s">
        <v>6087</v>
      </c>
      <c r="I894" s="989" t="s">
        <v>6083</v>
      </c>
      <c r="J894" s="987"/>
      <c r="K894" s="436" t="s">
        <v>284</v>
      </c>
      <c r="L894" s="436" t="s">
        <v>3694</v>
      </c>
      <c r="M894" s="436" t="s">
        <v>2852</v>
      </c>
      <c r="N894" s="987"/>
      <c r="O894" s="987"/>
      <c r="P894" s="987"/>
      <c r="Q894" s="987"/>
      <c r="R894" s="987"/>
      <c r="S894" s="987"/>
      <c r="T894" s="987"/>
      <c r="U894" s="987"/>
      <c r="V894" s="987"/>
      <c r="W894" s="987"/>
      <c r="X894" s="987"/>
      <c r="Y894" s="987"/>
      <c r="Z894" s="987"/>
      <c r="AA894" s="986"/>
    </row>
    <row r="895" hidden="1">
      <c r="A895" s="995">
        <v>849.0</v>
      </c>
      <c r="B895" s="991">
        <v>45282.0</v>
      </c>
      <c r="C895" s="989" t="s">
        <v>6059</v>
      </c>
      <c r="D895" s="434" t="s">
        <v>918</v>
      </c>
      <c r="E895" s="434" t="s">
        <v>3043</v>
      </c>
      <c r="F895" s="434" t="s">
        <v>50</v>
      </c>
      <c r="G895" s="434" t="s">
        <v>32</v>
      </c>
      <c r="H895" s="989" t="s">
        <v>6088</v>
      </c>
      <c r="I895" s="989" t="s">
        <v>6081</v>
      </c>
      <c r="J895" s="987"/>
      <c r="K895" s="436" t="s">
        <v>284</v>
      </c>
      <c r="L895" s="436" t="s">
        <v>4998</v>
      </c>
      <c r="M895" s="436" t="s">
        <v>2852</v>
      </c>
      <c r="N895" s="987"/>
      <c r="O895" s="987"/>
      <c r="P895" s="987"/>
      <c r="Q895" s="987"/>
      <c r="R895" s="987"/>
      <c r="S895" s="987"/>
      <c r="T895" s="987"/>
      <c r="U895" s="987"/>
      <c r="V895" s="987"/>
      <c r="W895" s="987"/>
      <c r="X895" s="987"/>
      <c r="Y895" s="987"/>
      <c r="Z895" s="987"/>
      <c r="AA895" s="986"/>
    </row>
    <row r="896" hidden="1">
      <c r="A896" s="995">
        <v>850.0</v>
      </c>
      <c r="B896" s="991">
        <v>45282.0</v>
      </c>
      <c r="C896" s="989" t="s">
        <v>6059</v>
      </c>
      <c r="D896" s="434" t="s">
        <v>918</v>
      </c>
      <c r="E896" s="434" t="s">
        <v>3043</v>
      </c>
      <c r="F896" s="434" t="s">
        <v>50</v>
      </c>
      <c r="G896" s="434" t="s">
        <v>32</v>
      </c>
      <c r="H896" s="989" t="s">
        <v>6089</v>
      </c>
      <c r="I896" s="989" t="s">
        <v>6083</v>
      </c>
      <c r="J896" s="987"/>
      <c r="K896" s="436" t="s">
        <v>284</v>
      </c>
      <c r="L896" s="436" t="s">
        <v>3694</v>
      </c>
      <c r="M896" s="436" t="s">
        <v>2852</v>
      </c>
      <c r="N896" s="987"/>
      <c r="O896" s="987"/>
      <c r="P896" s="987"/>
      <c r="Q896" s="987"/>
      <c r="R896" s="987"/>
      <c r="S896" s="987"/>
      <c r="T896" s="987"/>
      <c r="U896" s="987"/>
      <c r="V896" s="987"/>
      <c r="W896" s="987"/>
      <c r="X896" s="987"/>
      <c r="Y896" s="987"/>
      <c r="Z896" s="987"/>
      <c r="AA896" s="986"/>
    </row>
    <row r="897" hidden="1">
      <c r="A897" s="995">
        <v>851.0</v>
      </c>
      <c r="B897" s="991">
        <v>45282.0</v>
      </c>
      <c r="C897" s="989" t="s">
        <v>6059</v>
      </c>
      <c r="D897" s="434" t="s">
        <v>918</v>
      </c>
      <c r="E897" s="434" t="s">
        <v>3043</v>
      </c>
      <c r="F897" s="434" t="s">
        <v>50</v>
      </c>
      <c r="G897" s="434" t="s">
        <v>32</v>
      </c>
      <c r="H897" s="989" t="s">
        <v>6090</v>
      </c>
      <c r="I897" s="989" t="s">
        <v>6086</v>
      </c>
      <c r="J897" s="987"/>
      <c r="K897" s="436" t="s">
        <v>284</v>
      </c>
      <c r="L897" s="436" t="s">
        <v>5257</v>
      </c>
      <c r="M897" s="436" t="s">
        <v>2852</v>
      </c>
      <c r="N897" s="987"/>
      <c r="O897" s="987"/>
      <c r="P897" s="987"/>
      <c r="Q897" s="987"/>
      <c r="R897" s="987"/>
      <c r="S897" s="987"/>
      <c r="T897" s="987"/>
      <c r="U897" s="987"/>
      <c r="V897" s="987"/>
      <c r="W897" s="987"/>
      <c r="X897" s="987"/>
      <c r="Y897" s="987"/>
      <c r="Z897" s="987"/>
      <c r="AA897" s="986"/>
    </row>
    <row r="898" hidden="1">
      <c r="A898" s="995">
        <v>852.0</v>
      </c>
      <c r="B898" s="991">
        <v>45282.0</v>
      </c>
      <c r="C898" s="989" t="s">
        <v>6059</v>
      </c>
      <c r="D898" s="434" t="s">
        <v>918</v>
      </c>
      <c r="E898" s="434" t="s">
        <v>3043</v>
      </c>
      <c r="F898" s="434" t="s">
        <v>50</v>
      </c>
      <c r="G898" s="434" t="s">
        <v>32</v>
      </c>
      <c r="H898" s="989" t="s">
        <v>6091</v>
      </c>
      <c r="I898" s="989" t="s">
        <v>6081</v>
      </c>
      <c r="J898" s="987"/>
      <c r="K898" s="436" t="s">
        <v>284</v>
      </c>
      <c r="L898" s="436" t="s">
        <v>4998</v>
      </c>
      <c r="M898" s="436" t="s">
        <v>2852</v>
      </c>
      <c r="N898" s="987"/>
      <c r="O898" s="987"/>
      <c r="P898" s="987"/>
      <c r="Q898" s="987"/>
      <c r="R898" s="987"/>
      <c r="S898" s="987"/>
      <c r="T898" s="987"/>
      <c r="U898" s="987"/>
      <c r="V898" s="987"/>
      <c r="W898" s="987"/>
      <c r="X898" s="987"/>
      <c r="Y898" s="987"/>
      <c r="Z898" s="987"/>
      <c r="AA898" s="986"/>
    </row>
    <row r="899" hidden="1">
      <c r="A899" s="995">
        <v>853.0</v>
      </c>
      <c r="B899" s="991">
        <v>45282.0</v>
      </c>
      <c r="C899" s="989" t="s">
        <v>6059</v>
      </c>
      <c r="D899" s="434" t="s">
        <v>918</v>
      </c>
      <c r="E899" s="434" t="s">
        <v>3043</v>
      </c>
      <c r="F899" s="434" t="s">
        <v>50</v>
      </c>
      <c r="G899" s="434" t="s">
        <v>32</v>
      </c>
      <c r="H899" s="989" t="s">
        <v>6092</v>
      </c>
      <c r="I899" s="989" t="s">
        <v>6086</v>
      </c>
      <c r="J899" s="987"/>
      <c r="K899" s="436" t="s">
        <v>284</v>
      </c>
      <c r="L899" s="436" t="s">
        <v>5257</v>
      </c>
      <c r="M899" s="436" t="s">
        <v>2852</v>
      </c>
      <c r="N899" s="987"/>
      <c r="O899" s="987"/>
      <c r="P899" s="987"/>
      <c r="Q899" s="987"/>
      <c r="R899" s="987"/>
      <c r="S899" s="987"/>
      <c r="T899" s="987"/>
      <c r="U899" s="987"/>
      <c r="V899" s="987"/>
      <c r="W899" s="987"/>
      <c r="X899" s="987"/>
      <c r="Y899" s="987"/>
      <c r="Z899" s="987"/>
      <c r="AA899" s="986"/>
    </row>
    <row r="900" hidden="1">
      <c r="A900" s="995">
        <v>854.0</v>
      </c>
      <c r="B900" s="991">
        <v>45282.0</v>
      </c>
      <c r="C900" s="989" t="s">
        <v>6059</v>
      </c>
      <c r="D900" s="434" t="s">
        <v>918</v>
      </c>
      <c r="E900" s="434" t="s">
        <v>3043</v>
      </c>
      <c r="F900" s="434" t="s">
        <v>50</v>
      </c>
      <c r="G900" s="434" t="s">
        <v>32</v>
      </c>
      <c r="H900" s="989" t="s">
        <v>6093</v>
      </c>
      <c r="I900" s="989" t="s">
        <v>6083</v>
      </c>
      <c r="J900" s="987"/>
      <c r="K900" s="436" t="s">
        <v>284</v>
      </c>
      <c r="L900" s="436" t="s">
        <v>3694</v>
      </c>
      <c r="M900" s="436" t="s">
        <v>2852</v>
      </c>
      <c r="N900" s="987"/>
      <c r="O900" s="987"/>
      <c r="P900" s="987"/>
      <c r="Q900" s="987"/>
      <c r="R900" s="987"/>
      <c r="S900" s="987"/>
      <c r="T900" s="987"/>
      <c r="U900" s="987"/>
      <c r="V900" s="987"/>
      <c r="W900" s="987"/>
      <c r="X900" s="987"/>
      <c r="Y900" s="987"/>
      <c r="Z900" s="987"/>
      <c r="AA900" s="986"/>
    </row>
    <row r="901" hidden="1">
      <c r="A901" s="995">
        <v>855.0</v>
      </c>
      <c r="B901" s="991">
        <v>45282.0</v>
      </c>
      <c r="C901" s="989" t="s">
        <v>6059</v>
      </c>
      <c r="D901" s="434" t="s">
        <v>918</v>
      </c>
      <c r="E901" s="434" t="s">
        <v>3043</v>
      </c>
      <c r="F901" s="434" t="s">
        <v>50</v>
      </c>
      <c r="G901" s="434" t="s">
        <v>32</v>
      </c>
      <c r="H901" s="989" t="s">
        <v>6094</v>
      </c>
      <c r="I901" s="989" t="s">
        <v>6081</v>
      </c>
      <c r="J901" s="987"/>
      <c r="K901" s="436" t="s">
        <v>284</v>
      </c>
      <c r="L901" s="436" t="s">
        <v>4998</v>
      </c>
      <c r="M901" s="436" t="s">
        <v>2852</v>
      </c>
      <c r="N901" s="987"/>
      <c r="O901" s="987"/>
      <c r="P901" s="987"/>
      <c r="Q901" s="987"/>
      <c r="R901" s="987"/>
      <c r="S901" s="987"/>
      <c r="T901" s="987"/>
      <c r="U901" s="987"/>
      <c r="V901" s="987"/>
      <c r="W901" s="987"/>
      <c r="X901" s="987"/>
      <c r="Y901" s="987"/>
      <c r="Z901" s="987"/>
      <c r="AA901" s="986"/>
    </row>
    <row r="902" hidden="1">
      <c r="A902" s="995">
        <v>856.0</v>
      </c>
      <c r="B902" s="991">
        <v>45282.0</v>
      </c>
      <c r="C902" s="989" t="s">
        <v>6059</v>
      </c>
      <c r="D902" s="434" t="s">
        <v>918</v>
      </c>
      <c r="E902" s="434" t="s">
        <v>3043</v>
      </c>
      <c r="F902" s="434" t="s">
        <v>50</v>
      </c>
      <c r="G902" s="434" t="s">
        <v>32</v>
      </c>
      <c r="H902" s="989" t="s">
        <v>6095</v>
      </c>
      <c r="I902" s="989" t="s">
        <v>6086</v>
      </c>
      <c r="J902" s="987"/>
      <c r="K902" s="436" t="s">
        <v>284</v>
      </c>
      <c r="L902" s="436" t="s">
        <v>5257</v>
      </c>
      <c r="M902" s="436" t="s">
        <v>2852</v>
      </c>
      <c r="N902" s="987"/>
      <c r="O902" s="987"/>
      <c r="P902" s="987"/>
      <c r="Q902" s="987"/>
      <c r="R902" s="987"/>
      <c r="S902" s="987"/>
      <c r="T902" s="987"/>
      <c r="U902" s="987"/>
      <c r="V902" s="987"/>
      <c r="W902" s="987"/>
      <c r="X902" s="987"/>
      <c r="Y902" s="987"/>
      <c r="Z902" s="987"/>
      <c r="AA902" s="986"/>
    </row>
    <row r="903" hidden="1">
      <c r="A903" s="995">
        <v>857.0</v>
      </c>
      <c r="B903" s="991">
        <v>45282.0</v>
      </c>
      <c r="C903" s="989" t="s">
        <v>6059</v>
      </c>
      <c r="D903" s="434" t="s">
        <v>918</v>
      </c>
      <c r="E903" s="434" t="s">
        <v>3043</v>
      </c>
      <c r="F903" s="434" t="s">
        <v>50</v>
      </c>
      <c r="G903" s="434" t="s">
        <v>32</v>
      </c>
      <c r="H903" s="989" t="s">
        <v>6096</v>
      </c>
      <c r="I903" s="989" t="s">
        <v>6083</v>
      </c>
      <c r="J903" s="987"/>
      <c r="K903" s="436" t="s">
        <v>284</v>
      </c>
      <c r="L903" s="436" t="s">
        <v>3694</v>
      </c>
      <c r="M903" s="436" t="s">
        <v>2852</v>
      </c>
      <c r="N903" s="987"/>
      <c r="O903" s="987"/>
      <c r="P903" s="987"/>
      <c r="Q903" s="987"/>
      <c r="R903" s="987"/>
      <c r="S903" s="987"/>
      <c r="T903" s="987"/>
      <c r="U903" s="987"/>
      <c r="V903" s="987"/>
      <c r="W903" s="987"/>
      <c r="X903" s="987"/>
      <c r="Y903" s="987"/>
      <c r="Z903" s="987"/>
      <c r="AA903" s="986"/>
    </row>
    <row r="904" hidden="1">
      <c r="A904" s="995">
        <v>859.0</v>
      </c>
      <c r="B904" s="991">
        <v>45285.0</v>
      </c>
      <c r="C904" s="989" t="s">
        <v>6097</v>
      </c>
      <c r="D904" s="434" t="s">
        <v>2522</v>
      </c>
      <c r="E904" s="434" t="s">
        <v>2523</v>
      </c>
      <c r="F904" s="434" t="s">
        <v>50</v>
      </c>
      <c r="G904" s="434" t="s">
        <v>120</v>
      </c>
      <c r="H904" s="989" t="s">
        <v>6098</v>
      </c>
      <c r="I904" s="989" t="s">
        <v>6099</v>
      </c>
      <c r="J904" s="987"/>
      <c r="K904" s="436" t="s">
        <v>5069</v>
      </c>
      <c r="L904" s="436" t="s">
        <v>6100</v>
      </c>
      <c r="M904" s="987"/>
      <c r="N904" s="987"/>
      <c r="O904" s="436" t="s">
        <v>62</v>
      </c>
      <c r="P904" s="995">
        <v>45313.0</v>
      </c>
      <c r="Q904" s="987"/>
      <c r="R904" s="987"/>
      <c r="S904" s="987"/>
      <c r="T904" s="987"/>
      <c r="U904" s="987"/>
      <c r="V904" s="987"/>
      <c r="W904" s="987"/>
      <c r="X904" s="987"/>
      <c r="Y904" s="987"/>
      <c r="Z904" s="987"/>
      <c r="AA904" s="986"/>
    </row>
    <row r="905" hidden="1">
      <c r="A905" s="995">
        <v>860.0</v>
      </c>
      <c r="B905" s="991">
        <v>45282.0</v>
      </c>
      <c r="C905" s="989" t="s">
        <v>6101</v>
      </c>
      <c r="D905" s="434" t="s">
        <v>3413</v>
      </c>
      <c r="E905" s="434" t="s">
        <v>6102</v>
      </c>
      <c r="F905" s="990">
        <v>1.3600389E7</v>
      </c>
      <c r="G905" s="434" t="s">
        <v>200</v>
      </c>
      <c r="H905" s="989" t="s">
        <v>6103</v>
      </c>
      <c r="I905" s="989" t="s">
        <v>6104</v>
      </c>
      <c r="J905" s="987"/>
      <c r="K905" s="436" t="s">
        <v>6105</v>
      </c>
      <c r="L905" s="436" t="s">
        <v>6106</v>
      </c>
      <c r="M905" s="436" t="s">
        <v>6107</v>
      </c>
      <c r="N905" s="987"/>
      <c r="O905" s="987"/>
      <c r="P905" s="987"/>
      <c r="Q905" s="987"/>
      <c r="R905" s="987"/>
      <c r="S905" s="987"/>
      <c r="T905" s="987"/>
      <c r="U905" s="987"/>
      <c r="V905" s="987"/>
      <c r="W905" s="987"/>
      <c r="X905" s="987"/>
      <c r="Y905" s="987"/>
      <c r="Z905" s="987"/>
      <c r="AA905" s="986"/>
    </row>
    <row r="906" hidden="1">
      <c r="A906" s="995">
        <v>869.0</v>
      </c>
      <c r="B906" s="991">
        <v>45287.0</v>
      </c>
      <c r="C906" s="989" t="s">
        <v>6108</v>
      </c>
      <c r="D906" s="434" t="s">
        <v>791</v>
      </c>
      <c r="E906" s="434" t="s">
        <v>300</v>
      </c>
      <c r="F906" s="990">
        <v>1.8460087E7</v>
      </c>
      <c r="G906" s="434" t="s">
        <v>348</v>
      </c>
      <c r="H906" s="989" t="s">
        <v>6109</v>
      </c>
      <c r="I906" s="989" t="s">
        <v>6110</v>
      </c>
      <c r="J906" s="987"/>
      <c r="K906" s="987"/>
      <c r="L906" s="987"/>
      <c r="M906" s="987"/>
      <c r="N906" s="987"/>
      <c r="O906" s="436" t="s">
        <v>62</v>
      </c>
      <c r="P906" s="995">
        <v>45287.0</v>
      </c>
      <c r="Q906" s="987"/>
      <c r="R906" s="987"/>
      <c r="S906" s="987"/>
      <c r="T906" s="987"/>
      <c r="U906" s="436" t="s">
        <v>62</v>
      </c>
      <c r="V906" s="995">
        <v>45364.0</v>
      </c>
      <c r="W906" s="987"/>
      <c r="X906" s="987"/>
      <c r="Y906" s="987"/>
      <c r="Z906" s="987"/>
      <c r="AA906" s="986"/>
    </row>
    <row r="907" hidden="1">
      <c r="A907" s="995">
        <v>872.0</v>
      </c>
      <c r="B907" s="988">
        <v>45300.0</v>
      </c>
      <c r="C907" s="989" t="s">
        <v>6108</v>
      </c>
      <c r="D907" s="434" t="s">
        <v>791</v>
      </c>
      <c r="E907" s="434" t="s">
        <v>300</v>
      </c>
      <c r="F907" s="434" t="s">
        <v>50</v>
      </c>
      <c r="G907" s="434" t="s">
        <v>348</v>
      </c>
      <c r="H907" s="989" t="s">
        <v>6111</v>
      </c>
      <c r="I907" s="989" t="s">
        <v>6112</v>
      </c>
      <c r="J907" s="987"/>
      <c r="K907" s="436" t="s">
        <v>2416</v>
      </c>
      <c r="L907" s="436" t="s">
        <v>6113</v>
      </c>
      <c r="M907" s="436" t="s">
        <v>2852</v>
      </c>
      <c r="N907" s="987"/>
      <c r="O907" s="436" t="s">
        <v>62</v>
      </c>
      <c r="P907" s="995">
        <v>45303.0</v>
      </c>
      <c r="Q907" s="987"/>
      <c r="R907" s="987"/>
      <c r="S907" s="987"/>
      <c r="T907" s="987"/>
      <c r="U907" s="987"/>
      <c r="V907" s="987"/>
      <c r="W907" s="987"/>
      <c r="X907" s="987"/>
      <c r="Y907" s="987"/>
      <c r="Z907" s="987"/>
      <c r="AA907" s="986"/>
    </row>
    <row r="908" hidden="1">
      <c r="A908" s="995">
        <v>874.0</v>
      </c>
      <c r="B908" s="988">
        <v>45301.0</v>
      </c>
      <c r="C908" s="989" t="s">
        <v>2814</v>
      </c>
      <c r="D908" s="434" t="s">
        <v>417</v>
      </c>
      <c r="E908" s="434" t="s">
        <v>3043</v>
      </c>
      <c r="F908" s="434" t="s">
        <v>50</v>
      </c>
      <c r="G908" s="434" t="s">
        <v>200</v>
      </c>
      <c r="H908" s="989" t="s">
        <v>6114</v>
      </c>
      <c r="I908" s="989" t="s">
        <v>6115</v>
      </c>
      <c r="J908" s="987"/>
      <c r="K908" s="436" t="s">
        <v>265</v>
      </c>
      <c r="L908" s="436" t="s">
        <v>5305</v>
      </c>
      <c r="M908" s="436" t="s">
        <v>2852</v>
      </c>
      <c r="N908" s="987"/>
      <c r="O908" s="436" t="s">
        <v>62</v>
      </c>
      <c r="P908" s="995">
        <v>45301.0</v>
      </c>
      <c r="Q908" s="987"/>
      <c r="R908" s="987"/>
      <c r="S908" s="987"/>
      <c r="T908" s="987"/>
      <c r="U908" s="987"/>
      <c r="V908" s="987"/>
      <c r="W908" s="987"/>
      <c r="X908" s="987"/>
      <c r="Y908" s="987"/>
      <c r="Z908" s="987"/>
      <c r="AA908" s="986"/>
    </row>
    <row r="909" hidden="1">
      <c r="A909" s="995">
        <v>876.0</v>
      </c>
      <c r="B909" s="988">
        <v>45303.0</v>
      </c>
      <c r="C909" s="989" t="s">
        <v>6116</v>
      </c>
      <c r="D909" s="434" t="s">
        <v>1059</v>
      </c>
      <c r="E909" s="434" t="s">
        <v>1060</v>
      </c>
      <c r="F909" s="434" t="s">
        <v>50</v>
      </c>
      <c r="G909" s="434" t="s">
        <v>135</v>
      </c>
      <c r="H909" s="989" t="s">
        <v>5933</v>
      </c>
      <c r="I909" s="989" t="s">
        <v>6117</v>
      </c>
      <c r="J909" s="987"/>
      <c r="K909" s="436" t="s">
        <v>1063</v>
      </c>
      <c r="L909" s="436" t="s">
        <v>1064</v>
      </c>
      <c r="M909" s="436" t="s">
        <v>1065</v>
      </c>
      <c r="N909" s="987"/>
      <c r="O909" s="987"/>
      <c r="P909" s="987"/>
      <c r="Q909" s="987"/>
      <c r="R909" s="987"/>
      <c r="S909" s="987"/>
      <c r="T909" s="987"/>
      <c r="U909" s="987"/>
      <c r="V909" s="987"/>
      <c r="W909" s="987"/>
      <c r="X909" s="987"/>
      <c r="Y909" s="987"/>
      <c r="Z909" s="987"/>
      <c r="AA909" s="986"/>
    </row>
    <row r="910" hidden="1">
      <c r="A910" s="995">
        <v>877.0</v>
      </c>
      <c r="B910" s="988">
        <v>45303.0</v>
      </c>
      <c r="C910" s="989" t="s">
        <v>6116</v>
      </c>
      <c r="D910" s="434" t="s">
        <v>1059</v>
      </c>
      <c r="E910" s="434" t="s">
        <v>1060</v>
      </c>
      <c r="F910" s="434" t="s">
        <v>50</v>
      </c>
      <c r="G910" s="434" t="s">
        <v>135</v>
      </c>
      <c r="H910" s="989" t="s">
        <v>6118</v>
      </c>
      <c r="I910" s="989" t="s">
        <v>6117</v>
      </c>
      <c r="J910" s="987"/>
      <c r="K910" s="436" t="s">
        <v>1063</v>
      </c>
      <c r="L910" s="436" t="s">
        <v>1064</v>
      </c>
      <c r="M910" s="436" t="s">
        <v>1065</v>
      </c>
      <c r="N910" s="987"/>
      <c r="O910" s="987"/>
      <c r="P910" s="987"/>
      <c r="Q910" s="987"/>
      <c r="R910" s="987"/>
      <c r="S910" s="987"/>
      <c r="T910" s="987"/>
      <c r="U910" s="987"/>
      <c r="V910" s="987"/>
      <c r="W910" s="987"/>
      <c r="X910" s="987"/>
      <c r="Y910" s="987"/>
      <c r="Z910" s="987"/>
      <c r="AA910" s="986"/>
    </row>
    <row r="911" hidden="1">
      <c r="A911" s="995">
        <v>878.0</v>
      </c>
      <c r="B911" s="988">
        <v>45303.0</v>
      </c>
      <c r="C911" s="989" t="s">
        <v>6116</v>
      </c>
      <c r="D911" s="434" t="s">
        <v>1059</v>
      </c>
      <c r="E911" s="434" t="s">
        <v>1060</v>
      </c>
      <c r="F911" s="434" t="s">
        <v>50</v>
      </c>
      <c r="G911" s="434" t="s">
        <v>135</v>
      </c>
      <c r="H911" s="989" t="s">
        <v>6118</v>
      </c>
      <c r="I911" s="989" t="s">
        <v>6117</v>
      </c>
      <c r="J911" s="987"/>
      <c r="K911" s="436" t="s">
        <v>1063</v>
      </c>
      <c r="L911" s="436" t="s">
        <v>1064</v>
      </c>
      <c r="M911" s="436" t="s">
        <v>1065</v>
      </c>
      <c r="N911" s="987"/>
      <c r="O911" s="987"/>
      <c r="P911" s="987"/>
      <c r="Q911" s="987"/>
      <c r="R911" s="987"/>
      <c r="S911" s="987"/>
      <c r="T911" s="987"/>
      <c r="U911" s="987"/>
      <c r="V911" s="987"/>
      <c r="W911" s="987"/>
      <c r="X911" s="987"/>
      <c r="Y911" s="987"/>
      <c r="Z911" s="987"/>
      <c r="AA911" s="986"/>
    </row>
    <row r="912" hidden="1">
      <c r="A912" s="995">
        <v>879.0</v>
      </c>
      <c r="B912" s="988">
        <v>45303.0</v>
      </c>
      <c r="C912" s="989" t="s">
        <v>6116</v>
      </c>
      <c r="D912" s="434" t="s">
        <v>1059</v>
      </c>
      <c r="E912" s="434" t="s">
        <v>1060</v>
      </c>
      <c r="F912" s="434" t="s">
        <v>50</v>
      </c>
      <c r="G912" s="434" t="s">
        <v>135</v>
      </c>
      <c r="H912" s="989" t="s">
        <v>6118</v>
      </c>
      <c r="I912" s="989" t="s">
        <v>6117</v>
      </c>
      <c r="J912" s="987"/>
      <c r="K912" s="436" t="s">
        <v>1063</v>
      </c>
      <c r="L912" s="436" t="s">
        <v>1064</v>
      </c>
      <c r="M912" s="436" t="s">
        <v>1065</v>
      </c>
      <c r="N912" s="987"/>
      <c r="O912" s="987"/>
      <c r="P912" s="987"/>
      <c r="Q912" s="987"/>
      <c r="R912" s="987"/>
      <c r="S912" s="987"/>
      <c r="T912" s="987"/>
      <c r="U912" s="987"/>
      <c r="V912" s="987"/>
      <c r="W912" s="987"/>
      <c r="X912" s="987"/>
      <c r="Y912" s="987"/>
      <c r="Z912" s="987"/>
      <c r="AA912" s="986"/>
    </row>
    <row r="913" hidden="1">
      <c r="A913" s="995">
        <v>880.0</v>
      </c>
      <c r="B913" s="988">
        <v>45303.0</v>
      </c>
      <c r="C913" s="989" t="s">
        <v>6116</v>
      </c>
      <c r="D913" s="434" t="s">
        <v>1059</v>
      </c>
      <c r="E913" s="434" t="s">
        <v>1060</v>
      </c>
      <c r="F913" s="434" t="s">
        <v>50</v>
      </c>
      <c r="G913" s="434" t="s">
        <v>135</v>
      </c>
      <c r="H913" s="989" t="s">
        <v>6119</v>
      </c>
      <c r="I913" s="989" t="s">
        <v>6120</v>
      </c>
      <c r="J913" s="987"/>
      <c r="K913" s="436" t="s">
        <v>1063</v>
      </c>
      <c r="L913" s="436" t="s">
        <v>1098</v>
      </c>
      <c r="M913" s="436" t="s">
        <v>6121</v>
      </c>
      <c r="N913" s="987"/>
      <c r="O913" s="987"/>
      <c r="P913" s="987"/>
      <c r="Q913" s="987"/>
      <c r="R913" s="987"/>
      <c r="S913" s="987"/>
      <c r="T913" s="987"/>
      <c r="U913" s="987"/>
      <c r="V913" s="987"/>
      <c r="W913" s="987"/>
      <c r="X913" s="987"/>
      <c r="Y913" s="987"/>
      <c r="Z913" s="987"/>
      <c r="AA913" s="986"/>
    </row>
    <row r="914" hidden="1">
      <c r="A914" s="995">
        <v>881.0</v>
      </c>
      <c r="B914" s="988">
        <v>45306.0</v>
      </c>
      <c r="C914" s="989" t="s">
        <v>6116</v>
      </c>
      <c r="D914" s="434" t="s">
        <v>1059</v>
      </c>
      <c r="E914" s="434" t="s">
        <v>1060</v>
      </c>
      <c r="F914" s="434" t="s">
        <v>50</v>
      </c>
      <c r="G914" s="434" t="s">
        <v>135</v>
      </c>
      <c r="H914" s="989" t="s">
        <v>6118</v>
      </c>
      <c r="I914" s="989" t="s">
        <v>6122</v>
      </c>
      <c r="J914" s="987"/>
      <c r="K914" s="436" t="s">
        <v>1063</v>
      </c>
      <c r="L914" s="436" t="s">
        <v>1064</v>
      </c>
      <c r="M914" s="436" t="s">
        <v>1065</v>
      </c>
      <c r="N914" s="987"/>
      <c r="O914" s="987"/>
      <c r="P914" s="987"/>
      <c r="Q914" s="987"/>
      <c r="R914" s="987"/>
      <c r="S914" s="987"/>
      <c r="T914" s="987"/>
      <c r="U914" s="987"/>
      <c r="V914" s="987"/>
      <c r="W914" s="987"/>
      <c r="X914" s="987"/>
      <c r="Y914" s="987"/>
      <c r="Z914" s="987"/>
      <c r="AA914" s="986"/>
    </row>
    <row r="915" hidden="1">
      <c r="A915" s="995">
        <v>883.0</v>
      </c>
      <c r="B915" s="988">
        <v>45307.0</v>
      </c>
      <c r="C915" s="989" t="s">
        <v>6116</v>
      </c>
      <c r="D915" s="434" t="s">
        <v>1059</v>
      </c>
      <c r="E915" s="434" t="s">
        <v>1060</v>
      </c>
      <c r="F915" s="434" t="s">
        <v>50</v>
      </c>
      <c r="G915" s="434" t="s">
        <v>135</v>
      </c>
      <c r="H915" s="989" t="s">
        <v>6118</v>
      </c>
      <c r="I915" s="989" t="s">
        <v>6123</v>
      </c>
      <c r="J915" s="987"/>
      <c r="K915" s="436" t="s">
        <v>1063</v>
      </c>
      <c r="L915" s="436" t="s">
        <v>1064</v>
      </c>
      <c r="M915" s="436" t="s">
        <v>1065</v>
      </c>
      <c r="N915" s="987"/>
      <c r="O915" s="987"/>
      <c r="P915" s="987"/>
      <c r="Q915" s="987"/>
      <c r="R915" s="987"/>
      <c r="S915" s="987"/>
      <c r="T915" s="987"/>
      <c r="U915" s="987"/>
      <c r="V915" s="987"/>
      <c r="W915" s="987"/>
      <c r="X915" s="987"/>
      <c r="Y915" s="987"/>
      <c r="Z915" s="987"/>
      <c r="AA915" s="986"/>
    </row>
    <row r="916" hidden="1">
      <c r="A916" s="995">
        <v>885.0</v>
      </c>
      <c r="B916" s="988">
        <v>45308.0</v>
      </c>
      <c r="C916" s="989" t="s">
        <v>6124</v>
      </c>
      <c r="D916" s="434" t="s">
        <v>2939</v>
      </c>
      <c r="E916" s="434" t="s">
        <v>6125</v>
      </c>
      <c r="F916" s="434" t="s">
        <v>50</v>
      </c>
      <c r="G916" s="434" t="s">
        <v>200</v>
      </c>
      <c r="H916" s="989" t="s">
        <v>6126</v>
      </c>
      <c r="I916" s="989" t="s">
        <v>6127</v>
      </c>
      <c r="J916" s="987"/>
      <c r="K916" s="436" t="s">
        <v>5381</v>
      </c>
      <c r="L916" s="436" t="s">
        <v>6128</v>
      </c>
      <c r="M916" s="436" t="s">
        <v>2852</v>
      </c>
      <c r="N916" s="987"/>
      <c r="O916" s="987"/>
      <c r="P916" s="987"/>
      <c r="Q916" s="987"/>
      <c r="R916" s="987"/>
      <c r="S916" s="987"/>
      <c r="T916" s="987"/>
      <c r="U916" s="987"/>
      <c r="V916" s="987"/>
      <c r="W916" s="987"/>
      <c r="X916" s="987"/>
      <c r="Y916" s="987"/>
      <c r="Z916" s="987"/>
      <c r="AA916" s="986"/>
    </row>
    <row r="917" hidden="1">
      <c r="A917" s="995">
        <v>887.0</v>
      </c>
      <c r="B917" s="988">
        <v>45310.0</v>
      </c>
      <c r="C917" s="989" t="s">
        <v>6124</v>
      </c>
      <c r="D917" s="434" t="s">
        <v>2939</v>
      </c>
      <c r="E917" s="434" t="s">
        <v>6125</v>
      </c>
      <c r="F917" s="990">
        <v>1.4810212E7</v>
      </c>
      <c r="G917" s="434" t="s">
        <v>200</v>
      </c>
      <c r="H917" s="989" t="s">
        <v>6129</v>
      </c>
      <c r="I917" s="989" t="s">
        <v>6130</v>
      </c>
      <c r="J917" s="987"/>
      <c r="K917" s="436" t="s">
        <v>5381</v>
      </c>
      <c r="L917" s="436" t="s">
        <v>5222</v>
      </c>
      <c r="M917" s="436" t="s">
        <v>5223</v>
      </c>
      <c r="N917" s="987"/>
      <c r="O917" s="987"/>
      <c r="P917" s="987"/>
      <c r="Q917" s="987"/>
      <c r="R917" s="987"/>
      <c r="S917" s="987"/>
      <c r="T917" s="987"/>
      <c r="U917" s="987"/>
      <c r="V917" s="987"/>
      <c r="W917" s="987"/>
      <c r="X917" s="987"/>
      <c r="Y917" s="987"/>
      <c r="Z917" s="987"/>
      <c r="AA917" s="986"/>
    </row>
    <row r="918" hidden="1">
      <c r="A918" s="995">
        <v>889.0</v>
      </c>
      <c r="B918" s="988">
        <v>45313.0</v>
      </c>
      <c r="C918" s="989" t="s">
        <v>6131</v>
      </c>
      <c r="D918" s="434" t="s">
        <v>3021</v>
      </c>
      <c r="E918" s="434" t="s">
        <v>6132</v>
      </c>
      <c r="F918" s="990">
        <v>1.5340289E7</v>
      </c>
      <c r="G918" s="434" t="s">
        <v>200</v>
      </c>
      <c r="H918" s="989" t="s">
        <v>6133</v>
      </c>
      <c r="I918" s="989" t="s">
        <v>6134</v>
      </c>
      <c r="J918" s="987"/>
      <c r="K918" s="436" t="s">
        <v>2340</v>
      </c>
      <c r="L918" s="436" t="s">
        <v>6135</v>
      </c>
      <c r="M918" s="436" t="s">
        <v>463</v>
      </c>
      <c r="N918" s="987"/>
      <c r="O918" s="987"/>
      <c r="P918" s="987"/>
      <c r="Q918" s="987"/>
      <c r="R918" s="987"/>
      <c r="S918" s="987"/>
      <c r="T918" s="987"/>
      <c r="U918" s="987"/>
      <c r="V918" s="987"/>
      <c r="W918" s="987"/>
      <c r="X918" s="987"/>
      <c r="Y918" s="987"/>
      <c r="Z918" s="987"/>
      <c r="AA918" s="986"/>
    </row>
    <row r="919" hidden="1">
      <c r="A919" s="995">
        <v>890.0</v>
      </c>
      <c r="B919" s="988">
        <v>45313.0</v>
      </c>
      <c r="C919" s="989" t="s">
        <v>6131</v>
      </c>
      <c r="D919" s="434" t="s">
        <v>3021</v>
      </c>
      <c r="E919" s="434" t="s">
        <v>6132</v>
      </c>
      <c r="F919" s="990">
        <v>1.534029E7</v>
      </c>
      <c r="G919" s="434" t="s">
        <v>200</v>
      </c>
      <c r="H919" s="989" t="s">
        <v>6136</v>
      </c>
      <c r="I919" s="989" t="s">
        <v>6137</v>
      </c>
      <c r="J919" s="987"/>
      <c r="K919" s="436" t="s">
        <v>2340</v>
      </c>
      <c r="L919" s="436" t="s">
        <v>5335</v>
      </c>
      <c r="M919" s="436" t="s">
        <v>463</v>
      </c>
      <c r="N919" s="987"/>
      <c r="O919" s="987"/>
      <c r="P919" s="987"/>
      <c r="Q919" s="987"/>
      <c r="R919" s="987"/>
      <c r="S919" s="987"/>
      <c r="T919" s="987"/>
      <c r="U919" s="987"/>
      <c r="V919" s="987"/>
      <c r="W919" s="987"/>
      <c r="X919" s="987"/>
      <c r="Y919" s="987"/>
      <c r="Z919" s="987"/>
      <c r="AA919" s="986"/>
    </row>
    <row r="920" hidden="1">
      <c r="A920" s="995">
        <v>900.0</v>
      </c>
      <c r="B920" s="988">
        <v>45315.0</v>
      </c>
      <c r="C920" s="989" t="s">
        <v>6138</v>
      </c>
      <c r="D920" s="434" t="s">
        <v>3021</v>
      </c>
      <c r="E920" s="434" t="s">
        <v>6139</v>
      </c>
      <c r="F920" s="990">
        <v>1.5340314E7</v>
      </c>
      <c r="G920" s="434" t="s">
        <v>200</v>
      </c>
      <c r="H920" s="989" t="s">
        <v>6140</v>
      </c>
      <c r="I920" s="989" t="s">
        <v>6141</v>
      </c>
      <c r="J920" s="987"/>
      <c r="K920" s="436" t="s">
        <v>2340</v>
      </c>
      <c r="L920" s="436" t="s">
        <v>6142</v>
      </c>
      <c r="M920" s="436" t="s">
        <v>463</v>
      </c>
      <c r="N920" s="987"/>
      <c r="O920" s="987"/>
      <c r="P920" s="987"/>
      <c r="Q920" s="987"/>
      <c r="R920" s="987"/>
      <c r="S920" s="987"/>
      <c r="T920" s="987"/>
      <c r="U920" s="987"/>
      <c r="V920" s="987"/>
      <c r="W920" s="987"/>
      <c r="X920" s="987"/>
      <c r="Y920" s="987"/>
      <c r="Z920" s="987"/>
      <c r="AA920" s="986"/>
    </row>
    <row r="921" hidden="1">
      <c r="A921" s="995">
        <v>902.0</v>
      </c>
      <c r="B921" s="988">
        <v>45316.0</v>
      </c>
      <c r="C921" s="989" t="s">
        <v>6138</v>
      </c>
      <c r="D921" s="434" t="s">
        <v>3021</v>
      </c>
      <c r="E921" s="434" t="s">
        <v>6132</v>
      </c>
      <c r="F921" s="990">
        <v>1.5340296E7</v>
      </c>
      <c r="G921" s="434" t="s">
        <v>200</v>
      </c>
      <c r="H921" s="989" t="s">
        <v>6143</v>
      </c>
      <c r="I921" s="989" t="s">
        <v>6144</v>
      </c>
      <c r="J921" s="987"/>
      <c r="K921" s="436" t="s">
        <v>2340</v>
      </c>
      <c r="L921" s="436" t="s">
        <v>6145</v>
      </c>
      <c r="M921" s="436" t="s">
        <v>2944</v>
      </c>
      <c r="N921" s="987"/>
      <c r="O921" s="987"/>
      <c r="P921" s="987"/>
      <c r="Q921" s="987"/>
      <c r="R921" s="987"/>
      <c r="S921" s="987"/>
      <c r="T921" s="987"/>
      <c r="U921" s="987"/>
      <c r="V921" s="987"/>
      <c r="W921" s="987"/>
      <c r="X921" s="987"/>
      <c r="Y921" s="987"/>
      <c r="Z921" s="987"/>
      <c r="AA921" s="986"/>
    </row>
    <row r="922" hidden="1">
      <c r="A922" s="995">
        <v>903.0</v>
      </c>
      <c r="B922" s="988">
        <v>45316.0</v>
      </c>
      <c r="C922" s="989" t="s">
        <v>6116</v>
      </c>
      <c r="D922" s="434" t="s">
        <v>1059</v>
      </c>
      <c r="E922" s="434" t="s">
        <v>1060</v>
      </c>
      <c r="F922" s="434" t="s">
        <v>50</v>
      </c>
      <c r="G922" s="434" t="s">
        <v>135</v>
      </c>
      <c r="H922" s="989" t="s">
        <v>6118</v>
      </c>
      <c r="I922" s="989" t="s">
        <v>6146</v>
      </c>
      <c r="J922" s="987"/>
      <c r="K922" s="436" t="s">
        <v>1063</v>
      </c>
      <c r="L922" s="436" t="s">
        <v>1064</v>
      </c>
      <c r="M922" s="436" t="s">
        <v>1065</v>
      </c>
      <c r="N922" s="987"/>
      <c r="O922" s="987"/>
      <c r="P922" s="987"/>
      <c r="Q922" s="987"/>
      <c r="R922" s="987"/>
      <c r="S922" s="987"/>
      <c r="T922" s="987"/>
      <c r="U922" s="987"/>
      <c r="V922" s="987"/>
      <c r="W922" s="987"/>
      <c r="X922" s="987"/>
      <c r="Y922" s="987"/>
      <c r="Z922" s="987"/>
      <c r="AA922" s="986"/>
    </row>
    <row r="923" hidden="1">
      <c r="A923" s="995">
        <v>904.0</v>
      </c>
      <c r="B923" s="988">
        <v>45316.0</v>
      </c>
      <c r="C923" s="989" t="s">
        <v>6116</v>
      </c>
      <c r="D923" s="434" t="s">
        <v>1059</v>
      </c>
      <c r="E923" s="434" t="s">
        <v>1060</v>
      </c>
      <c r="F923" s="434" t="s">
        <v>50</v>
      </c>
      <c r="G923" s="434" t="s">
        <v>135</v>
      </c>
      <c r="H923" s="989" t="s">
        <v>6118</v>
      </c>
      <c r="I923" s="989" t="s">
        <v>6146</v>
      </c>
      <c r="J923" s="987"/>
      <c r="K923" s="436" t="s">
        <v>1063</v>
      </c>
      <c r="L923" s="436" t="s">
        <v>1064</v>
      </c>
      <c r="M923" s="436" t="s">
        <v>1065</v>
      </c>
      <c r="N923" s="987"/>
      <c r="O923" s="987"/>
      <c r="P923" s="987"/>
      <c r="Q923" s="987"/>
      <c r="R923" s="987"/>
      <c r="S923" s="987"/>
      <c r="T923" s="987"/>
      <c r="U923" s="987"/>
      <c r="V923" s="987"/>
      <c r="W923" s="987"/>
      <c r="X923" s="987"/>
      <c r="Y923" s="987"/>
      <c r="Z923" s="987"/>
      <c r="AA923" s="986"/>
    </row>
    <row r="924" hidden="1">
      <c r="A924" s="995">
        <v>905.0</v>
      </c>
      <c r="B924" s="988">
        <v>45316.0</v>
      </c>
      <c r="C924" s="989" t="s">
        <v>6147</v>
      </c>
      <c r="D924" s="434" t="s">
        <v>73</v>
      </c>
      <c r="E924" s="434" t="s">
        <v>49</v>
      </c>
      <c r="F924" s="990">
        <v>1.6900134E7</v>
      </c>
      <c r="G924" s="434" t="s">
        <v>51</v>
      </c>
      <c r="H924" s="989" t="s">
        <v>6148</v>
      </c>
      <c r="I924" s="993" t="s">
        <v>6149</v>
      </c>
      <c r="J924" s="987"/>
      <c r="K924" s="436" t="s">
        <v>76</v>
      </c>
      <c r="L924" s="436" t="s">
        <v>6150</v>
      </c>
      <c r="M924" s="987"/>
      <c r="N924" s="987"/>
      <c r="O924" s="987"/>
      <c r="P924" s="987"/>
      <c r="Q924" s="987"/>
      <c r="R924" s="987"/>
      <c r="S924" s="987"/>
      <c r="T924" s="987"/>
      <c r="U924" s="987"/>
      <c r="V924" s="987"/>
      <c r="W924" s="987"/>
      <c r="X924" s="987"/>
      <c r="Y924" s="987"/>
      <c r="Z924" s="987"/>
      <c r="AA924" s="986"/>
    </row>
    <row r="925" hidden="1">
      <c r="A925" s="995">
        <v>906.0</v>
      </c>
      <c r="B925" s="988">
        <v>45320.0</v>
      </c>
      <c r="C925" s="989" t="s">
        <v>6151</v>
      </c>
      <c r="D925" s="434" t="s">
        <v>374</v>
      </c>
      <c r="E925" s="434" t="s">
        <v>458</v>
      </c>
      <c r="F925" s="434" t="s">
        <v>50</v>
      </c>
      <c r="G925" s="434" t="s">
        <v>103</v>
      </c>
      <c r="H925" s="989" t="s">
        <v>6152</v>
      </c>
      <c r="I925" s="989" t="s">
        <v>6153</v>
      </c>
      <c r="J925" s="987"/>
      <c r="K925" s="436" t="s">
        <v>461</v>
      </c>
      <c r="L925" s="436" t="s">
        <v>6154</v>
      </c>
      <c r="M925" s="984" t="s">
        <v>2726</v>
      </c>
      <c r="N925" s="987"/>
      <c r="O925" s="436" t="s">
        <v>62</v>
      </c>
      <c r="P925" s="995">
        <v>45320.0</v>
      </c>
      <c r="Q925" s="987"/>
      <c r="R925" s="987"/>
      <c r="S925" s="987"/>
      <c r="T925" s="987"/>
      <c r="U925" s="987"/>
      <c r="V925" s="987"/>
      <c r="W925" s="987"/>
      <c r="X925" s="987"/>
      <c r="Y925" s="987"/>
      <c r="Z925" s="987"/>
      <c r="AA925" s="986"/>
    </row>
    <row r="926" hidden="1">
      <c r="A926" s="995">
        <v>908.0</v>
      </c>
      <c r="B926" s="988">
        <v>45321.0</v>
      </c>
      <c r="C926" s="989" t="s">
        <v>6155</v>
      </c>
      <c r="D926" s="434" t="s">
        <v>452</v>
      </c>
      <c r="E926" s="434" t="s">
        <v>2218</v>
      </c>
      <c r="F926" s="990">
        <v>1.9250116E7</v>
      </c>
      <c r="G926" s="434" t="s">
        <v>348</v>
      </c>
      <c r="H926" s="989" t="s">
        <v>6156</v>
      </c>
      <c r="I926" s="989" t="s">
        <v>6157</v>
      </c>
      <c r="J926" s="987"/>
      <c r="K926" s="436" t="s">
        <v>456</v>
      </c>
      <c r="L926" s="436" t="s">
        <v>6158</v>
      </c>
      <c r="M926" s="436" t="s">
        <v>1669</v>
      </c>
      <c r="N926" s="987"/>
      <c r="O926" s="436" t="s">
        <v>62</v>
      </c>
      <c r="P926" s="995">
        <v>45321.0</v>
      </c>
      <c r="Q926" s="987"/>
      <c r="R926" s="987"/>
      <c r="S926" s="987"/>
      <c r="T926" s="987"/>
      <c r="U926" s="987"/>
      <c r="V926" s="987"/>
      <c r="W926" s="987"/>
      <c r="X926" s="987"/>
      <c r="Y926" s="987"/>
      <c r="Z926" s="987"/>
      <c r="AA926" s="986"/>
    </row>
    <row r="927" hidden="1">
      <c r="A927" s="995">
        <v>911.0</v>
      </c>
      <c r="B927" s="988">
        <v>45328.0</v>
      </c>
      <c r="C927" s="989" t="s">
        <v>6159</v>
      </c>
      <c r="D927" s="434" t="s">
        <v>374</v>
      </c>
      <c r="E927" s="434" t="s">
        <v>458</v>
      </c>
      <c r="F927" s="990">
        <v>1.9240092E7</v>
      </c>
      <c r="G927" s="434" t="s">
        <v>348</v>
      </c>
      <c r="H927" s="989" t="s">
        <v>6160</v>
      </c>
      <c r="I927" s="989" t="s">
        <v>6161</v>
      </c>
      <c r="J927" s="987"/>
      <c r="K927" s="436" t="s">
        <v>461</v>
      </c>
      <c r="L927" s="436" t="s">
        <v>6162</v>
      </c>
      <c r="M927" s="436" t="s">
        <v>6163</v>
      </c>
      <c r="N927" s="987"/>
      <c r="O927" s="436" t="s">
        <v>62</v>
      </c>
      <c r="P927" s="995">
        <v>45329.0</v>
      </c>
      <c r="Q927" s="987"/>
      <c r="R927" s="987"/>
      <c r="S927" s="987"/>
      <c r="T927" s="987"/>
      <c r="U927" s="987"/>
      <c r="V927" s="987"/>
      <c r="W927" s="987"/>
      <c r="X927" s="987"/>
      <c r="Y927" s="987"/>
      <c r="Z927" s="987"/>
      <c r="AA927" s="986"/>
    </row>
    <row r="928" hidden="1">
      <c r="A928" s="995">
        <v>912.0</v>
      </c>
      <c r="B928" s="988">
        <v>45328.0</v>
      </c>
      <c r="C928" s="989" t="s">
        <v>6164</v>
      </c>
      <c r="D928" s="434" t="s">
        <v>918</v>
      </c>
      <c r="E928" s="434" t="s">
        <v>3043</v>
      </c>
      <c r="F928" s="434" t="s">
        <v>50</v>
      </c>
      <c r="G928" s="434" t="s">
        <v>32</v>
      </c>
      <c r="H928" s="989" t="s">
        <v>6165</v>
      </c>
      <c r="I928" s="993" t="s">
        <v>6166</v>
      </c>
      <c r="J928" s="987"/>
      <c r="K928" s="436" t="s">
        <v>284</v>
      </c>
      <c r="L928" s="436" t="s">
        <v>3694</v>
      </c>
      <c r="M928" s="436" t="s">
        <v>2852</v>
      </c>
      <c r="N928" s="987"/>
      <c r="O928" s="987"/>
      <c r="P928" s="987"/>
      <c r="Q928" s="987"/>
      <c r="R928" s="987"/>
      <c r="S928" s="987"/>
      <c r="T928" s="987"/>
      <c r="U928" s="987"/>
      <c r="V928" s="987"/>
      <c r="W928" s="987"/>
      <c r="X928" s="987"/>
      <c r="Y928" s="987"/>
      <c r="Z928" s="987"/>
      <c r="AA928" s="986"/>
    </row>
    <row r="929" hidden="1">
      <c r="A929" s="995">
        <v>913.0</v>
      </c>
      <c r="B929" s="988">
        <v>45328.0</v>
      </c>
      <c r="C929" s="989" t="s">
        <v>6164</v>
      </c>
      <c r="D929" s="434" t="s">
        <v>918</v>
      </c>
      <c r="E929" s="434" t="s">
        <v>3043</v>
      </c>
      <c r="F929" s="434" t="s">
        <v>50</v>
      </c>
      <c r="G929" s="434" t="s">
        <v>32</v>
      </c>
      <c r="H929" s="989" t="s">
        <v>6167</v>
      </c>
      <c r="I929" s="993" t="s">
        <v>6168</v>
      </c>
      <c r="J929" s="987"/>
      <c r="K929" s="436" t="s">
        <v>284</v>
      </c>
      <c r="L929" s="987"/>
      <c r="M929" s="987"/>
      <c r="N929" s="987"/>
      <c r="O929" s="987"/>
      <c r="P929" s="987"/>
      <c r="Q929" s="987"/>
      <c r="R929" s="987"/>
      <c r="S929" s="987"/>
      <c r="T929" s="987"/>
      <c r="U929" s="987"/>
      <c r="V929" s="987"/>
      <c r="W929" s="987"/>
      <c r="X929" s="987"/>
      <c r="Y929" s="987"/>
      <c r="Z929" s="987"/>
      <c r="AA929" s="986"/>
    </row>
    <row r="930" hidden="1">
      <c r="A930" s="995">
        <v>914.0</v>
      </c>
      <c r="B930" s="988">
        <v>45328.0</v>
      </c>
      <c r="C930" s="989" t="s">
        <v>6164</v>
      </c>
      <c r="D930" s="434" t="s">
        <v>918</v>
      </c>
      <c r="E930" s="434" t="s">
        <v>3043</v>
      </c>
      <c r="F930" s="434" t="s">
        <v>50</v>
      </c>
      <c r="G930" s="434" t="s">
        <v>32</v>
      </c>
      <c r="H930" s="989" t="s">
        <v>6169</v>
      </c>
      <c r="I930" s="993" t="s">
        <v>6168</v>
      </c>
      <c r="J930" s="987"/>
      <c r="K930" s="436" t="s">
        <v>284</v>
      </c>
      <c r="L930" s="987"/>
      <c r="M930" s="987"/>
      <c r="N930" s="987"/>
      <c r="O930" s="987"/>
      <c r="P930" s="987"/>
      <c r="Q930" s="987"/>
      <c r="R930" s="987"/>
      <c r="S930" s="987"/>
      <c r="T930" s="987"/>
      <c r="U930" s="987"/>
      <c r="V930" s="987"/>
      <c r="W930" s="987"/>
      <c r="X930" s="987"/>
      <c r="Y930" s="987"/>
      <c r="Z930" s="987"/>
      <c r="AA930" s="986"/>
    </row>
    <row r="931" hidden="1">
      <c r="A931" s="995">
        <v>915.0</v>
      </c>
      <c r="B931" s="988">
        <v>45328.0</v>
      </c>
      <c r="C931" s="989" t="s">
        <v>6164</v>
      </c>
      <c r="D931" s="434" t="s">
        <v>918</v>
      </c>
      <c r="E931" s="434" t="s">
        <v>3043</v>
      </c>
      <c r="F931" s="434" t="s">
        <v>50</v>
      </c>
      <c r="G931" s="434" t="s">
        <v>32</v>
      </c>
      <c r="H931" s="989" t="s">
        <v>6170</v>
      </c>
      <c r="I931" s="993" t="s">
        <v>6168</v>
      </c>
      <c r="J931" s="987"/>
      <c r="K931" s="436" t="s">
        <v>284</v>
      </c>
      <c r="L931" s="987"/>
      <c r="M931" s="987"/>
      <c r="N931" s="987"/>
      <c r="O931" s="987"/>
      <c r="P931" s="987"/>
      <c r="Q931" s="987"/>
      <c r="R931" s="987"/>
      <c r="S931" s="987"/>
      <c r="T931" s="987"/>
      <c r="U931" s="987"/>
      <c r="V931" s="987"/>
      <c r="W931" s="987"/>
      <c r="X931" s="987"/>
      <c r="Y931" s="987"/>
      <c r="Z931" s="987"/>
      <c r="AA931" s="986"/>
    </row>
    <row r="932" hidden="1">
      <c r="A932" s="995">
        <v>916.0</v>
      </c>
      <c r="B932" s="988">
        <v>45328.0</v>
      </c>
      <c r="C932" s="989" t="s">
        <v>6164</v>
      </c>
      <c r="D932" s="434" t="s">
        <v>918</v>
      </c>
      <c r="E932" s="434" t="s">
        <v>3043</v>
      </c>
      <c r="F932" s="434" t="s">
        <v>50</v>
      </c>
      <c r="G932" s="434" t="s">
        <v>32</v>
      </c>
      <c r="H932" s="989" t="s">
        <v>6171</v>
      </c>
      <c r="I932" s="993" t="s">
        <v>6168</v>
      </c>
      <c r="J932" s="987"/>
      <c r="K932" s="436" t="s">
        <v>284</v>
      </c>
      <c r="L932" s="987"/>
      <c r="M932" s="987"/>
      <c r="N932" s="987"/>
      <c r="O932" s="987"/>
      <c r="P932" s="987"/>
      <c r="Q932" s="987"/>
      <c r="R932" s="987"/>
      <c r="S932" s="987"/>
      <c r="T932" s="987"/>
      <c r="U932" s="987"/>
      <c r="V932" s="987"/>
      <c r="W932" s="987"/>
      <c r="X932" s="987"/>
      <c r="Y932" s="987"/>
      <c r="Z932" s="987"/>
      <c r="AA932" s="986"/>
    </row>
    <row r="933" hidden="1">
      <c r="A933" s="995">
        <v>917.0</v>
      </c>
      <c r="B933" s="988">
        <v>45328.0</v>
      </c>
      <c r="C933" s="989" t="s">
        <v>6164</v>
      </c>
      <c r="D933" s="434" t="s">
        <v>918</v>
      </c>
      <c r="E933" s="434" t="s">
        <v>3043</v>
      </c>
      <c r="F933" s="434" t="s">
        <v>50</v>
      </c>
      <c r="G933" s="434" t="s">
        <v>32</v>
      </c>
      <c r="H933" s="989" t="s">
        <v>6172</v>
      </c>
      <c r="I933" s="993" t="s">
        <v>6168</v>
      </c>
      <c r="J933" s="987"/>
      <c r="K933" s="436" t="s">
        <v>284</v>
      </c>
      <c r="L933" s="987"/>
      <c r="M933" s="987"/>
      <c r="N933" s="987"/>
      <c r="O933" s="987"/>
      <c r="P933" s="987"/>
      <c r="Q933" s="987"/>
      <c r="R933" s="987"/>
      <c r="S933" s="987"/>
      <c r="T933" s="987"/>
      <c r="U933" s="987"/>
      <c r="V933" s="987"/>
      <c r="W933" s="987"/>
      <c r="X933" s="987"/>
      <c r="Y933" s="987"/>
      <c r="Z933" s="987"/>
      <c r="AA933" s="986"/>
    </row>
    <row r="934" hidden="1">
      <c r="A934" s="995">
        <v>918.0</v>
      </c>
      <c r="B934" s="988">
        <v>45328.0</v>
      </c>
      <c r="C934" s="989" t="s">
        <v>6164</v>
      </c>
      <c r="D934" s="434" t="s">
        <v>918</v>
      </c>
      <c r="E934" s="434" t="s">
        <v>3043</v>
      </c>
      <c r="F934" s="434" t="s">
        <v>50</v>
      </c>
      <c r="G934" s="434" t="s">
        <v>32</v>
      </c>
      <c r="H934" s="989" t="s">
        <v>6173</v>
      </c>
      <c r="I934" s="993" t="s">
        <v>6174</v>
      </c>
      <c r="J934" s="987"/>
      <c r="K934" s="436" t="s">
        <v>284</v>
      </c>
      <c r="L934" s="987"/>
      <c r="M934" s="987"/>
      <c r="N934" s="987"/>
      <c r="O934" s="987"/>
      <c r="P934" s="987"/>
      <c r="Q934" s="987"/>
      <c r="R934" s="987"/>
      <c r="S934" s="987"/>
      <c r="T934" s="987"/>
      <c r="U934" s="987"/>
      <c r="V934" s="987"/>
      <c r="W934" s="987"/>
      <c r="X934" s="987"/>
      <c r="Y934" s="987"/>
      <c r="Z934" s="987"/>
      <c r="AA934" s="986"/>
    </row>
    <row r="935" hidden="1">
      <c r="A935" s="995">
        <v>919.0</v>
      </c>
      <c r="B935" s="988">
        <v>45328.0</v>
      </c>
      <c r="C935" s="989" t="s">
        <v>6164</v>
      </c>
      <c r="D935" s="434" t="s">
        <v>918</v>
      </c>
      <c r="E935" s="434" t="s">
        <v>3043</v>
      </c>
      <c r="F935" s="434" t="s">
        <v>50</v>
      </c>
      <c r="G935" s="434" t="s">
        <v>32</v>
      </c>
      <c r="H935" s="989" t="s">
        <v>6175</v>
      </c>
      <c r="I935" s="993" t="s">
        <v>6174</v>
      </c>
      <c r="J935" s="987"/>
      <c r="K935" s="436" t="s">
        <v>284</v>
      </c>
      <c r="L935" s="987"/>
      <c r="M935" s="987"/>
      <c r="N935" s="987"/>
      <c r="O935" s="987"/>
      <c r="P935" s="987"/>
      <c r="Q935" s="987"/>
      <c r="R935" s="987"/>
      <c r="S935" s="987"/>
      <c r="T935" s="987"/>
      <c r="U935" s="987"/>
      <c r="V935" s="987"/>
      <c r="W935" s="987"/>
      <c r="X935" s="987"/>
      <c r="Y935" s="987"/>
      <c r="Z935" s="987"/>
      <c r="AA935" s="986"/>
    </row>
    <row r="936" hidden="1">
      <c r="A936" s="995">
        <v>920.0</v>
      </c>
      <c r="B936" s="988">
        <v>45328.0</v>
      </c>
      <c r="C936" s="989" t="s">
        <v>6164</v>
      </c>
      <c r="D936" s="434" t="s">
        <v>918</v>
      </c>
      <c r="E936" s="434" t="s">
        <v>3043</v>
      </c>
      <c r="F936" s="434" t="s">
        <v>50</v>
      </c>
      <c r="G936" s="434" t="s">
        <v>32</v>
      </c>
      <c r="H936" s="989" t="s">
        <v>6176</v>
      </c>
      <c r="I936" s="993" t="s">
        <v>6174</v>
      </c>
      <c r="J936" s="987"/>
      <c r="K936" s="436" t="s">
        <v>284</v>
      </c>
      <c r="L936" s="987"/>
      <c r="M936" s="987"/>
      <c r="N936" s="987"/>
      <c r="O936" s="987"/>
      <c r="P936" s="987"/>
      <c r="Q936" s="987"/>
      <c r="R936" s="987"/>
      <c r="S936" s="987"/>
      <c r="T936" s="987"/>
      <c r="U936" s="987"/>
      <c r="V936" s="987"/>
      <c r="W936" s="987"/>
      <c r="X936" s="987"/>
      <c r="Y936" s="987"/>
      <c r="Z936" s="987"/>
      <c r="AA936" s="986"/>
    </row>
    <row r="937" hidden="1">
      <c r="A937" s="995">
        <v>921.0</v>
      </c>
      <c r="B937" s="988">
        <v>45328.0</v>
      </c>
      <c r="C937" s="989" t="s">
        <v>6164</v>
      </c>
      <c r="D937" s="434" t="s">
        <v>918</v>
      </c>
      <c r="E937" s="434" t="s">
        <v>3043</v>
      </c>
      <c r="F937" s="434" t="s">
        <v>50</v>
      </c>
      <c r="G937" s="434" t="s">
        <v>32</v>
      </c>
      <c r="H937" s="989" t="s">
        <v>6177</v>
      </c>
      <c r="I937" s="993" t="s">
        <v>6174</v>
      </c>
      <c r="J937" s="987"/>
      <c r="K937" s="436" t="s">
        <v>284</v>
      </c>
      <c r="L937" s="987"/>
      <c r="M937" s="987"/>
      <c r="N937" s="987"/>
      <c r="O937" s="987"/>
      <c r="P937" s="987"/>
      <c r="Q937" s="987"/>
      <c r="R937" s="987"/>
      <c r="S937" s="987"/>
      <c r="T937" s="987"/>
      <c r="U937" s="987"/>
      <c r="V937" s="987"/>
      <c r="W937" s="987"/>
      <c r="X937" s="987"/>
      <c r="Y937" s="987"/>
      <c r="Z937" s="987"/>
      <c r="AA937" s="986"/>
    </row>
    <row r="938" hidden="1">
      <c r="A938" s="995">
        <v>922.0</v>
      </c>
      <c r="B938" s="988">
        <v>45328.0</v>
      </c>
      <c r="C938" s="989" t="s">
        <v>6164</v>
      </c>
      <c r="D938" s="434" t="s">
        <v>918</v>
      </c>
      <c r="E938" s="434" t="s">
        <v>3043</v>
      </c>
      <c r="F938" s="434" t="s">
        <v>50</v>
      </c>
      <c r="G938" s="434" t="s">
        <v>32</v>
      </c>
      <c r="H938" s="989" t="s">
        <v>6178</v>
      </c>
      <c r="I938" s="993" t="s">
        <v>6174</v>
      </c>
      <c r="J938" s="987"/>
      <c r="K938" s="436" t="s">
        <v>284</v>
      </c>
      <c r="L938" s="987"/>
      <c r="M938" s="987"/>
      <c r="N938" s="987"/>
      <c r="O938" s="987"/>
      <c r="P938" s="987"/>
      <c r="Q938" s="987"/>
      <c r="R938" s="987"/>
      <c r="S938" s="987"/>
      <c r="T938" s="987"/>
      <c r="U938" s="987"/>
      <c r="V938" s="987"/>
      <c r="W938" s="987"/>
      <c r="X938" s="987"/>
      <c r="Y938" s="987"/>
      <c r="Z938" s="987"/>
      <c r="AA938" s="986"/>
    </row>
    <row r="939" hidden="1">
      <c r="A939" s="995">
        <v>923.0</v>
      </c>
      <c r="B939" s="988">
        <v>45328.0</v>
      </c>
      <c r="C939" s="989" t="s">
        <v>6164</v>
      </c>
      <c r="D939" s="434" t="s">
        <v>918</v>
      </c>
      <c r="E939" s="434" t="s">
        <v>3043</v>
      </c>
      <c r="F939" s="434" t="s">
        <v>50</v>
      </c>
      <c r="G939" s="434" t="s">
        <v>32</v>
      </c>
      <c r="H939" s="989" t="s">
        <v>6179</v>
      </c>
      <c r="I939" s="993" t="s">
        <v>6174</v>
      </c>
      <c r="J939" s="987"/>
      <c r="K939" s="436" t="s">
        <v>284</v>
      </c>
      <c r="L939" s="987"/>
      <c r="M939" s="987"/>
      <c r="N939" s="987"/>
      <c r="O939" s="987"/>
      <c r="P939" s="987"/>
      <c r="Q939" s="987"/>
      <c r="R939" s="987"/>
      <c r="S939" s="987"/>
      <c r="T939" s="987"/>
      <c r="U939" s="987"/>
      <c r="V939" s="987"/>
      <c r="W939" s="987"/>
      <c r="X939" s="987"/>
      <c r="Y939" s="987"/>
      <c r="Z939" s="987"/>
      <c r="AA939" s="986"/>
    </row>
    <row r="940" hidden="1">
      <c r="A940" s="995">
        <v>924.0</v>
      </c>
      <c r="B940" s="988">
        <v>45329.0</v>
      </c>
      <c r="C940" s="989" t="s">
        <v>6159</v>
      </c>
      <c r="D940" s="434" t="s">
        <v>374</v>
      </c>
      <c r="E940" s="434" t="s">
        <v>2218</v>
      </c>
      <c r="F940" s="990">
        <v>1.924009E7</v>
      </c>
      <c r="G940" s="434" t="s">
        <v>348</v>
      </c>
      <c r="H940" s="989" t="s">
        <v>6180</v>
      </c>
      <c r="I940" s="1022" t="s">
        <v>6181</v>
      </c>
      <c r="J940" s="987"/>
      <c r="K940" s="436" t="s">
        <v>456</v>
      </c>
      <c r="L940" s="436" t="s">
        <v>6182</v>
      </c>
      <c r="M940" s="436" t="s">
        <v>2222</v>
      </c>
      <c r="N940" s="987"/>
      <c r="O940" s="436" t="s">
        <v>62</v>
      </c>
      <c r="P940" s="995">
        <v>45329.0</v>
      </c>
      <c r="Q940" s="987"/>
      <c r="R940" s="987"/>
      <c r="S940" s="987"/>
      <c r="T940" s="987"/>
      <c r="U940" s="987"/>
      <c r="V940" s="987"/>
      <c r="W940" s="987"/>
      <c r="X940" s="987"/>
      <c r="Y940" s="987"/>
      <c r="Z940" s="987"/>
      <c r="AA940" s="986"/>
    </row>
    <row r="941" hidden="1">
      <c r="A941" s="995">
        <v>929.0</v>
      </c>
      <c r="B941" s="988">
        <v>45336.0</v>
      </c>
      <c r="C941" s="989" t="s">
        <v>3074</v>
      </c>
      <c r="D941" s="434" t="s">
        <v>759</v>
      </c>
      <c r="E941" s="434" t="s">
        <v>6077</v>
      </c>
      <c r="F941" s="992"/>
      <c r="G941" s="434" t="s">
        <v>200</v>
      </c>
      <c r="H941" s="989" t="s">
        <v>6183</v>
      </c>
      <c r="I941" s="989" t="s">
        <v>6184</v>
      </c>
      <c r="J941" s="987"/>
      <c r="K941" s="436" t="s">
        <v>904</v>
      </c>
      <c r="L941" s="436" t="s">
        <v>905</v>
      </c>
      <c r="M941" s="436" t="s">
        <v>2189</v>
      </c>
      <c r="N941" s="987"/>
      <c r="O941" s="987"/>
      <c r="P941" s="987"/>
      <c r="Q941" s="987"/>
      <c r="R941" s="987"/>
      <c r="S941" s="436" t="s">
        <v>62</v>
      </c>
      <c r="T941" s="995">
        <v>45366.0</v>
      </c>
      <c r="U941" s="987"/>
      <c r="V941" s="987"/>
      <c r="W941" s="987"/>
      <c r="X941" s="987"/>
      <c r="Y941" s="987"/>
      <c r="Z941" s="987"/>
      <c r="AA941" s="986"/>
    </row>
    <row r="942" hidden="1">
      <c r="A942" s="995">
        <v>930.0</v>
      </c>
      <c r="B942" s="988">
        <v>45338.0</v>
      </c>
      <c r="C942" s="989" t="s">
        <v>1450</v>
      </c>
      <c r="D942" s="434" t="s">
        <v>89</v>
      </c>
      <c r="E942" s="434" t="s">
        <v>41</v>
      </c>
      <c r="F942" s="434" t="s">
        <v>50</v>
      </c>
      <c r="G942" s="434" t="s">
        <v>51</v>
      </c>
      <c r="H942" s="989" t="s">
        <v>6185</v>
      </c>
      <c r="I942" s="989" t="s">
        <v>6186</v>
      </c>
      <c r="J942" s="987"/>
      <c r="K942" s="436" t="s">
        <v>92</v>
      </c>
      <c r="L942" s="436" t="s">
        <v>1834</v>
      </c>
      <c r="M942" s="436" t="s">
        <v>610</v>
      </c>
      <c r="N942" s="987"/>
      <c r="O942" s="436" t="s">
        <v>62</v>
      </c>
      <c r="P942" s="987"/>
      <c r="Q942" s="987"/>
      <c r="R942" s="987"/>
      <c r="S942" s="987"/>
      <c r="T942" s="987"/>
      <c r="U942" s="436" t="s">
        <v>62</v>
      </c>
      <c r="V942" s="995">
        <v>45377.0</v>
      </c>
      <c r="W942" s="987"/>
      <c r="X942" s="987"/>
      <c r="Y942" s="987"/>
      <c r="Z942" s="987"/>
      <c r="AA942" s="986"/>
    </row>
    <row r="943" hidden="1">
      <c r="A943" s="995">
        <v>935.0</v>
      </c>
      <c r="B943" s="988">
        <v>45342.0</v>
      </c>
      <c r="C943" s="989" t="s">
        <v>6159</v>
      </c>
      <c r="D943" s="434" t="s">
        <v>374</v>
      </c>
      <c r="E943" s="434" t="s">
        <v>458</v>
      </c>
      <c r="F943" s="434" t="s">
        <v>50</v>
      </c>
      <c r="G943" s="434" t="s">
        <v>348</v>
      </c>
      <c r="H943" s="989" t="s">
        <v>6187</v>
      </c>
      <c r="I943" s="989" t="s">
        <v>6188</v>
      </c>
      <c r="J943" s="987"/>
      <c r="K943" s="436" t="s">
        <v>461</v>
      </c>
      <c r="L943" s="436" t="s">
        <v>6189</v>
      </c>
      <c r="M943" s="436" t="s">
        <v>463</v>
      </c>
      <c r="N943" s="987"/>
      <c r="O943" s="436" t="s">
        <v>62</v>
      </c>
      <c r="P943" s="995">
        <v>45342.0</v>
      </c>
      <c r="Q943" s="987"/>
      <c r="R943" s="987"/>
      <c r="S943" s="987"/>
      <c r="T943" s="987"/>
      <c r="U943" s="987"/>
      <c r="V943" s="987"/>
      <c r="W943" s="987"/>
      <c r="X943" s="987"/>
      <c r="Y943" s="987"/>
      <c r="Z943" s="987"/>
      <c r="AA943" s="986"/>
    </row>
    <row r="944" hidden="1">
      <c r="A944" s="995">
        <v>936.0</v>
      </c>
      <c r="B944" s="988">
        <v>45342.0</v>
      </c>
      <c r="C944" s="989" t="s">
        <v>65</v>
      </c>
      <c r="D944" s="434" t="s">
        <v>67</v>
      </c>
      <c r="E944" s="434" t="s">
        <v>160</v>
      </c>
      <c r="F944" s="434" t="s">
        <v>50</v>
      </c>
      <c r="G944" s="434" t="s">
        <v>42</v>
      </c>
      <c r="H944" s="989" t="s">
        <v>6190</v>
      </c>
      <c r="I944" s="989" t="s">
        <v>6191</v>
      </c>
      <c r="J944" s="987"/>
      <c r="K944" s="436" t="s">
        <v>6192</v>
      </c>
      <c r="L944" s="436" t="s">
        <v>6193</v>
      </c>
      <c r="M944" s="436" t="s">
        <v>463</v>
      </c>
      <c r="N944" s="987"/>
      <c r="O944" s="436" t="s">
        <v>62</v>
      </c>
      <c r="P944" s="995">
        <v>45342.0</v>
      </c>
      <c r="Q944" s="987"/>
      <c r="R944" s="987"/>
      <c r="S944" s="987"/>
      <c r="T944" s="987"/>
      <c r="U944" s="987"/>
      <c r="V944" s="987"/>
      <c r="W944" s="987"/>
      <c r="X944" s="987"/>
      <c r="Y944" s="987"/>
      <c r="Z944" s="987"/>
      <c r="AA944" s="986"/>
    </row>
    <row r="945" hidden="1">
      <c r="A945" s="995">
        <v>937.0</v>
      </c>
      <c r="B945" s="988">
        <v>45342.0</v>
      </c>
      <c r="C945" s="989" t="s">
        <v>3054</v>
      </c>
      <c r="D945" s="434" t="s">
        <v>1766</v>
      </c>
      <c r="E945" s="434" t="s">
        <v>1865</v>
      </c>
      <c r="F945" s="990">
        <v>1.6451642E7</v>
      </c>
      <c r="G945" s="434" t="s">
        <v>42</v>
      </c>
      <c r="H945" s="989" t="s">
        <v>6194</v>
      </c>
      <c r="I945" s="989" t="s">
        <v>6195</v>
      </c>
      <c r="J945" s="987"/>
      <c r="K945" s="436" t="s">
        <v>1770</v>
      </c>
      <c r="L945" s="436" t="s">
        <v>6196</v>
      </c>
      <c r="M945" s="436" t="s">
        <v>6197</v>
      </c>
      <c r="N945" s="987"/>
      <c r="O945" s="987"/>
      <c r="P945" s="987"/>
      <c r="Q945" s="987"/>
      <c r="R945" s="987"/>
      <c r="S945" s="987"/>
      <c r="T945" s="987"/>
      <c r="U945" s="436" t="s">
        <v>62</v>
      </c>
      <c r="V945" s="995">
        <v>45393.0</v>
      </c>
      <c r="W945" s="987"/>
      <c r="X945" s="987"/>
      <c r="Y945" s="987"/>
      <c r="Z945" s="987"/>
      <c r="AA945" s="986"/>
    </row>
    <row r="946" hidden="1">
      <c r="A946" s="995">
        <v>939.0</v>
      </c>
      <c r="B946" s="988">
        <v>45344.0</v>
      </c>
      <c r="C946" s="989" t="s">
        <v>6198</v>
      </c>
      <c r="D946" s="434" t="s">
        <v>6199</v>
      </c>
      <c r="E946" s="434" t="s">
        <v>6200</v>
      </c>
      <c r="F946" s="990">
        <v>1.8880242E7</v>
      </c>
      <c r="G946" s="434" t="s">
        <v>42</v>
      </c>
      <c r="H946" s="989" t="s">
        <v>6201</v>
      </c>
      <c r="I946" s="989" t="s">
        <v>6202</v>
      </c>
      <c r="J946" s="987"/>
      <c r="K946" s="436" t="s">
        <v>6203</v>
      </c>
      <c r="L946" s="436" t="s">
        <v>1868</v>
      </c>
      <c r="M946" s="436" t="s">
        <v>6204</v>
      </c>
      <c r="N946" s="987"/>
      <c r="O946" s="987"/>
      <c r="P946" s="987"/>
      <c r="Q946" s="987"/>
      <c r="R946" s="987"/>
      <c r="S946" s="987"/>
      <c r="T946" s="987"/>
      <c r="U946" s="987"/>
      <c r="V946" s="987"/>
      <c r="W946" s="987"/>
      <c r="X946" s="987"/>
      <c r="Y946" s="987"/>
      <c r="Z946" s="987"/>
      <c r="AA946" s="986"/>
    </row>
    <row r="947" hidden="1">
      <c r="A947" s="995">
        <v>940.0</v>
      </c>
      <c r="B947" s="988">
        <v>45344.0</v>
      </c>
      <c r="C947" s="989" t="s">
        <v>6205</v>
      </c>
      <c r="D947" s="434" t="s">
        <v>1101</v>
      </c>
      <c r="E947" s="434" t="s">
        <v>2361</v>
      </c>
      <c r="F947" s="434" t="s">
        <v>50</v>
      </c>
      <c r="G947" s="434" t="s">
        <v>348</v>
      </c>
      <c r="H947" s="989" t="s">
        <v>6206</v>
      </c>
      <c r="I947" s="989" t="s">
        <v>6207</v>
      </c>
      <c r="J947" s="987"/>
      <c r="K947" s="436" t="s">
        <v>2364</v>
      </c>
      <c r="L947" s="436" t="s">
        <v>6208</v>
      </c>
      <c r="M947" s="436" t="s">
        <v>5237</v>
      </c>
      <c r="N947" s="987"/>
      <c r="O947" s="436" t="s">
        <v>62</v>
      </c>
      <c r="P947" s="995">
        <v>45362.0</v>
      </c>
      <c r="Q947" s="987"/>
      <c r="R947" s="987"/>
      <c r="S947" s="987"/>
      <c r="T947" s="987"/>
      <c r="U947" s="987"/>
      <c r="V947" s="987"/>
      <c r="W947" s="987"/>
      <c r="X947" s="987"/>
      <c r="Y947" s="987"/>
      <c r="Z947" s="987"/>
      <c r="AA947" s="986"/>
    </row>
    <row r="948" hidden="1">
      <c r="A948" s="995">
        <v>942.0</v>
      </c>
      <c r="B948" s="988">
        <v>45344.0</v>
      </c>
      <c r="C948" s="989" t="s">
        <v>2929</v>
      </c>
      <c r="D948" s="434" t="s">
        <v>337</v>
      </c>
      <c r="E948" s="434" t="s">
        <v>2867</v>
      </c>
      <c r="F948" s="434" t="s">
        <v>50</v>
      </c>
      <c r="G948" s="434" t="s">
        <v>120</v>
      </c>
      <c r="H948" s="989" t="s">
        <v>6209</v>
      </c>
      <c r="I948" s="989" t="s">
        <v>6210</v>
      </c>
      <c r="J948" s="987"/>
      <c r="K948" s="436" t="s">
        <v>6211</v>
      </c>
      <c r="L948" s="436" t="s">
        <v>6212</v>
      </c>
      <c r="M948" s="987"/>
      <c r="N948" s="987"/>
      <c r="O948" s="436" t="s">
        <v>62</v>
      </c>
      <c r="P948" s="987"/>
      <c r="Q948" s="987"/>
      <c r="R948" s="987"/>
      <c r="S948" s="987"/>
      <c r="T948" s="987"/>
      <c r="U948" s="987"/>
      <c r="V948" s="987"/>
      <c r="W948" s="987"/>
      <c r="X948" s="987"/>
      <c r="Y948" s="987"/>
      <c r="Z948" s="987"/>
      <c r="AA948" s="986"/>
    </row>
    <row r="949" hidden="1">
      <c r="A949" s="995">
        <v>946.0</v>
      </c>
      <c r="B949" s="988">
        <v>45348.0</v>
      </c>
      <c r="C949" s="989" t="s">
        <v>6213</v>
      </c>
      <c r="D949" s="434" t="s">
        <v>48</v>
      </c>
      <c r="E949" s="434" t="s">
        <v>49</v>
      </c>
      <c r="F949" s="990">
        <v>1.4692069E7</v>
      </c>
      <c r="G949" s="434" t="s">
        <v>51</v>
      </c>
      <c r="H949" s="989" t="s">
        <v>5170</v>
      </c>
      <c r="I949" s="989" t="s">
        <v>6214</v>
      </c>
      <c r="J949" s="987"/>
      <c r="K949" s="436" t="s">
        <v>143</v>
      </c>
      <c r="L949" s="436" t="s">
        <v>613</v>
      </c>
      <c r="M949" s="436" t="s">
        <v>610</v>
      </c>
      <c r="N949" s="987"/>
      <c r="O949" s="436" t="s">
        <v>62</v>
      </c>
      <c r="P949" s="995">
        <v>45352.0</v>
      </c>
      <c r="Q949" s="987"/>
      <c r="R949" s="987"/>
      <c r="S949" s="987"/>
      <c r="T949" s="987"/>
      <c r="U949" s="436" t="s">
        <v>62</v>
      </c>
      <c r="V949" s="995">
        <v>45355.0</v>
      </c>
      <c r="W949" s="987"/>
      <c r="X949" s="987"/>
      <c r="Y949" s="987"/>
      <c r="Z949" s="987"/>
      <c r="AA949" s="986"/>
    </row>
    <row r="950" hidden="1">
      <c r="A950" s="995">
        <v>947.0</v>
      </c>
      <c r="B950" s="988">
        <v>45348.0</v>
      </c>
      <c r="C950" s="989" t="s">
        <v>6215</v>
      </c>
      <c r="D950" s="434" t="s">
        <v>1312</v>
      </c>
      <c r="E950" s="434" t="s">
        <v>1313</v>
      </c>
      <c r="F950" s="434" t="s">
        <v>50</v>
      </c>
      <c r="G950" s="434" t="s">
        <v>200</v>
      </c>
      <c r="H950" s="989" t="s">
        <v>6216</v>
      </c>
      <c r="I950" s="989" t="s">
        <v>6217</v>
      </c>
      <c r="J950" s="987"/>
      <c r="K950" s="436" t="s">
        <v>1316</v>
      </c>
      <c r="L950" s="436" t="s">
        <v>2851</v>
      </c>
      <c r="M950" s="436" t="s">
        <v>2852</v>
      </c>
      <c r="N950" s="987"/>
      <c r="O950" s="436" t="s">
        <v>62</v>
      </c>
      <c r="P950" s="995">
        <v>45394.0</v>
      </c>
      <c r="Q950" s="987"/>
      <c r="R950" s="987"/>
      <c r="S950" s="987"/>
      <c r="T950" s="987"/>
      <c r="U950" s="987"/>
      <c r="V950" s="987"/>
      <c r="W950" s="987"/>
      <c r="X950" s="987"/>
      <c r="Y950" s="987"/>
      <c r="Z950" s="987"/>
      <c r="AA950" s="986"/>
    </row>
    <row r="951" hidden="1">
      <c r="A951" s="995">
        <v>951.0</v>
      </c>
      <c r="B951" s="988">
        <v>45349.0</v>
      </c>
      <c r="C951" s="989" t="s">
        <v>6116</v>
      </c>
      <c r="D951" s="434" t="s">
        <v>1059</v>
      </c>
      <c r="E951" s="434" t="s">
        <v>1060</v>
      </c>
      <c r="F951" s="434" t="s">
        <v>50</v>
      </c>
      <c r="G951" s="434" t="s">
        <v>135</v>
      </c>
      <c r="H951" s="989" t="s">
        <v>6218</v>
      </c>
      <c r="I951" s="989" t="s">
        <v>6219</v>
      </c>
      <c r="J951" s="987"/>
      <c r="K951" s="436" t="s">
        <v>1063</v>
      </c>
      <c r="L951" s="436" t="s">
        <v>1064</v>
      </c>
      <c r="M951" s="436" t="s">
        <v>1065</v>
      </c>
      <c r="N951" s="987"/>
      <c r="O951" s="436" t="s">
        <v>62</v>
      </c>
      <c r="P951" s="995">
        <v>45349.0</v>
      </c>
      <c r="Q951" s="987"/>
      <c r="R951" s="987"/>
      <c r="S951" s="987"/>
      <c r="T951" s="987"/>
      <c r="U951" s="987"/>
      <c r="V951" s="987"/>
      <c r="W951" s="987"/>
      <c r="X951" s="987"/>
      <c r="Y951" s="987"/>
      <c r="Z951" s="987"/>
      <c r="AA951" s="986"/>
    </row>
    <row r="952" hidden="1">
      <c r="A952" s="995">
        <v>953.0</v>
      </c>
      <c r="B952" s="988">
        <v>45349.0</v>
      </c>
      <c r="C952" s="989" t="s">
        <v>6116</v>
      </c>
      <c r="D952" s="434" t="s">
        <v>1059</v>
      </c>
      <c r="E952" s="434" t="s">
        <v>1060</v>
      </c>
      <c r="F952" s="434" t="s">
        <v>50</v>
      </c>
      <c r="G952" s="434" t="s">
        <v>135</v>
      </c>
      <c r="H952" s="989" t="s">
        <v>6218</v>
      </c>
      <c r="I952" s="989" t="s">
        <v>6219</v>
      </c>
      <c r="J952" s="987"/>
      <c r="K952" s="436" t="s">
        <v>1063</v>
      </c>
      <c r="L952" s="436" t="s">
        <v>1064</v>
      </c>
      <c r="M952" s="436" t="s">
        <v>1065</v>
      </c>
      <c r="N952" s="987"/>
      <c r="O952" s="987"/>
      <c r="P952" s="987"/>
      <c r="Q952" s="987"/>
      <c r="R952" s="987"/>
      <c r="S952" s="987"/>
      <c r="T952" s="987"/>
      <c r="U952" s="987"/>
      <c r="V952" s="987"/>
      <c r="W952" s="987"/>
      <c r="X952" s="987"/>
      <c r="Y952" s="987"/>
      <c r="Z952" s="987"/>
      <c r="AA952" s="986"/>
    </row>
    <row r="953" hidden="1">
      <c r="A953" s="995">
        <v>954.0</v>
      </c>
      <c r="B953" s="988">
        <v>45349.0</v>
      </c>
      <c r="C953" s="989" t="s">
        <v>118</v>
      </c>
      <c r="D953" s="434" t="s">
        <v>119</v>
      </c>
      <c r="E953" s="434" t="s">
        <v>49</v>
      </c>
      <c r="F953" s="434" t="s">
        <v>50</v>
      </c>
      <c r="G953" s="434" t="s">
        <v>120</v>
      </c>
      <c r="H953" s="989" t="s">
        <v>6220</v>
      </c>
      <c r="I953" s="989" t="s">
        <v>6221</v>
      </c>
      <c r="J953" s="987"/>
      <c r="K953" s="436" t="s">
        <v>370</v>
      </c>
      <c r="L953" s="987"/>
      <c r="M953" s="987"/>
      <c r="N953" s="987"/>
      <c r="O953" s="436" t="s">
        <v>62</v>
      </c>
      <c r="P953" s="995">
        <v>45350.0</v>
      </c>
      <c r="Q953" s="987"/>
      <c r="R953" s="987"/>
      <c r="S953" s="987"/>
      <c r="T953" s="987"/>
      <c r="U953" s="987"/>
      <c r="V953" s="987"/>
      <c r="W953" s="987"/>
      <c r="X953" s="987"/>
      <c r="Y953" s="987"/>
      <c r="Z953" s="987"/>
      <c r="AA953" s="986"/>
    </row>
    <row r="954" hidden="1">
      <c r="A954" s="995">
        <v>956.0</v>
      </c>
      <c r="B954" s="988">
        <v>45351.0</v>
      </c>
      <c r="C954" s="989" t="s">
        <v>6164</v>
      </c>
      <c r="D954" s="434" t="s">
        <v>918</v>
      </c>
      <c r="E954" s="434" t="s">
        <v>1467</v>
      </c>
      <c r="F954" s="990">
        <v>1.6351559E7</v>
      </c>
      <c r="G954" s="434" t="s">
        <v>32</v>
      </c>
      <c r="H954" s="989" t="s">
        <v>6222</v>
      </c>
      <c r="I954" s="989" t="s">
        <v>6223</v>
      </c>
      <c r="J954" s="987"/>
      <c r="K954" s="436" t="s">
        <v>1435</v>
      </c>
      <c r="L954" s="436" t="s">
        <v>958</v>
      </c>
      <c r="M954" s="436" t="s">
        <v>2078</v>
      </c>
      <c r="N954" s="987"/>
      <c r="O954" s="436" t="s">
        <v>62</v>
      </c>
      <c r="P954" s="995">
        <v>45351.0</v>
      </c>
      <c r="Q954" s="987"/>
      <c r="R954" s="987"/>
      <c r="S954" s="987"/>
      <c r="T954" s="987"/>
      <c r="U954" s="436" t="s">
        <v>62</v>
      </c>
      <c r="V954" s="995">
        <v>45366.0</v>
      </c>
      <c r="W954" s="987"/>
      <c r="X954" s="987"/>
      <c r="Y954" s="987"/>
      <c r="Z954" s="987"/>
      <c r="AA954" s="986"/>
    </row>
    <row r="955" hidden="1">
      <c r="A955" s="995">
        <v>957.0</v>
      </c>
      <c r="B955" s="988">
        <v>45351.0</v>
      </c>
      <c r="C955" s="989" t="s">
        <v>6116</v>
      </c>
      <c r="D955" s="434" t="s">
        <v>1059</v>
      </c>
      <c r="E955" s="434" t="s">
        <v>1060</v>
      </c>
      <c r="F955" s="434" t="s">
        <v>50</v>
      </c>
      <c r="G955" s="434" t="s">
        <v>135</v>
      </c>
      <c r="H955" s="989" t="s">
        <v>6224</v>
      </c>
      <c r="I955" s="989" t="s">
        <v>6225</v>
      </c>
      <c r="J955" s="987"/>
      <c r="K955" s="436" t="s">
        <v>1063</v>
      </c>
      <c r="L955" s="436" t="s">
        <v>1098</v>
      </c>
      <c r="M955" s="436" t="s">
        <v>6121</v>
      </c>
      <c r="N955" s="987"/>
      <c r="O955" s="987"/>
      <c r="P955" s="987"/>
      <c r="Q955" s="987"/>
      <c r="R955" s="987"/>
      <c r="S955" s="987"/>
      <c r="T955" s="987"/>
      <c r="U955" s="987"/>
      <c r="V955" s="987"/>
      <c r="W955" s="987"/>
      <c r="X955" s="987"/>
      <c r="Y955" s="987"/>
      <c r="Z955" s="987"/>
      <c r="AA955" s="986"/>
    </row>
    <row r="956" hidden="1">
      <c r="A956" s="995">
        <v>958.0</v>
      </c>
      <c r="B956" s="988">
        <v>45350.0</v>
      </c>
      <c r="C956" s="989" t="s">
        <v>6226</v>
      </c>
      <c r="D956" s="434" t="s">
        <v>404</v>
      </c>
      <c r="E956" s="992"/>
      <c r="F956" s="990">
        <v>1.3560275E7</v>
      </c>
      <c r="G956" s="434" t="s">
        <v>200</v>
      </c>
      <c r="H956" s="989" t="s">
        <v>6227</v>
      </c>
      <c r="I956" s="989" t="s">
        <v>6228</v>
      </c>
      <c r="J956" s="987"/>
      <c r="K956" s="987"/>
      <c r="L956" s="987"/>
      <c r="M956" s="987"/>
      <c r="N956" s="987"/>
      <c r="O956" s="436" t="s">
        <v>62</v>
      </c>
      <c r="P956" s="995">
        <v>45350.0</v>
      </c>
      <c r="Q956" s="987"/>
      <c r="R956" s="987"/>
      <c r="S956" s="987"/>
      <c r="T956" s="987"/>
      <c r="U956" s="987"/>
      <c r="V956" s="987"/>
      <c r="W956" s="987"/>
      <c r="X956" s="987"/>
      <c r="Y956" s="987"/>
      <c r="Z956" s="987"/>
      <c r="AA956" s="986"/>
    </row>
    <row r="957" hidden="1">
      <c r="A957" s="995">
        <v>959.0</v>
      </c>
      <c r="B957" s="988">
        <v>45352.0</v>
      </c>
      <c r="C957" s="989" t="s">
        <v>2821</v>
      </c>
      <c r="D957" s="434" t="s">
        <v>885</v>
      </c>
      <c r="E957" s="434" t="s">
        <v>49</v>
      </c>
      <c r="F957" s="990">
        <v>1.5122412E7</v>
      </c>
      <c r="G957" s="434" t="s">
        <v>32</v>
      </c>
      <c r="H957" s="989" t="s">
        <v>6229</v>
      </c>
      <c r="I957" s="989" t="s">
        <v>6230</v>
      </c>
      <c r="J957" s="987"/>
      <c r="K957" s="436" t="s">
        <v>1244</v>
      </c>
      <c r="L957" s="987"/>
      <c r="M957" s="436" t="s">
        <v>1234</v>
      </c>
      <c r="N957" s="987"/>
      <c r="O957" s="436" t="s">
        <v>62</v>
      </c>
      <c r="P957" s="987"/>
      <c r="Q957" s="987"/>
      <c r="R957" s="987"/>
      <c r="S957" s="987"/>
      <c r="T957" s="987"/>
      <c r="U957" s="436" t="s">
        <v>62</v>
      </c>
      <c r="V957" s="995">
        <v>45378.0</v>
      </c>
      <c r="W957" s="987"/>
      <c r="X957" s="987"/>
      <c r="Y957" s="987"/>
      <c r="Z957" s="987"/>
      <c r="AA957" s="986"/>
    </row>
    <row r="958" hidden="1">
      <c r="A958" s="995">
        <v>960.0</v>
      </c>
      <c r="B958" s="988">
        <v>45352.0</v>
      </c>
      <c r="C958" s="989" t="s">
        <v>2821</v>
      </c>
      <c r="D958" s="434" t="s">
        <v>885</v>
      </c>
      <c r="E958" s="434" t="s">
        <v>49</v>
      </c>
      <c r="F958" s="990">
        <v>1.5122415E7</v>
      </c>
      <c r="G958" s="434" t="s">
        <v>32</v>
      </c>
      <c r="H958" s="989" t="s">
        <v>6231</v>
      </c>
      <c r="I958" s="994"/>
      <c r="J958" s="987"/>
      <c r="K958" s="436" t="s">
        <v>1244</v>
      </c>
      <c r="L958" s="987"/>
      <c r="M958" s="436" t="s">
        <v>610</v>
      </c>
      <c r="N958" s="987"/>
      <c r="O958" s="436" t="s">
        <v>62</v>
      </c>
      <c r="P958" s="987"/>
      <c r="Q958" s="987"/>
      <c r="R958" s="987"/>
      <c r="S958" s="987"/>
      <c r="T958" s="987"/>
      <c r="U958" s="436" t="s">
        <v>62</v>
      </c>
      <c r="V958" s="995">
        <v>45378.0</v>
      </c>
      <c r="W958" s="987"/>
      <c r="X958" s="987"/>
      <c r="Y958" s="987"/>
      <c r="Z958" s="987"/>
      <c r="AA958" s="986"/>
    </row>
    <row r="959" hidden="1">
      <c r="A959" s="995">
        <v>961.0</v>
      </c>
      <c r="B959" s="988">
        <v>45352.0</v>
      </c>
      <c r="C959" s="989" t="s">
        <v>2821</v>
      </c>
      <c r="D959" s="434" t="s">
        <v>885</v>
      </c>
      <c r="E959" s="434" t="s">
        <v>49</v>
      </c>
      <c r="F959" s="990">
        <v>1.5122394E7</v>
      </c>
      <c r="G959" s="434" t="s">
        <v>32</v>
      </c>
      <c r="H959" s="989" t="s">
        <v>1487</v>
      </c>
      <c r="I959" s="989" t="s">
        <v>6232</v>
      </c>
      <c r="J959" s="987"/>
      <c r="K959" s="436" t="s">
        <v>1244</v>
      </c>
      <c r="L959" s="987"/>
      <c r="M959" s="436" t="s">
        <v>610</v>
      </c>
      <c r="N959" s="987"/>
      <c r="O959" s="436" t="s">
        <v>62</v>
      </c>
      <c r="P959" s="987"/>
      <c r="Q959" s="987"/>
      <c r="R959" s="987"/>
      <c r="S959" s="987"/>
      <c r="T959" s="987"/>
      <c r="U959" s="436" t="s">
        <v>62</v>
      </c>
      <c r="V959" s="995">
        <v>45365.0</v>
      </c>
      <c r="W959" s="987"/>
      <c r="X959" s="987"/>
      <c r="Y959" s="987"/>
      <c r="Z959" s="987"/>
      <c r="AA959" s="986"/>
    </row>
    <row r="960" hidden="1">
      <c r="A960" s="995">
        <v>962.0</v>
      </c>
      <c r="B960" s="988">
        <v>45352.0</v>
      </c>
      <c r="C960" s="989" t="s">
        <v>2821</v>
      </c>
      <c r="D960" s="434" t="s">
        <v>885</v>
      </c>
      <c r="E960" s="434" t="s">
        <v>49</v>
      </c>
      <c r="F960" s="990">
        <v>1.5122392E7</v>
      </c>
      <c r="G960" s="434" t="s">
        <v>32</v>
      </c>
      <c r="H960" s="989" t="s">
        <v>1487</v>
      </c>
      <c r="I960" s="989" t="s">
        <v>6232</v>
      </c>
      <c r="J960" s="987"/>
      <c r="K960" s="436" t="s">
        <v>1244</v>
      </c>
      <c r="L960" s="987"/>
      <c r="M960" s="436" t="s">
        <v>610</v>
      </c>
      <c r="N960" s="987"/>
      <c r="O960" s="436" t="s">
        <v>62</v>
      </c>
      <c r="P960" s="987"/>
      <c r="Q960" s="987"/>
      <c r="R960" s="987"/>
      <c r="S960" s="987"/>
      <c r="T960" s="987"/>
      <c r="U960" s="436" t="s">
        <v>62</v>
      </c>
      <c r="V960" s="995">
        <v>45365.0</v>
      </c>
      <c r="W960" s="987"/>
      <c r="X960" s="987"/>
      <c r="Y960" s="987"/>
      <c r="Z960" s="987"/>
      <c r="AA960" s="986"/>
    </row>
    <row r="961" hidden="1">
      <c r="A961" s="995">
        <v>963.0</v>
      </c>
      <c r="B961" s="988">
        <v>45352.0</v>
      </c>
      <c r="C961" s="989" t="s">
        <v>2821</v>
      </c>
      <c r="D961" s="434" t="s">
        <v>885</v>
      </c>
      <c r="E961" s="434" t="s">
        <v>49</v>
      </c>
      <c r="F961" s="990">
        <v>1.5122395E7</v>
      </c>
      <c r="G961" s="434" t="s">
        <v>32</v>
      </c>
      <c r="H961" s="989" t="s">
        <v>6233</v>
      </c>
      <c r="I961" s="989" t="s">
        <v>6234</v>
      </c>
      <c r="J961" s="987"/>
      <c r="K961" s="436" t="s">
        <v>1244</v>
      </c>
      <c r="L961" s="987"/>
      <c r="M961" s="987"/>
      <c r="N961" s="987"/>
      <c r="O961" s="436" t="s">
        <v>62</v>
      </c>
      <c r="P961" s="987"/>
      <c r="Q961" s="987"/>
      <c r="R961" s="987"/>
      <c r="S961" s="987"/>
      <c r="T961" s="987"/>
      <c r="U961" s="436" t="s">
        <v>62</v>
      </c>
      <c r="V961" s="995">
        <v>45365.0</v>
      </c>
      <c r="W961" s="987"/>
      <c r="X961" s="987"/>
      <c r="Y961" s="987"/>
      <c r="Z961" s="987"/>
      <c r="AA961" s="986"/>
    </row>
    <row r="962" hidden="1">
      <c r="A962" s="995">
        <v>964.0</v>
      </c>
      <c r="B962" s="988">
        <v>45352.0</v>
      </c>
      <c r="C962" s="989" t="s">
        <v>2821</v>
      </c>
      <c r="D962" s="434" t="s">
        <v>885</v>
      </c>
      <c r="E962" s="434" t="s">
        <v>49</v>
      </c>
      <c r="F962" s="990">
        <v>1.5122396E7</v>
      </c>
      <c r="G962" s="434" t="s">
        <v>32</v>
      </c>
      <c r="H962" s="989" t="s">
        <v>6235</v>
      </c>
      <c r="I962" s="989" t="s">
        <v>6236</v>
      </c>
      <c r="J962" s="987"/>
      <c r="K962" s="436" t="s">
        <v>1244</v>
      </c>
      <c r="L962" s="987"/>
      <c r="M962" s="987"/>
      <c r="N962" s="987"/>
      <c r="O962" s="436" t="s">
        <v>62</v>
      </c>
      <c r="P962" s="987"/>
      <c r="Q962" s="987"/>
      <c r="R962" s="987"/>
      <c r="S962" s="987"/>
      <c r="T962" s="987"/>
      <c r="U962" s="436" t="s">
        <v>62</v>
      </c>
      <c r="V962" s="995">
        <v>45365.0</v>
      </c>
      <c r="W962" s="987"/>
      <c r="X962" s="987"/>
      <c r="Y962" s="987"/>
      <c r="Z962" s="987"/>
      <c r="AA962" s="986"/>
    </row>
    <row r="963" hidden="1">
      <c r="A963" s="995">
        <v>965.0</v>
      </c>
      <c r="B963" s="988">
        <v>45352.0</v>
      </c>
      <c r="C963" s="989" t="s">
        <v>2821</v>
      </c>
      <c r="D963" s="434" t="s">
        <v>885</v>
      </c>
      <c r="E963" s="434" t="s">
        <v>49</v>
      </c>
      <c r="F963" s="990">
        <v>1.5781534E7</v>
      </c>
      <c r="G963" s="434" t="s">
        <v>32</v>
      </c>
      <c r="H963" s="989" t="s">
        <v>6237</v>
      </c>
      <c r="I963" s="989" t="s">
        <v>6238</v>
      </c>
      <c r="J963" s="987"/>
      <c r="K963" s="436" t="s">
        <v>1244</v>
      </c>
      <c r="L963" s="987"/>
      <c r="M963" s="987"/>
      <c r="N963" s="987"/>
      <c r="O963" s="436" t="s">
        <v>62</v>
      </c>
      <c r="P963" s="987"/>
      <c r="Q963" s="987"/>
      <c r="R963" s="987"/>
      <c r="S963" s="987"/>
      <c r="T963" s="987"/>
      <c r="U963" s="436" t="s">
        <v>62</v>
      </c>
      <c r="V963" s="995">
        <v>45365.0</v>
      </c>
      <c r="W963" s="987"/>
      <c r="X963" s="987"/>
      <c r="Y963" s="987"/>
      <c r="Z963" s="987"/>
      <c r="AA963" s="986"/>
    </row>
    <row r="964" hidden="1">
      <c r="A964" s="995">
        <v>966.0</v>
      </c>
      <c r="B964" s="988">
        <v>45352.0</v>
      </c>
      <c r="C964" s="989" t="s">
        <v>2821</v>
      </c>
      <c r="D964" s="434" t="s">
        <v>885</v>
      </c>
      <c r="E964" s="434" t="s">
        <v>49</v>
      </c>
      <c r="F964" s="990">
        <v>1.5781535E7</v>
      </c>
      <c r="G964" s="434" t="s">
        <v>32</v>
      </c>
      <c r="H964" s="989" t="s">
        <v>6239</v>
      </c>
      <c r="I964" s="989" t="s">
        <v>6240</v>
      </c>
      <c r="J964" s="987"/>
      <c r="K964" s="436" t="s">
        <v>1244</v>
      </c>
      <c r="L964" s="987"/>
      <c r="M964" s="436" t="s">
        <v>610</v>
      </c>
      <c r="N964" s="987"/>
      <c r="O964" s="436" t="s">
        <v>62</v>
      </c>
      <c r="P964" s="987"/>
      <c r="Q964" s="987"/>
      <c r="R964" s="987"/>
      <c r="S964" s="987"/>
      <c r="T964" s="987"/>
      <c r="U964" s="436" t="s">
        <v>62</v>
      </c>
      <c r="V964" s="995">
        <v>45365.0</v>
      </c>
      <c r="W964" s="987"/>
      <c r="X964" s="987"/>
      <c r="Y964" s="987"/>
      <c r="Z964" s="987"/>
      <c r="AA964" s="986"/>
    </row>
    <row r="965" hidden="1">
      <c r="A965" s="995">
        <v>967.0</v>
      </c>
      <c r="B965" s="988">
        <v>45352.0</v>
      </c>
      <c r="C965" s="989" t="s">
        <v>2821</v>
      </c>
      <c r="D965" s="434" t="s">
        <v>885</v>
      </c>
      <c r="E965" s="434" t="s">
        <v>49</v>
      </c>
      <c r="F965" s="990">
        <v>1.5781536E7</v>
      </c>
      <c r="G965" s="434" t="s">
        <v>32</v>
      </c>
      <c r="H965" s="989" t="s">
        <v>6241</v>
      </c>
      <c r="I965" s="989" t="s">
        <v>6242</v>
      </c>
      <c r="J965" s="987"/>
      <c r="K965" s="436" t="s">
        <v>1244</v>
      </c>
      <c r="L965" s="987"/>
      <c r="M965" s="987"/>
      <c r="N965" s="987"/>
      <c r="O965" s="436" t="s">
        <v>62</v>
      </c>
      <c r="P965" s="987"/>
      <c r="Q965" s="987"/>
      <c r="R965" s="987"/>
      <c r="S965" s="987"/>
      <c r="T965" s="987"/>
      <c r="U965" s="436" t="s">
        <v>62</v>
      </c>
      <c r="V965" s="995">
        <v>45365.0</v>
      </c>
      <c r="W965" s="987"/>
      <c r="X965" s="987"/>
      <c r="Y965" s="987"/>
      <c r="Z965" s="987"/>
      <c r="AA965" s="986"/>
    </row>
    <row r="966" hidden="1">
      <c r="A966" s="995">
        <v>968.0</v>
      </c>
      <c r="B966" s="988">
        <v>45355.0</v>
      </c>
      <c r="C966" s="989" t="s">
        <v>2821</v>
      </c>
      <c r="D966" s="434" t="s">
        <v>885</v>
      </c>
      <c r="E966" s="434" t="s">
        <v>49</v>
      </c>
      <c r="F966" s="990">
        <v>1.5122408E7</v>
      </c>
      <c r="G966" s="434" t="s">
        <v>32</v>
      </c>
      <c r="H966" s="989" t="s">
        <v>6243</v>
      </c>
      <c r="I966" s="989" t="s">
        <v>6244</v>
      </c>
      <c r="J966" s="987"/>
      <c r="K966" s="436" t="s">
        <v>1244</v>
      </c>
      <c r="L966" s="987"/>
      <c r="M966" s="987"/>
      <c r="N966" s="987"/>
      <c r="O966" s="436" t="s">
        <v>62</v>
      </c>
      <c r="P966" s="987"/>
      <c r="Q966" s="987"/>
      <c r="R966" s="987"/>
      <c r="S966" s="987"/>
      <c r="T966" s="987"/>
      <c r="U966" s="436" t="s">
        <v>62</v>
      </c>
      <c r="V966" s="995">
        <v>45377.0</v>
      </c>
      <c r="W966" s="987"/>
      <c r="X966" s="987"/>
      <c r="Y966" s="987"/>
      <c r="Z966" s="987"/>
      <c r="AA966" s="986"/>
    </row>
    <row r="967" hidden="1">
      <c r="A967" s="995">
        <v>969.0</v>
      </c>
      <c r="B967" s="988">
        <v>45355.0</v>
      </c>
      <c r="C967" s="989" t="s">
        <v>2821</v>
      </c>
      <c r="D967" s="434" t="s">
        <v>885</v>
      </c>
      <c r="E967" s="434" t="s">
        <v>49</v>
      </c>
      <c r="F967" s="990">
        <v>1.5122409E7</v>
      </c>
      <c r="G967" s="434" t="s">
        <v>32</v>
      </c>
      <c r="H967" s="989" t="s">
        <v>6245</v>
      </c>
      <c r="I967" s="989" t="s">
        <v>6244</v>
      </c>
      <c r="J967" s="987"/>
      <c r="K967" s="436" t="s">
        <v>1244</v>
      </c>
      <c r="L967" s="987"/>
      <c r="M967" s="987"/>
      <c r="N967" s="987"/>
      <c r="O967" s="436" t="s">
        <v>62</v>
      </c>
      <c r="P967" s="987"/>
      <c r="Q967" s="987"/>
      <c r="R967" s="987"/>
      <c r="S967" s="987"/>
      <c r="T967" s="987"/>
      <c r="U967" s="436" t="s">
        <v>62</v>
      </c>
      <c r="V967" s="995">
        <v>45377.0</v>
      </c>
      <c r="W967" s="987"/>
      <c r="X967" s="987"/>
      <c r="Y967" s="987"/>
      <c r="Z967" s="987"/>
      <c r="AA967" s="986"/>
    </row>
    <row r="968" hidden="1">
      <c r="A968" s="995">
        <v>970.0</v>
      </c>
      <c r="B968" s="988">
        <v>45355.0</v>
      </c>
      <c r="C968" s="989" t="s">
        <v>2821</v>
      </c>
      <c r="D968" s="434" t="s">
        <v>885</v>
      </c>
      <c r="E968" s="434" t="s">
        <v>49</v>
      </c>
      <c r="F968" s="990">
        <v>1.578154E7</v>
      </c>
      <c r="G968" s="434" t="s">
        <v>32</v>
      </c>
      <c r="H968" s="989" t="s">
        <v>1487</v>
      </c>
      <c r="I968" s="989" t="s">
        <v>6244</v>
      </c>
      <c r="J968" s="987"/>
      <c r="K968" s="436" t="s">
        <v>1244</v>
      </c>
      <c r="L968" s="987"/>
      <c r="M968" s="987"/>
      <c r="N968" s="987"/>
      <c r="O968" s="436" t="s">
        <v>62</v>
      </c>
      <c r="P968" s="987"/>
      <c r="Q968" s="987"/>
      <c r="R968" s="987"/>
      <c r="S968" s="987"/>
      <c r="T968" s="987"/>
      <c r="U968" s="436" t="s">
        <v>62</v>
      </c>
      <c r="V968" s="995">
        <v>45370.0</v>
      </c>
      <c r="W968" s="987"/>
      <c r="X968" s="987"/>
      <c r="Y968" s="987"/>
      <c r="Z968" s="987"/>
      <c r="AA968" s="986"/>
    </row>
    <row r="969" hidden="1">
      <c r="A969" s="995">
        <v>971.0</v>
      </c>
      <c r="B969" s="988">
        <v>45355.0</v>
      </c>
      <c r="C969" s="989" t="s">
        <v>2821</v>
      </c>
      <c r="D969" s="434" t="s">
        <v>885</v>
      </c>
      <c r="E969" s="434" t="s">
        <v>49</v>
      </c>
      <c r="F969" s="990">
        <v>1.5781541E7</v>
      </c>
      <c r="G969" s="434" t="s">
        <v>32</v>
      </c>
      <c r="H969" s="989" t="s">
        <v>6246</v>
      </c>
      <c r="I969" s="989" t="s">
        <v>6244</v>
      </c>
      <c r="J969" s="987"/>
      <c r="K969" s="436" t="s">
        <v>1244</v>
      </c>
      <c r="L969" s="987"/>
      <c r="M969" s="987"/>
      <c r="N969" s="987"/>
      <c r="O969" s="436" t="s">
        <v>62</v>
      </c>
      <c r="P969" s="987"/>
      <c r="Q969" s="987"/>
      <c r="R969" s="987"/>
      <c r="S969" s="987"/>
      <c r="T969" s="987"/>
      <c r="U969" s="436" t="s">
        <v>62</v>
      </c>
      <c r="V969" s="995">
        <v>45377.0</v>
      </c>
      <c r="W969" s="987"/>
      <c r="X969" s="987"/>
      <c r="Y969" s="987"/>
      <c r="Z969" s="987"/>
      <c r="AA969" s="986"/>
    </row>
    <row r="970" hidden="1">
      <c r="A970" s="995">
        <v>972.0</v>
      </c>
      <c r="B970" s="988">
        <v>45355.0</v>
      </c>
      <c r="C970" s="989" t="s">
        <v>2821</v>
      </c>
      <c r="D970" s="434" t="s">
        <v>885</v>
      </c>
      <c r="E970" s="434" t="s">
        <v>49</v>
      </c>
      <c r="F970" s="990">
        <v>1.5781542E7</v>
      </c>
      <c r="G970" s="434" t="s">
        <v>32</v>
      </c>
      <c r="H970" s="989" t="s">
        <v>6247</v>
      </c>
      <c r="I970" s="989" t="s">
        <v>6244</v>
      </c>
      <c r="J970" s="987"/>
      <c r="K970" s="436" t="s">
        <v>1244</v>
      </c>
      <c r="L970" s="987"/>
      <c r="M970" s="987"/>
      <c r="N970" s="987"/>
      <c r="O970" s="436" t="s">
        <v>62</v>
      </c>
      <c r="P970" s="987"/>
      <c r="Q970" s="987"/>
      <c r="R970" s="987"/>
      <c r="S970" s="987"/>
      <c r="T970" s="987"/>
      <c r="U970" s="436" t="s">
        <v>62</v>
      </c>
      <c r="V970" s="995">
        <v>45377.0</v>
      </c>
      <c r="W970" s="987"/>
      <c r="X970" s="987"/>
      <c r="Y970" s="987"/>
      <c r="Z970" s="987"/>
      <c r="AA970" s="986"/>
    </row>
    <row r="971" hidden="1">
      <c r="A971" s="995">
        <v>973.0</v>
      </c>
      <c r="B971" s="988">
        <v>45355.0</v>
      </c>
      <c r="C971" s="989" t="s">
        <v>2821</v>
      </c>
      <c r="D971" s="434" t="s">
        <v>885</v>
      </c>
      <c r="E971" s="434" t="s">
        <v>49</v>
      </c>
      <c r="F971" s="990">
        <v>1.5781543E7</v>
      </c>
      <c r="G971" s="434" t="s">
        <v>32</v>
      </c>
      <c r="H971" s="989" t="s">
        <v>6248</v>
      </c>
      <c r="I971" s="989" t="s">
        <v>6244</v>
      </c>
      <c r="J971" s="987"/>
      <c r="K971" s="436" t="s">
        <v>1244</v>
      </c>
      <c r="L971" s="987"/>
      <c r="M971" s="987"/>
      <c r="N971" s="987"/>
      <c r="O971" s="436" t="s">
        <v>62</v>
      </c>
      <c r="P971" s="987"/>
      <c r="Q971" s="987"/>
      <c r="R971" s="987"/>
      <c r="S971" s="987"/>
      <c r="T971" s="987"/>
      <c r="U971" s="436" t="s">
        <v>62</v>
      </c>
      <c r="V971" s="995">
        <v>45377.0</v>
      </c>
      <c r="W971" s="987"/>
      <c r="X971" s="987"/>
      <c r="Y971" s="987"/>
      <c r="Z971" s="987"/>
      <c r="AA971" s="986"/>
    </row>
    <row r="972" hidden="1">
      <c r="A972" s="995">
        <v>974.0</v>
      </c>
      <c r="B972" s="988">
        <v>45355.0</v>
      </c>
      <c r="C972" s="989" t="s">
        <v>2821</v>
      </c>
      <c r="D972" s="434" t="s">
        <v>885</v>
      </c>
      <c r="E972" s="434" t="s">
        <v>49</v>
      </c>
      <c r="F972" s="990">
        <v>1.5781555E7</v>
      </c>
      <c r="G972" s="434" t="s">
        <v>32</v>
      </c>
      <c r="H972" s="989" t="s">
        <v>6249</v>
      </c>
      <c r="I972" s="989" t="s">
        <v>6250</v>
      </c>
      <c r="J972" s="987"/>
      <c r="K972" s="436" t="s">
        <v>1244</v>
      </c>
      <c r="L972" s="987"/>
      <c r="M972" s="987"/>
      <c r="N972" s="987"/>
      <c r="O972" s="436" t="s">
        <v>62</v>
      </c>
      <c r="P972" s="987"/>
      <c r="Q972" s="987"/>
      <c r="R972" s="987"/>
      <c r="S972" s="987"/>
      <c r="T972" s="987"/>
      <c r="U972" s="987"/>
      <c r="V972" s="987"/>
      <c r="W972" s="987"/>
      <c r="X972" s="987"/>
      <c r="Y972" s="987"/>
      <c r="Z972" s="987"/>
      <c r="AA972" s="986"/>
    </row>
    <row r="973" hidden="1">
      <c r="A973" s="995">
        <v>975.0</v>
      </c>
      <c r="B973" s="988">
        <v>45355.0</v>
      </c>
      <c r="C973" s="989" t="s">
        <v>2821</v>
      </c>
      <c r="D973" s="434" t="s">
        <v>885</v>
      </c>
      <c r="E973" s="434" t="s">
        <v>49</v>
      </c>
      <c r="F973" s="990">
        <v>1512414.0</v>
      </c>
      <c r="G973" s="434" t="s">
        <v>32</v>
      </c>
      <c r="H973" s="989" t="s">
        <v>1487</v>
      </c>
      <c r="I973" s="989" t="s">
        <v>6251</v>
      </c>
      <c r="J973" s="987"/>
      <c r="K973" s="436" t="s">
        <v>1244</v>
      </c>
      <c r="L973" s="987"/>
      <c r="M973" s="987"/>
      <c r="N973" s="987"/>
      <c r="O973" s="436" t="s">
        <v>62</v>
      </c>
      <c r="P973" s="987"/>
      <c r="Q973" s="987"/>
      <c r="R973" s="987"/>
      <c r="S973" s="987"/>
      <c r="T973" s="987"/>
      <c r="U973" s="436" t="s">
        <v>62</v>
      </c>
      <c r="V973" s="995">
        <v>45378.0</v>
      </c>
      <c r="W973" s="987"/>
      <c r="X973" s="987"/>
      <c r="Y973" s="987"/>
      <c r="Z973" s="987"/>
      <c r="AA973" s="986"/>
    </row>
    <row r="974" hidden="1">
      <c r="A974" s="995">
        <v>976.0</v>
      </c>
      <c r="B974" s="988">
        <v>45355.0</v>
      </c>
      <c r="C974" s="989" t="s">
        <v>2821</v>
      </c>
      <c r="D974" s="434" t="s">
        <v>885</v>
      </c>
      <c r="E974" s="434" t="s">
        <v>49</v>
      </c>
      <c r="F974" s="990">
        <v>1.5781544E7</v>
      </c>
      <c r="G974" s="434" t="s">
        <v>32</v>
      </c>
      <c r="H974" s="989" t="s">
        <v>6252</v>
      </c>
      <c r="I974" s="989" t="s">
        <v>6244</v>
      </c>
      <c r="J974" s="987"/>
      <c r="K974" s="436" t="s">
        <v>1244</v>
      </c>
      <c r="L974" s="987"/>
      <c r="M974" s="987"/>
      <c r="N974" s="987"/>
      <c r="O974" s="436" t="s">
        <v>62</v>
      </c>
      <c r="P974" s="987"/>
      <c r="Q974" s="987"/>
      <c r="R974" s="987"/>
      <c r="S974" s="987"/>
      <c r="T974" s="987"/>
      <c r="U974" s="436" t="s">
        <v>62</v>
      </c>
      <c r="V974" s="995">
        <v>45377.0</v>
      </c>
      <c r="W974" s="987"/>
      <c r="X974" s="987"/>
      <c r="Y974" s="987"/>
      <c r="Z974" s="987"/>
      <c r="AA974" s="986"/>
    </row>
    <row r="975" hidden="1">
      <c r="A975" s="995">
        <v>977.0</v>
      </c>
      <c r="B975" s="988">
        <v>45355.0</v>
      </c>
      <c r="C975" s="989" t="s">
        <v>2821</v>
      </c>
      <c r="D975" s="434" t="s">
        <v>885</v>
      </c>
      <c r="E975" s="434" t="s">
        <v>49</v>
      </c>
      <c r="F975" s="990">
        <v>1.5122413E7</v>
      </c>
      <c r="G975" s="434" t="s">
        <v>32</v>
      </c>
      <c r="H975" s="989" t="s">
        <v>6253</v>
      </c>
      <c r="I975" s="989" t="s">
        <v>6251</v>
      </c>
      <c r="J975" s="987"/>
      <c r="K975" s="436" t="s">
        <v>1244</v>
      </c>
      <c r="L975" s="987"/>
      <c r="M975" s="987"/>
      <c r="N975" s="987"/>
      <c r="O975" s="436" t="s">
        <v>62</v>
      </c>
      <c r="P975" s="987"/>
      <c r="Q975" s="987"/>
      <c r="R975" s="987"/>
      <c r="S975" s="987"/>
      <c r="T975" s="987"/>
      <c r="U975" s="436" t="s">
        <v>62</v>
      </c>
      <c r="V975" s="995">
        <v>45378.0</v>
      </c>
      <c r="W975" s="987"/>
      <c r="X975" s="987"/>
      <c r="Y975" s="987"/>
      <c r="Z975" s="987"/>
      <c r="AA975" s="986"/>
    </row>
    <row r="976" hidden="1">
      <c r="A976" s="995">
        <v>978.0</v>
      </c>
      <c r="B976" s="988">
        <v>45355.0</v>
      </c>
      <c r="C976" s="989" t="s">
        <v>2821</v>
      </c>
      <c r="D976" s="434" t="s">
        <v>885</v>
      </c>
      <c r="E976" s="434" t="s">
        <v>49</v>
      </c>
      <c r="F976" s="990">
        <v>1.5781539E7</v>
      </c>
      <c r="G976" s="434" t="s">
        <v>32</v>
      </c>
      <c r="H976" s="989" t="s">
        <v>6254</v>
      </c>
      <c r="I976" s="989" t="s">
        <v>6244</v>
      </c>
      <c r="J976" s="987"/>
      <c r="K976" s="436" t="s">
        <v>1244</v>
      </c>
      <c r="L976" s="987"/>
      <c r="M976" s="987"/>
      <c r="N976" s="987"/>
      <c r="O976" s="436" t="s">
        <v>62</v>
      </c>
      <c r="P976" s="987"/>
      <c r="Q976" s="987"/>
      <c r="R976" s="987"/>
      <c r="S976" s="987"/>
      <c r="T976" s="987"/>
      <c r="U976" s="436" t="s">
        <v>62</v>
      </c>
      <c r="V976" s="995">
        <v>45370.0</v>
      </c>
      <c r="W976" s="987"/>
      <c r="X976" s="987"/>
      <c r="Y976" s="987"/>
      <c r="Z976" s="987"/>
      <c r="AA976" s="986"/>
    </row>
    <row r="977" hidden="1">
      <c r="A977" s="995">
        <v>979.0</v>
      </c>
      <c r="B977" s="988">
        <v>45355.0</v>
      </c>
      <c r="C977" s="989" t="s">
        <v>2821</v>
      </c>
      <c r="D977" s="434" t="s">
        <v>885</v>
      </c>
      <c r="E977" s="434" t="s">
        <v>49</v>
      </c>
      <c r="F977" s="990">
        <v>1.5781545E7</v>
      </c>
      <c r="G977" s="434" t="s">
        <v>32</v>
      </c>
      <c r="H977" s="989" t="s">
        <v>6255</v>
      </c>
      <c r="I977" s="989" t="s">
        <v>6256</v>
      </c>
      <c r="J977" s="987"/>
      <c r="K977" s="436" t="s">
        <v>1244</v>
      </c>
      <c r="L977" s="987"/>
      <c r="M977" s="987"/>
      <c r="N977" s="987"/>
      <c r="O977" s="436" t="s">
        <v>62</v>
      </c>
      <c r="P977" s="995">
        <v>45392.0</v>
      </c>
      <c r="Q977" s="987"/>
      <c r="R977" s="987"/>
      <c r="S977" s="987"/>
      <c r="T977" s="987"/>
      <c r="U977" s="987"/>
      <c r="V977" s="987"/>
      <c r="W977" s="987"/>
      <c r="X977" s="987"/>
      <c r="Y977" s="987"/>
      <c r="Z977" s="987"/>
      <c r="AA977" s="986"/>
    </row>
    <row r="978" hidden="1">
      <c r="A978" s="995">
        <v>980.0</v>
      </c>
      <c r="B978" s="988">
        <v>45355.0</v>
      </c>
      <c r="C978" s="989" t="s">
        <v>2821</v>
      </c>
      <c r="D978" s="434" t="s">
        <v>885</v>
      </c>
      <c r="E978" s="434" t="s">
        <v>49</v>
      </c>
      <c r="F978" s="990">
        <v>1.5781546E7</v>
      </c>
      <c r="G978" s="434" t="s">
        <v>32</v>
      </c>
      <c r="H978" s="989" t="s">
        <v>6257</v>
      </c>
      <c r="I978" s="989" t="s">
        <v>6258</v>
      </c>
      <c r="J978" s="987"/>
      <c r="K978" s="436" t="s">
        <v>1244</v>
      </c>
      <c r="L978" s="987"/>
      <c r="M978" s="987"/>
      <c r="N978" s="987"/>
      <c r="O978" s="987"/>
      <c r="P978" s="987"/>
      <c r="Q978" s="987"/>
      <c r="R978" s="987"/>
      <c r="S978" s="987"/>
      <c r="T978" s="987"/>
      <c r="U978" s="987"/>
      <c r="V978" s="987"/>
      <c r="W978" s="987"/>
      <c r="X978" s="987"/>
      <c r="Y978" s="987"/>
      <c r="Z978" s="987"/>
      <c r="AA978" s="986"/>
    </row>
    <row r="979" hidden="1">
      <c r="A979" s="995">
        <v>981.0</v>
      </c>
      <c r="B979" s="988">
        <v>45355.0</v>
      </c>
      <c r="C979" s="989" t="s">
        <v>2821</v>
      </c>
      <c r="D979" s="434" t="s">
        <v>885</v>
      </c>
      <c r="E979" s="434" t="s">
        <v>49</v>
      </c>
      <c r="F979" s="990">
        <v>1.5122411E7</v>
      </c>
      <c r="G979" s="434" t="s">
        <v>32</v>
      </c>
      <c r="H979" s="989" t="s">
        <v>6259</v>
      </c>
      <c r="I979" s="989" t="s">
        <v>6251</v>
      </c>
      <c r="J979" s="987"/>
      <c r="K979" s="436" t="s">
        <v>1244</v>
      </c>
      <c r="L979" s="987"/>
      <c r="M979" s="987"/>
      <c r="N979" s="987"/>
      <c r="O979" s="436" t="s">
        <v>62</v>
      </c>
      <c r="P979" s="987"/>
      <c r="Q979" s="987"/>
      <c r="R979" s="987"/>
      <c r="S979" s="987"/>
      <c r="T979" s="987"/>
      <c r="U979" s="436" t="s">
        <v>62</v>
      </c>
      <c r="V979" s="995">
        <v>45378.0</v>
      </c>
      <c r="W979" s="987"/>
      <c r="X979" s="987"/>
      <c r="Y979" s="987"/>
      <c r="Z979" s="987"/>
      <c r="AA979" s="986"/>
    </row>
    <row r="980" hidden="1">
      <c r="A980" s="995">
        <v>982.0</v>
      </c>
      <c r="B980" s="988">
        <v>45355.0</v>
      </c>
      <c r="C980" s="989" t="s">
        <v>2821</v>
      </c>
      <c r="D980" s="434" t="s">
        <v>885</v>
      </c>
      <c r="E980" s="434" t="s">
        <v>49</v>
      </c>
      <c r="F980" s="990">
        <v>1.5781547E7</v>
      </c>
      <c r="G980" s="434" t="s">
        <v>32</v>
      </c>
      <c r="H980" s="989" t="s">
        <v>6260</v>
      </c>
      <c r="I980" s="989" t="s">
        <v>6261</v>
      </c>
      <c r="J980" s="987"/>
      <c r="K980" s="436" t="s">
        <v>1244</v>
      </c>
      <c r="L980" s="987"/>
      <c r="M980" s="987"/>
      <c r="N980" s="987"/>
      <c r="O980" s="436" t="s">
        <v>62</v>
      </c>
      <c r="P980" s="995">
        <v>45392.0</v>
      </c>
      <c r="Q980" s="987"/>
      <c r="R980" s="987"/>
      <c r="S980" s="987"/>
      <c r="T980" s="987"/>
      <c r="U980" s="987"/>
      <c r="V980" s="987"/>
      <c r="W980" s="987"/>
      <c r="X980" s="987"/>
      <c r="Y980" s="987"/>
      <c r="Z980" s="987"/>
      <c r="AA980" s="986"/>
    </row>
    <row r="981" hidden="1">
      <c r="A981" s="995">
        <v>983.0</v>
      </c>
      <c r="B981" s="988">
        <v>45355.0</v>
      </c>
      <c r="C981" s="989" t="s">
        <v>2821</v>
      </c>
      <c r="D981" s="434" t="s">
        <v>885</v>
      </c>
      <c r="E981" s="434" t="s">
        <v>49</v>
      </c>
      <c r="F981" s="990">
        <v>1.5122416E7</v>
      </c>
      <c r="G981" s="434" t="s">
        <v>32</v>
      </c>
      <c r="H981" s="989" t="s">
        <v>6262</v>
      </c>
      <c r="I981" s="989" t="s">
        <v>6251</v>
      </c>
      <c r="J981" s="987"/>
      <c r="K981" s="436" t="s">
        <v>1244</v>
      </c>
      <c r="L981" s="987"/>
      <c r="M981" s="987"/>
      <c r="N981" s="987"/>
      <c r="O981" s="436" t="s">
        <v>62</v>
      </c>
      <c r="P981" s="987"/>
      <c r="Q981" s="987"/>
      <c r="R981" s="987"/>
      <c r="S981" s="987"/>
      <c r="T981" s="987"/>
      <c r="U981" s="436" t="s">
        <v>62</v>
      </c>
      <c r="V981" s="995">
        <v>45378.0</v>
      </c>
      <c r="W981" s="987"/>
      <c r="X981" s="987"/>
      <c r="Y981" s="987"/>
      <c r="Z981" s="987"/>
      <c r="AA981" s="986"/>
    </row>
    <row r="982" hidden="1">
      <c r="A982" s="995">
        <v>984.0</v>
      </c>
      <c r="B982" s="988">
        <v>45355.0</v>
      </c>
      <c r="C982" s="989" t="s">
        <v>2821</v>
      </c>
      <c r="D982" s="434" t="s">
        <v>885</v>
      </c>
      <c r="E982" s="434" t="s">
        <v>49</v>
      </c>
      <c r="F982" s="990">
        <v>1.512241E7</v>
      </c>
      <c r="G982" s="434" t="s">
        <v>32</v>
      </c>
      <c r="H982" s="989" t="s">
        <v>6263</v>
      </c>
      <c r="I982" s="989" t="s">
        <v>6251</v>
      </c>
      <c r="J982" s="987"/>
      <c r="K982" s="436" t="s">
        <v>1244</v>
      </c>
      <c r="L982" s="987"/>
      <c r="M982" s="987"/>
      <c r="N982" s="987"/>
      <c r="O982" s="436" t="s">
        <v>62</v>
      </c>
      <c r="P982" s="987"/>
      <c r="Q982" s="987"/>
      <c r="R982" s="987"/>
      <c r="S982" s="987"/>
      <c r="T982" s="987"/>
      <c r="U982" s="436" t="s">
        <v>62</v>
      </c>
      <c r="V982" s="995">
        <v>45378.0</v>
      </c>
      <c r="W982" s="987"/>
      <c r="X982" s="987"/>
      <c r="Y982" s="987"/>
      <c r="Z982" s="987"/>
      <c r="AA982" s="986"/>
    </row>
    <row r="983" hidden="1">
      <c r="A983" s="995">
        <v>985.0</v>
      </c>
      <c r="B983" s="988">
        <v>45355.0</v>
      </c>
      <c r="C983" s="989" t="s">
        <v>2821</v>
      </c>
      <c r="D983" s="434" t="s">
        <v>885</v>
      </c>
      <c r="E983" s="434" t="s">
        <v>49</v>
      </c>
      <c r="F983" s="990">
        <v>1.578155E7</v>
      </c>
      <c r="G983" s="434" t="s">
        <v>32</v>
      </c>
      <c r="H983" s="989" t="s">
        <v>6264</v>
      </c>
      <c r="I983" s="989" t="s">
        <v>6265</v>
      </c>
      <c r="J983" s="987"/>
      <c r="K983" s="436" t="s">
        <v>1244</v>
      </c>
      <c r="L983" s="987"/>
      <c r="M983" s="987"/>
      <c r="N983" s="987"/>
      <c r="O983" s="436" t="s">
        <v>62</v>
      </c>
      <c r="P983" s="995">
        <v>45378.0</v>
      </c>
      <c r="Q983" s="987"/>
      <c r="R983" s="987"/>
      <c r="S983" s="987"/>
      <c r="T983" s="987"/>
      <c r="U983" s="987"/>
      <c r="V983" s="987"/>
      <c r="W983" s="987"/>
      <c r="X983" s="987"/>
      <c r="Y983" s="987"/>
      <c r="Z983" s="987"/>
      <c r="AA983" s="986"/>
    </row>
    <row r="984" hidden="1">
      <c r="A984" s="995">
        <v>986.0</v>
      </c>
      <c r="B984" s="988">
        <v>45355.0</v>
      </c>
      <c r="C984" s="989" t="s">
        <v>2821</v>
      </c>
      <c r="D984" s="434" t="s">
        <v>885</v>
      </c>
      <c r="E984" s="434" t="s">
        <v>49</v>
      </c>
      <c r="F984" s="990">
        <v>1.5781548E7</v>
      </c>
      <c r="G984" s="434" t="s">
        <v>32</v>
      </c>
      <c r="H984" s="989" t="s">
        <v>6266</v>
      </c>
      <c r="I984" s="989" t="s">
        <v>6267</v>
      </c>
      <c r="J984" s="987"/>
      <c r="K984" s="436" t="s">
        <v>1244</v>
      </c>
      <c r="L984" s="987"/>
      <c r="M984" s="987"/>
      <c r="N984" s="987"/>
      <c r="O984" s="436" t="s">
        <v>62</v>
      </c>
      <c r="P984" s="995">
        <v>45392.0</v>
      </c>
      <c r="Q984" s="987"/>
      <c r="R984" s="987"/>
      <c r="S984" s="987"/>
      <c r="T984" s="987"/>
      <c r="U984" s="987"/>
      <c r="V984" s="987"/>
      <c r="W984" s="987"/>
      <c r="X984" s="987"/>
      <c r="Y984" s="987"/>
      <c r="Z984" s="987"/>
      <c r="AA984" s="986"/>
    </row>
    <row r="985" hidden="1">
      <c r="A985" s="995">
        <v>993.0</v>
      </c>
      <c r="B985" s="988">
        <v>45357.0</v>
      </c>
      <c r="C985" s="989" t="s">
        <v>3020</v>
      </c>
      <c r="D985" s="434" t="s">
        <v>3021</v>
      </c>
      <c r="E985" s="434" t="s">
        <v>3022</v>
      </c>
      <c r="F985" s="990">
        <v>1.5340368E7</v>
      </c>
      <c r="G985" s="434" t="s">
        <v>200</v>
      </c>
      <c r="H985" s="989" t="s">
        <v>6268</v>
      </c>
      <c r="I985" s="989" t="s">
        <v>6269</v>
      </c>
      <c r="J985" s="987"/>
      <c r="K985" s="436" t="s">
        <v>2340</v>
      </c>
      <c r="L985" s="987"/>
      <c r="M985" s="987"/>
      <c r="N985" s="987"/>
      <c r="O985" s="436" t="s">
        <v>62</v>
      </c>
      <c r="P985" s="987"/>
      <c r="Q985" s="987"/>
      <c r="R985" s="987"/>
      <c r="S985" s="987"/>
      <c r="T985" s="987"/>
      <c r="U985" s="987"/>
      <c r="V985" s="987"/>
      <c r="W985" s="987"/>
      <c r="X985" s="987"/>
      <c r="Y985" s="987"/>
      <c r="Z985" s="987"/>
      <c r="AA985" s="986"/>
    </row>
    <row r="986" hidden="1">
      <c r="A986" s="995">
        <v>994.0</v>
      </c>
      <c r="B986" s="988">
        <v>45357.0</v>
      </c>
      <c r="C986" s="989" t="s">
        <v>3020</v>
      </c>
      <c r="D986" s="434" t="s">
        <v>3021</v>
      </c>
      <c r="E986" s="434" t="s">
        <v>3022</v>
      </c>
      <c r="F986" s="990">
        <v>1.5340367E7</v>
      </c>
      <c r="G986" s="434" t="s">
        <v>200</v>
      </c>
      <c r="H986" s="989" t="s">
        <v>6270</v>
      </c>
      <c r="I986" s="989" t="s">
        <v>6271</v>
      </c>
      <c r="J986" s="987"/>
      <c r="K986" s="436" t="s">
        <v>2340</v>
      </c>
      <c r="L986" s="987"/>
      <c r="M986" s="987"/>
      <c r="N986" s="987"/>
      <c r="O986" s="987"/>
      <c r="P986" s="987"/>
      <c r="Q986" s="987"/>
      <c r="R986" s="987"/>
      <c r="S986" s="987"/>
      <c r="T986" s="987"/>
      <c r="U986" s="987"/>
      <c r="V986" s="987"/>
      <c r="W986" s="987"/>
      <c r="X986" s="987"/>
      <c r="Y986" s="987"/>
      <c r="Z986" s="987"/>
      <c r="AA986" s="986"/>
    </row>
    <row r="987" hidden="1">
      <c r="A987" s="995">
        <v>995.0</v>
      </c>
      <c r="B987" s="988">
        <v>45357.0</v>
      </c>
      <c r="C987" s="989" t="s">
        <v>3020</v>
      </c>
      <c r="D987" s="434" t="s">
        <v>3021</v>
      </c>
      <c r="E987" s="434" t="s">
        <v>3022</v>
      </c>
      <c r="F987" s="990">
        <v>1.5340369E7</v>
      </c>
      <c r="G987" s="434" t="s">
        <v>200</v>
      </c>
      <c r="H987" s="989" t="s">
        <v>6268</v>
      </c>
      <c r="I987" s="989" t="s">
        <v>6269</v>
      </c>
      <c r="J987" s="987"/>
      <c r="K987" s="436" t="s">
        <v>2340</v>
      </c>
      <c r="L987" s="987"/>
      <c r="M987" s="987"/>
      <c r="N987" s="987"/>
      <c r="O987" s="987"/>
      <c r="P987" s="987"/>
      <c r="Q987" s="987"/>
      <c r="R987" s="987"/>
      <c r="S987" s="987"/>
      <c r="T987" s="987"/>
      <c r="U987" s="987"/>
      <c r="V987" s="987"/>
      <c r="W987" s="987"/>
      <c r="X987" s="987"/>
      <c r="Y987" s="987"/>
      <c r="Z987" s="987"/>
      <c r="AA987" s="986"/>
    </row>
    <row r="988" hidden="1">
      <c r="A988" s="995">
        <v>996.0</v>
      </c>
      <c r="B988" s="988">
        <v>45357.0</v>
      </c>
      <c r="C988" s="989" t="s">
        <v>3020</v>
      </c>
      <c r="D988" s="434" t="s">
        <v>3021</v>
      </c>
      <c r="E988" s="434" t="s">
        <v>3022</v>
      </c>
      <c r="F988" s="990">
        <v>1.534037E7</v>
      </c>
      <c r="G988" s="434" t="s">
        <v>200</v>
      </c>
      <c r="H988" s="989" t="s">
        <v>6272</v>
      </c>
      <c r="I988" s="989" t="s">
        <v>6273</v>
      </c>
      <c r="J988" s="987"/>
      <c r="K988" s="436" t="s">
        <v>2340</v>
      </c>
      <c r="L988" s="987"/>
      <c r="M988" s="987"/>
      <c r="N988" s="987"/>
      <c r="O988" s="987"/>
      <c r="P988" s="987"/>
      <c r="Q988" s="987"/>
      <c r="R988" s="987"/>
      <c r="S988" s="987"/>
      <c r="T988" s="987"/>
      <c r="U988" s="987"/>
      <c r="V988" s="987"/>
      <c r="W988" s="987"/>
      <c r="X988" s="987"/>
      <c r="Y988" s="987"/>
      <c r="Z988" s="987"/>
      <c r="AA988" s="986"/>
    </row>
    <row r="989" hidden="1">
      <c r="A989" s="995">
        <v>1001.0</v>
      </c>
      <c r="B989" s="988">
        <v>45359.0</v>
      </c>
      <c r="C989" s="989" t="s">
        <v>2541</v>
      </c>
      <c r="D989" s="434" t="s">
        <v>48</v>
      </c>
      <c r="E989" s="434" t="s">
        <v>49</v>
      </c>
      <c r="F989" s="434" t="s">
        <v>50</v>
      </c>
      <c r="G989" s="434" t="s">
        <v>51</v>
      </c>
      <c r="H989" s="989" t="s">
        <v>6274</v>
      </c>
      <c r="I989" s="989" t="s">
        <v>6275</v>
      </c>
      <c r="J989" s="987"/>
      <c r="K989" s="436" t="s">
        <v>54</v>
      </c>
      <c r="L989" s="987"/>
      <c r="M989" s="987"/>
      <c r="N989" s="987"/>
      <c r="O989" s="436" t="s">
        <v>62</v>
      </c>
      <c r="P989" s="995">
        <v>45371.0</v>
      </c>
      <c r="Q989" s="987"/>
      <c r="R989" s="987"/>
      <c r="S989" s="987"/>
      <c r="T989" s="987"/>
      <c r="U989" s="987"/>
      <c r="V989" s="987"/>
      <c r="W989" s="987"/>
      <c r="X989" s="987"/>
      <c r="Y989" s="987"/>
      <c r="Z989" s="987"/>
      <c r="AA989" s="986"/>
    </row>
    <row r="990" hidden="1">
      <c r="A990" s="995">
        <v>1010.0</v>
      </c>
      <c r="B990" s="988">
        <v>45364.0</v>
      </c>
      <c r="C990" s="989" t="s">
        <v>825</v>
      </c>
      <c r="D990" s="434" t="s">
        <v>239</v>
      </c>
      <c r="E990" s="434" t="s">
        <v>240</v>
      </c>
      <c r="F990" s="990">
        <v>1.7190849E7</v>
      </c>
      <c r="G990" s="434" t="s">
        <v>103</v>
      </c>
      <c r="H990" s="989" t="s">
        <v>6276</v>
      </c>
      <c r="I990" s="989" t="s">
        <v>6277</v>
      </c>
      <c r="J990" s="987"/>
      <c r="K990" s="436" t="s">
        <v>608</v>
      </c>
      <c r="L990" s="436" t="s">
        <v>343</v>
      </c>
      <c r="M990" s="436" t="s">
        <v>6278</v>
      </c>
      <c r="N990" s="987"/>
      <c r="O990" s="436" t="s">
        <v>62</v>
      </c>
      <c r="P990" s="987"/>
      <c r="Q990" s="987"/>
      <c r="R990" s="987"/>
      <c r="S990" s="987"/>
      <c r="T990" s="987"/>
      <c r="U990" s="436" t="s">
        <v>62</v>
      </c>
      <c r="V990" s="995">
        <v>45397.0</v>
      </c>
      <c r="W990" s="987"/>
      <c r="X990" s="987"/>
      <c r="Y990" s="987"/>
      <c r="Z990" s="987"/>
      <c r="AA990" s="986"/>
    </row>
    <row r="991" hidden="1">
      <c r="A991" s="995">
        <v>1011.0</v>
      </c>
      <c r="B991" s="988">
        <v>45364.0</v>
      </c>
      <c r="C991" s="989" t="s">
        <v>1450</v>
      </c>
      <c r="D991" s="434" t="s">
        <v>89</v>
      </c>
      <c r="E991" s="434" t="s">
        <v>2536</v>
      </c>
      <c r="F991" s="990">
        <v>1.5831162E7</v>
      </c>
      <c r="G991" s="434" t="s">
        <v>51</v>
      </c>
      <c r="H991" s="989" t="s">
        <v>6279</v>
      </c>
      <c r="I991" s="989" t="s">
        <v>6280</v>
      </c>
      <c r="J991" s="987"/>
      <c r="K991" s="436" t="s">
        <v>608</v>
      </c>
      <c r="L991" s="436" t="s">
        <v>1557</v>
      </c>
      <c r="M991" s="436" t="s">
        <v>610</v>
      </c>
      <c r="N991" s="987"/>
      <c r="O991" s="436" t="s">
        <v>62</v>
      </c>
      <c r="P991" s="995">
        <v>45366.0</v>
      </c>
      <c r="Q991" s="987"/>
      <c r="R991" s="987"/>
      <c r="S991" s="987"/>
      <c r="T991" s="987"/>
      <c r="U991" s="436" t="s">
        <v>62</v>
      </c>
      <c r="V991" s="995">
        <v>45377.0</v>
      </c>
      <c r="W991" s="987"/>
      <c r="X991" s="987"/>
      <c r="Y991" s="987"/>
      <c r="Z991" s="987"/>
      <c r="AA991" s="986"/>
    </row>
    <row r="992" hidden="1">
      <c r="A992" s="995">
        <v>1012.0</v>
      </c>
      <c r="B992" s="988">
        <v>45364.0</v>
      </c>
      <c r="C992" s="989" t="s">
        <v>1450</v>
      </c>
      <c r="D992" s="434" t="s">
        <v>89</v>
      </c>
      <c r="E992" s="434" t="s">
        <v>2536</v>
      </c>
      <c r="F992" s="990">
        <v>1.5831164E7</v>
      </c>
      <c r="G992" s="434" t="s">
        <v>51</v>
      </c>
      <c r="H992" s="989" t="s">
        <v>6281</v>
      </c>
      <c r="I992" s="989" t="s">
        <v>6282</v>
      </c>
      <c r="J992" s="987"/>
      <c r="K992" s="436" t="s">
        <v>608</v>
      </c>
      <c r="L992" s="436" t="s">
        <v>1356</v>
      </c>
      <c r="M992" s="436" t="s">
        <v>610</v>
      </c>
      <c r="N992" s="987"/>
      <c r="O992" s="436" t="s">
        <v>62</v>
      </c>
      <c r="P992" s="995">
        <v>45366.0</v>
      </c>
      <c r="Q992" s="987"/>
      <c r="R992" s="987"/>
      <c r="S992" s="987"/>
      <c r="T992" s="987"/>
      <c r="U992" s="436" t="s">
        <v>62</v>
      </c>
      <c r="V992" s="995">
        <v>45377.0</v>
      </c>
      <c r="W992" s="987"/>
      <c r="X992" s="987"/>
      <c r="Y992" s="987"/>
      <c r="Z992" s="987"/>
      <c r="AA992" s="986"/>
    </row>
    <row r="993" hidden="1">
      <c r="A993" s="995">
        <v>1014.0</v>
      </c>
      <c r="B993" s="988">
        <v>45365.0</v>
      </c>
      <c r="C993" s="989" t="s">
        <v>1450</v>
      </c>
      <c r="D993" s="434" t="s">
        <v>89</v>
      </c>
      <c r="E993" s="434" t="s">
        <v>2536</v>
      </c>
      <c r="F993" s="990">
        <v>1.583117E7</v>
      </c>
      <c r="G993" s="434" t="s">
        <v>51</v>
      </c>
      <c r="H993" s="989" t="s">
        <v>6279</v>
      </c>
      <c r="I993" s="989" t="s">
        <v>6280</v>
      </c>
      <c r="J993" s="987"/>
      <c r="K993" s="436" t="s">
        <v>608</v>
      </c>
      <c r="L993" s="436" t="s">
        <v>1557</v>
      </c>
      <c r="M993" s="436" t="s">
        <v>610</v>
      </c>
      <c r="N993" s="987"/>
      <c r="O993" s="436" t="s">
        <v>62</v>
      </c>
      <c r="P993" s="995">
        <v>45366.0</v>
      </c>
      <c r="Q993" s="987"/>
      <c r="R993" s="987"/>
      <c r="S993" s="987"/>
      <c r="T993" s="987"/>
      <c r="U993" s="436" t="s">
        <v>62</v>
      </c>
      <c r="V993" s="995">
        <v>45377.0</v>
      </c>
      <c r="W993" s="987"/>
      <c r="X993" s="987"/>
      <c r="Y993" s="987"/>
      <c r="Z993" s="987"/>
      <c r="AA993" s="986"/>
    </row>
    <row r="994" hidden="1">
      <c r="A994" s="995">
        <v>1016.0</v>
      </c>
      <c r="B994" s="988">
        <v>45364.0</v>
      </c>
      <c r="C994" s="989" t="s">
        <v>2821</v>
      </c>
      <c r="D994" s="434" t="s">
        <v>885</v>
      </c>
      <c r="E994" s="434" t="s">
        <v>49</v>
      </c>
      <c r="F994" s="990">
        <v>1.5122429E7</v>
      </c>
      <c r="G994" s="434" t="s">
        <v>32</v>
      </c>
      <c r="H994" s="989" t="s">
        <v>6283</v>
      </c>
      <c r="I994" s="989" t="s">
        <v>6284</v>
      </c>
      <c r="J994" s="987"/>
      <c r="K994" s="436" t="s">
        <v>1244</v>
      </c>
      <c r="L994" s="987"/>
      <c r="M994" s="987"/>
      <c r="N994" s="987"/>
      <c r="O994" s="436" t="s">
        <v>62</v>
      </c>
      <c r="P994" s="995">
        <v>45383.0</v>
      </c>
      <c r="Q994" s="987"/>
      <c r="R994" s="987"/>
      <c r="S994" s="987"/>
      <c r="T994" s="987"/>
      <c r="U994" s="436" t="s">
        <v>62</v>
      </c>
      <c r="V994" s="995">
        <v>45384.0</v>
      </c>
      <c r="W994" s="987"/>
      <c r="X994" s="987"/>
      <c r="Y994" s="987"/>
      <c r="Z994" s="987"/>
      <c r="AA994" s="986"/>
    </row>
    <row r="995" hidden="1">
      <c r="A995" s="995">
        <v>1017.0</v>
      </c>
      <c r="B995" s="988">
        <v>45364.0</v>
      </c>
      <c r="C995" s="989" t="s">
        <v>2821</v>
      </c>
      <c r="D995" s="434" t="s">
        <v>885</v>
      </c>
      <c r="E995" s="434" t="s">
        <v>49</v>
      </c>
      <c r="F995" s="990">
        <v>1.5781551E7</v>
      </c>
      <c r="G995" s="434" t="s">
        <v>32</v>
      </c>
      <c r="H995" s="989" t="s">
        <v>1487</v>
      </c>
      <c r="I995" s="989" t="s">
        <v>6285</v>
      </c>
      <c r="J995" s="987"/>
      <c r="K995" s="436" t="s">
        <v>1244</v>
      </c>
      <c r="L995" s="987"/>
      <c r="M995" s="987"/>
      <c r="N995" s="987"/>
      <c r="O995" s="987"/>
      <c r="P995" s="987"/>
      <c r="Q995" s="987"/>
      <c r="R995" s="987"/>
      <c r="S995" s="987"/>
      <c r="T995" s="987"/>
      <c r="U995" s="987"/>
      <c r="V995" s="987"/>
      <c r="W995" s="987"/>
      <c r="X995" s="987"/>
      <c r="Y995" s="987"/>
      <c r="Z995" s="987"/>
      <c r="AA995" s="986"/>
    </row>
    <row r="996" hidden="1">
      <c r="A996" s="995">
        <v>1018.0</v>
      </c>
      <c r="B996" s="988">
        <v>45364.0</v>
      </c>
      <c r="C996" s="989" t="s">
        <v>2821</v>
      </c>
      <c r="D996" s="434" t="s">
        <v>885</v>
      </c>
      <c r="E996" s="434" t="s">
        <v>49</v>
      </c>
      <c r="F996" s="990">
        <v>1.5122428E7</v>
      </c>
      <c r="G996" s="434" t="s">
        <v>32</v>
      </c>
      <c r="H996" s="989" t="s">
        <v>6286</v>
      </c>
      <c r="I996" s="989" t="s">
        <v>6287</v>
      </c>
      <c r="J996" s="987"/>
      <c r="K996" s="436" t="s">
        <v>1244</v>
      </c>
      <c r="L996" s="987"/>
      <c r="M996" s="987"/>
      <c r="N996" s="987"/>
      <c r="O996" s="436" t="s">
        <v>62</v>
      </c>
      <c r="P996" s="995">
        <v>45383.0</v>
      </c>
      <c r="Q996" s="987"/>
      <c r="R996" s="987"/>
      <c r="S996" s="987"/>
      <c r="T996" s="987"/>
      <c r="U996" s="436" t="s">
        <v>62</v>
      </c>
      <c r="V996" s="995">
        <v>45384.0</v>
      </c>
      <c r="W996" s="987"/>
      <c r="X996" s="987"/>
      <c r="Y996" s="987"/>
      <c r="Z996" s="987"/>
      <c r="AA996" s="986"/>
    </row>
    <row r="997" hidden="1">
      <c r="A997" s="995">
        <v>1019.0</v>
      </c>
      <c r="B997" s="988">
        <v>45364.0</v>
      </c>
      <c r="C997" s="989" t="s">
        <v>2821</v>
      </c>
      <c r="D997" s="434" t="s">
        <v>885</v>
      </c>
      <c r="E997" s="434" t="s">
        <v>49</v>
      </c>
      <c r="F997" s="990">
        <v>1.5781554E7</v>
      </c>
      <c r="G997" s="434" t="s">
        <v>32</v>
      </c>
      <c r="H997" s="989" t="s">
        <v>6288</v>
      </c>
      <c r="I997" s="989" t="s">
        <v>6289</v>
      </c>
      <c r="J997" s="987"/>
      <c r="K997" s="436" t="s">
        <v>1244</v>
      </c>
      <c r="L997" s="987"/>
      <c r="M997" s="987"/>
      <c r="N997" s="987"/>
      <c r="O997" s="436" t="s">
        <v>62</v>
      </c>
      <c r="P997" s="995">
        <v>45392.0</v>
      </c>
      <c r="Q997" s="987"/>
      <c r="R997" s="987"/>
      <c r="S997" s="987"/>
      <c r="T997" s="987"/>
      <c r="U997" s="987"/>
      <c r="V997" s="987"/>
      <c r="W997" s="987"/>
      <c r="X997" s="987"/>
      <c r="Y997" s="987"/>
      <c r="Z997" s="987"/>
      <c r="AA997" s="986"/>
    </row>
    <row r="998" hidden="1">
      <c r="A998" s="995">
        <v>1020.0</v>
      </c>
      <c r="B998" s="988">
        <v>45364.0</v>
      </c>
      <c r="C998" s="989" t="s">
        <v>2821</v>
      </c>
      <c r="D998" s="434" t="s">
        <v>885</v>
      </c>
      <c r="E998" s="434" t="s">
        <v>49</v>
      </c>
      <c r="F998" s="992"/>
      <c r="G998" s="434" t="s">
        <v>32</v>
      </c>
      <c r="H998" s="989" t="s">
        <v>6290</v>
      </c>
      <c r="I998" s="989" t="s">
        <v>6291</v>
      </c>
      <c r="J998" s="987"/>
      <c r="K998" s="436" t="s">
        <v>1244</v>
      </c>
      <c r="L998" s="987"/>
      <c r="M998" s="987"/>
      <c r="N998" s="987"/>
      <c r="O998" s="436" t="s">
        <v>62</v>
      </c>
      <c r="P998" s="987"/>
      <c r="Q998" s="987"/>
      <c r="R998" s="987"/>
      <c r="S998" s="987"/>
      <c r="T998" s="987"/>
      <c r="U998" s="987"/>
      <c r="V998" s="987"/>
      <c r="W998" s="987"/>
      <c r="X998" s="987"/>
      <c r="Y998" s="987"/>
      <c r="Z998" s="987"/>
      <c r="AA998" s="986"/>
    </row>
    <row r="999" hidden="1">
      <c r="A999" s="995">
        <v>1021.0</v>
      </c>
      <c r="B999" s="988">
        <v>45364.0</v>
      </c>
      <c r="C999" s="989" t="s">
        <v>2821</v>
      </c>
      <c r="D999" s="434" t="s">
        <v>885</v>
      </c>
      <c r="E999" s="434" t="s">
        <v>49</v>
      </c>
      <c r="F999" s="990">
        <v>1.5122427E7</v>
      </c>
      <c r="G999" s="434" t="s">
        <v>32</v>
      </c>
      <c r="H999" s="989" t="s">
        <v>6292</v>
      </c>
      <c r="I999" s="989" t="s">
        <v>6293</v>
      </c>
      <c r="J999" s="987"/>
      <c r="K999" s="436" t="s">
        <v>1244</v>
      </c>
      <c r="L999" s="987"/>
      <c r="M999" s="987"/>
      <c r="N999" s="987"/>
      <c r="O999" s="436" t="s">
        <v>62</v>
      </c>
      <c r="P999" s="995">
        <v>45383.0</v>
      </c>
      <c r="Q999" s="987"/>
      <c r="R999" s="987"/>
      <c r="S999" s="987"/>
      <c r="T999" s="987"/>
      <c r="U999" s="436" t="s">
        <v>62</v>
      </c>
      <c r="V999" s="995">
        <v>45384.0</v>
      </c>
      <c r="W999" s="987"/>
      <c r="X999" s="987"/>
      <c r="Y999" s="987"/>
      <c r="Z999" s="987"/>
      <c r="AA999" s="986"/>
    </row>
    <row r="1000" hidden="1">
      <c r="A1000" s="995">
        <v>1022.0</v>
      </c>
      <c r="B1000" s="988">
        <v>45364.0</v>
      </c>
      <c r="C1000" s="989" t="s">
        <v>2821</v>
      </c>
      <c r="D1000" s="434" t="s">
        <v>885</v>
      </c>
      <c r="E1000" s="434" t="s">
        <v>49</v>
      </c>
      <c r="F1000" s="990">
        <v>1.5781552E7</v>
      </c>
      <c r="G1000" s="434" t="s">
        <v>32</v>
      </c>
      <c r="H1000" s="989" t="s">
        <v>6294</v>
      </c>
      <c r="I1000" s="989" t="s">
        <v>6295</v>
      </c>
      <c r="J1000" s="987"/>
      <c r="K1000" s="436" t="s">
        <v>1244</v>
      </c>
      <c r="L1000" s="987"/>
      <c r="M1000" s="987"/>
      <c r="N1000" s="987"/>
      <c r="O1000" s="436" t="s">
        <v>62</v>
      </c>
      <c r="P1000" s="995">
        <v>45387.0</v>
      </c>
      <c r="Q1000" s="987"/>
      <c r="R1000" s="987"/>
      <c r="S1000" s="987"/>
      <c r="T1000" s="987"/>
      <c r="U1000" s="987"/>
      <c r="V1000" s="987"/>
      <c r="W1000" s="987"/>
      <c r="X1000" s="987"/>
      <c r="Y1000" s="987"/>
      <c r="Z1000" s="987"/>
      <c r="AA1000" s="986"/>
    </row>
    <row r="1001" hidden="1">
      <c r="A1001" s="995">
        <v>1026.0</v>
      </c>
      <c r="B1001" s="988">
        <v>45366.0</v>
      </c>
      <c r="C1001" s="989" t="s">
        <v>6296</v>
      </c>
      <c r="D1001" s="434" t="s">
        <v>720</v>
      </c>
      <c r="E1001" s="434" t="s">
        <v>721</v>
      </c>
      <c r="F1001" s="990">
        <v>1.888016E7</v>
      </c>
      <c r="G1001" s="434" t="s">
        <v>32</v>
      </c>
      <c r="H1001" s="989" t="s">
        <v>6297</v>
      </c>
      <c r="I1001" s="989" t="s">
        <v>6298</v>
      </c>
      <c r="J1001" s="987"/>
      <c r="K1001" s="436" t="s">
        <v>724</v>
      </c>
      <c r="L1001" s="436" t="s">
        <v>3245</v>
      </c>
      <c r="M1001" s="436" t="s">
        <v>2535</v>
      </c>
      <c r="N1001" s="987"/>
      <c r="O1001" s="987"/>
      <c r="P1001" s="987"/>
      <c r="Q1001" s="987"/>
      <c r="R1001" s="987"/>
      <c r="S1001" s="436" t="s">
        <v>62</v>
      </c>
      <c r="T1001" s="995">
        <v>45404.0</v>
      </c>
      <c r="U1001" s="987"/>
      <c r="V1001" s="987"/>
      <c r="W1001" s="987"/>
      <c r="X1001" s="987"/>
      <c r="Y1001" s="987"/>
      <c r="Z1001" s="987"/>
      <c r="AA1001" s="986"/>
    </row>
    <row r="1002" hidden="1">
      <c r="A1002" s="995">
        <v>1027.0</v>
      </c>
      <c r="B1002" s="988">
        <v>45369.0</v>
      </c>
      <c r="C1002" s="989" t="s">
        <v>6296</v>
      </c>
      <c r="D1002" s="434" t="s">
        <v>720</v>
      </c>
      <c r="E1002" s="434" t="s">
        <v>721</v>
      </c>
      <c r="F1002" s="989" t="s">
        <v>6299</v>
      </c>
      <c r="G1002" s="434" t="s">
        <v>32</v>
      </c>
      <c r="H1002" s="989" t="s">
        <v>6300</v>
      </c>
      <c r="I1002" s="989" t="s">
        <v>6301</v>
      </c>
      <c r="J1002" s="987"/>
      <c r="K1002" s="436" t="s">
        <v>724</v>
      </c>
      <c r="L1002" s="436" t="s">
        <v>3731</v>
      </c>
      <c r="M1002" s="436" t="s">
        <v>2535</v>
      </c>
      <c r="N1002" s="987"/>
      <c r="O1002" s="987"/>
      <c r="P1002" s="987"/>
      <c r="Q1002" s="987"/>
      <c r="R1002" s="987"/>
      <c r="S1002" s="436" t="s">
        <v>62</v>
      </c>
      <c r="T1002" s="995">
        <v>45404.0</v>
      </c>
      <c r="U1002" s="987"/>
      <c r="V1002" s="987"/>
      <c r="W1002" s="987"/>
      <c r="X1002" s="987"/>
      <c r="Y1002" s="987"/>
      <c r="Z1002" s="987"/>
      <c r="AA1002" s="986"/>
    </row>
    <row r="1003" hidden="1">
      <c r="A1003" s="995">
        <v>1029.0</v>
      </c>
      <c r="B1003" s="988">
        <v>45370.0</v>
      </c>
      <c r="C1003" s="989" t="s">
        <v>1450</v>
      </c>
      <c r="D1003" s="434" t="s">
        <v>89</v>
      </c>
      <c r="E1003" s="434" t="s">
        <v>2536</v>
      </c>
      <c r="F1003" s="990">
        <v>1.5831188E7</v>
      </c>
      <c r="G1003" s="434" t="s">
        <v>51</v>
      </c>
      <c r="H1003" s="989" t="s">
        <v>6302</v>
      </c>
      <c r="I1003" s="994"/>
      <c r="J1003" s="987"/>
      <c r="K1003" s="436" t="s">
        <v>608</v>
      </c>
      <c r="L1003" s="436" t="s">
        <v>659</v>
      </c>
      <c r="M1003" s="436" t="s">
        <v>610</v>
      </c>
      <c r="N1003" s="987"/>
      <c r="O1003" s="436" t="s">
        <v>62</v>
      </c>
      <c r="P1003" s="995">
        <v>45366.0</v>
      </c>
      <c r="Q1003" s="987"/>
      <c r="R1003" s="987"/>
      <c r="S1003" s="987"/>
      <c r="T1003" s="987"/>
      <c r="U1003" s="436" t="s">
        <v>62</v>
      </c>
      <c r="V1003" s="995">
        <v>45377.0</v>
      </c>
      <c r="W1003" s="987"/>
      <c r="X1003" s="987"/>
      <c r="Y1003" s="987"/>
      <c r="Z1003" s="987"/>
      <c r="AA1003" s="986"/>
    </row>
    <row r="1004" hidden="1">
      <c r="A1004" s="995">
        <v>1035.0</v>
      </c>
      <c r="B1004" s="988">
        <v>45372.0</v>
      </c>
      <c r="C1004" s="989" t="s">
        <v>2541</v>
      </c>
      <c r="D1004" s="434" t="s">
        <v>48</v>
      </c>
      <c r="E1004" s="434" t="s">
        <v>160</v>
      </c>
      <c r="F1004" s="990">
        <v>1.4692103E7</v>
      </c>
      <c r="G1004" s="434" t="s">
        <v>51</v>
      </c>
      <c r="H1004" s="989" t="s">
        <v>6303</v>
      </c>
      <c r="I1004" s="989" t="s">
        <v>6304</v>
      </c>
      <c r="J1004" s="987"/>
      <c r="K1004" s="436" t="s">
        <v>6305</v>
      </c>
      <c r="L1004" s="987"/>
      <c r="M1004" s="987"/>
      <c r="N1004" s="987"/>
      <c r="O1004" s="436" t="s">
        <v>62</v>
      </c>
      <c r="P1004" s="995">
        <v>45372.0</v>
      </c>
      <c r="Q1004" s="987"/>
      <c r="R1004" s="987"/>
      <c r="S1004" s="987"/>
      <c r="T1004" s="987"/>
      <c r="U1004" s="436" t="s">
        <v>62</v>
      </c>
      <c r="V1004" s="995">
        <v>45383.0</v>
      </c>
      <c r="W1004" s="987"/>
      <c r="X1004" s="987"/>
      <c r="Y1004" s="987"/>
      <c r="Z1004" s="987"/>
      <c r="AA1004" s="986"/>
    </row>
    <row r="1005" hidden="1">
      <c r="A1005" s="995">
        <v>1036.0</v>
      </c>
      <c r="B1005" s="988">
        <v>45372.0</v>
      </c>
      <c r="C1005" s="989" t="s">
        <v>2541</v>
      </c>
      <c r="D1005" s="434" t="s">
        <v>48</v>
      </c>
      <c r="E1005" s="434" t="s">
        <v>49</v>
      </c>
      <c r="F1005" s="990">
        <v>1.4692092E7</v>
      </c>
      <c r="G1005" s="434" t="s">
        <v>51</v>
      </c>
      <c r="H1005" s="989" t="s">
        <v>6306</v>
      </c>
      <c r="I1005" s="989" t="s">
        <v>6307</v>
      </c>
      <c r="J1005" s="987"/>
      <c r="K1005" s="436" t="s">
        <v>143</v>
      </c>
      <c r="L1005" s="436" t="s">
        <v>1356</v>
      </c>
      <c r="M1005" s="436" t="s">
        <v>610</v>
      </c>
      <c r="N1005" s="987"/>
      <c r="O1005" s="436" t="s">
        <v>62</v>
      </c>
      <c r="P1005" s="995">
        <v>45373.0</v>
      </c>
      <c r="Q1005" s="987"/>
      <c r="R1005" s="987"/>
      <c r="S1005" s="987"/>
      <c r="T1005" s="987"/>
      <c r="U1005" s="987"/>
      <c r="V1005" s="987"/>
      <c r="W1005" s="987"/>
      <c r="X1005" s="987"/>
      <c r="Y1005" s="987"/>
      <c r="Z1005" s="987"/>
      <c r="AA1005" s="986"/>
    </row>
    <row r="1006" hidden="1">
      <c r="A1006" s="995">
        <v>1038.0</v>
      </c>
      <c r="B1006" s="988">
        <v>45372.0</v>
      </c>
      <c r="C1006" s="989" t="s">
        <v>80</v>
      </c>
      <c r="D1006" s="434" t="s">
        <v>73</v>
      </c>
      <c r="E1006" s="434" t="s">
        <v>49</v>
      </c>
      <c r="F1006" s="434" t="s">
        <v>50</v>
      </c>
      <c r="G1006" s="434" t="s">
        <v>51</v>
      </c>
      <c r="H1006" s="989" t="s">
        <v>6308</v>
      </c>
      <c r="I1006" s="989" t="s">
        <v>6309</v>
      </c>
      <c r="J1006" s="987"/>
      <c r="K1006" s="436" t="s">
        <v>76</v>
      </c>
      <c r="L1006" s="987"/>
      <c r="M1006" s="987"/>
      <c r="N1006" s="987"/>
      <c r="O1006" s="987"/>
      <c r="P1006" s="987"/>
      <c r="Q1006" s="987"/>
      <c r="R1006" s="987"/>
      <c r="S1006" s="987"/>
      <c r="T1006" s="987"/>
      <c r="U1006" s="987"/>
      <c r="V1006" s="987"/>
      <c r="W1006" s="987"/>
      <c r="X1006" s="987"/>
      <c r="Y1006" s="987"/>
      <c r="Z1006" s="987"/>
      <c r="AA1006" s="986"/>
    </row>
    <row r="1007" hidden="1">
      <c r="A1007" s="995">
        <v>1039.0</v>
      </c>
      <c r="B1007" s="988">
        <v>45372.0</v>
      </c>
      <c r="C1007" s="989" t="s">
        <v>80</v>
      </c>
      <c r="D1007" s="434" t="s">
        <v>73</v>
      </c>
      <c r="E1007" s="434" t="s">
        <v>49</v>
      </c>
      <c r="F1007" s="434" t="s">
        <v>50</v>
      </c>
      <c r="G1007" s="434" t="s">
        <v>51</v>
      </c>
      <c r="H1007" s="989" t="s">
        <v>6308</v>
      </c>
      <c r="I1007" s="989" t="s">
        <v>6310</v>
      </c>
      <c r="J1007" s="987"/>
      <c r="K1007" s="436" t="s">
        <v>76</v>
      </c>
      <c r="L1007" s="987"/>
      <c r="M1007" s="987"/>
      <c r="N1007" s="987"/>
      <c r="O1007" s="987"/>
      <c r="P1007" s="987"/>
      <c r="Q1007" s="987"/>
      <c r="R1007" s="987"/>
      <c r="S1007" s="987"/>
      <c r="T1007" s="987"/>
      <c r="U1007" s="987"/>
      <c r="V1007" s="987"/>
      <c r="W1007" s="987"/>
      <c r="X1007" s="987"/>
      <c r="Y1007" s="987"/>
      <c r="Z1007" s="987"/>
      <c r="AA1007" s="986"/>
    </row>
    <row r="1008" hidden="1">
      <c r="A1008" s="995">
        <v>1045.0</v>
      </c>
      <c r="B1008" s="988">
        <v>45378.0</v>
      </c>
      <c r="C1008" s="989" t="s">
        <v>2929</v>
      </c>
      <c r="D1008" s="434" t="s">
        <v>1312</v>
      </c>
      <c r="E1008" s="434" t="s">
        <v>1313</v>
      </c>
      <c r="F1008" s="990">
        <v>1.3780628E7</v>
      </c>
      <c r="G1008" s="434" t="s">
        <v>200</v>
      </c>
      <c r="H1008" s="989" t="s">
        <v>6311</v>
      </c>
      <c r="I1008" s="989" t="s">
        <v>6312</v>
      </c>
      <c r="J1008" s="987"/>
      <c r="K1008" s="436" t="s">
        <v>1316</v>
      </c>
      <c r="L1008" s="436" t="s">
        <v>6313</v>
      </c>
      <c r="M1008" s="436" t="s">
        <v>2019</v>
      </c>
      <c r="N1008" s="987"/>
      <c r="O1008" s="987"/>
      <c r="P1008" s="987"/>
      <c r="Q1008" s="987"/>
      <c r="R1008" s="987"/>
      <c r="S1008" s="987"/>
      <c r="T1008" s="987"/>
      <c r="U1008" s="987"/>
      <c r="V1008" s="987"/>
      <c r="W1008" s="987"/>
      <c r="X1008" s="987"/>
      <c r="Y1008" s="987"/>
      <c r="Z1008" s="987"/>
      <c r="AA1008" s="986"/>
    </row>
    <row r="1009" hidden="1">
      <c r="A1009" s="995">
        <v>1046.0</v>
      </c>
      <c r="B1009" s="988">
        <v>45378.0</v>
      </c>
      <c r="C1009" s="989" t="s">
        <v>2929</v>
      </c>
      <c r="D1009" s="434" t="s">
        <v>1312</v>
      </c>
      <c r="E1009" s="434" t="s">
        <v>1313</v>
      </c>
      <c r="F1009" s="990">
        <v>1.3780629E7</v>
      </c>
      <c r="G1009" s="434" t="s">
        <v>200</v>
      </c>
      <c r="H1009" s="989" t="s">
        <v>6311</v>
      </c>
      <c r="I1009" s="989" t="s">
        <v>6312</v>
      </c>
      <c r="J1009" s="987"/>
      <c r="K1009" s="436" t="s">
        <v>1316</v>
      </c>
      <c r="L1009" s="436" t="s">
        <v>6313</v>
      </c>
      <c r="M1009" s="436" t="s">
        <v>2019</v>
      </c>
      <c r="N1009" s="987"/>
      <c r="O1009" s="987"/>
      <c r="P1009" s="987"/>
      <c r="Q1009" s="987"/>
      <c r="R1009" s="987"/>
      <c r="S1009" s="987"/>
      <c r="T1009" s="987"/>
      <c r="U1009" s="987"/>
      <c r="V1009" s="987"/>
      <c r="W1009" s="987"/>
      <c r="X1009" s="987"/>
      <c r="Y1009" s="987"/>
      <c r="Z1009" s="987"/>
      <c r="AA1009" s="986"/>
    </row>
    <row r="1010" hidden="1">
      <c r="A1010" s="995">
        <v>1047.0</v>
      </c>
      <c r="B1010" s="988">
        <v>45379.0</v>
      </c>
      <c r="C1010" s="989" t="s">
        <v>6314</v>
      </c>
      <c r="D1010" s="434" t="s">
        <v>2705</v>
      </c>
      <c r="E1010" s="434" t="s">
        <v>1516</v>
      </c>
      <c r="F1010" s="990">
        <v>1.564033E7</v>
      </c>
      <c r="G1010" s="434" t="s">
        <v>348</v>
      </c>
      <c r="H1010" s="989" t="s">
        <v>6315</v>
      </c>
      <c r="I1010" s="989" t="s">
        <v>6316</v>
      </c>
      <c r="J1010" s="987"/>
      <c r="K1010" s="436" t="s">
        <v>2708</v>
      </c>
      <c r="L1010" s="436" t="s">
        <v>5113</v>
      </c>
      <c r="M1010" s="436" t="s">
        <v>463</v>
      </c>
      <c r="N1010" s="987"/>
      <c r="O1010" s="436" t="s">
        <v>62</v>
      </c>
      <c r="P1010" s="995">
        <v>45380.0</v>
      </c>
      <c r="Q1010" s="987"/>
      <c r="R1010" s="987"/>
      <c r="S1010" s="987"/>
      <c r="T1010" s="987"/>
      <c r="U1010" s="987"/>
      <c r="V1010" s="987"/>
      <c r="W1010" s="987"/>
      <c r="X1010" s="987"/>
      <c r="Y1010" s="987"/>
      <c r="Z1010" s="987"/>
      <c r="AA1010" s="986"/>
    </row>
    <row r="1011" hidden="1">
      <c r="A1011" s="995">
        <v>1049.0</v>
      </c>
      <c r="B1011" s="988">
        <v>45380.0</v>
      </c>
      <c r="C1011" s="989" t="s">
        <v>3625</v>
      </c>
      <c r="D1011" s="434" t="s">
        <v>5251</v>
      </c>
      <c r="E1011" s="434" t="s">
        <v>300</v>
      </c>
      <c r="F1011" s="990">
        <v>1.6210204E7</v>
      </c>
      <c r="G1011" s="434" t="s">
        <v>348</v>
      </c>
      <c r="H1011" s="989" t="s">
        <v>6317</v>
      </c>
      <c r="I1011" s="989" t="s">
        <v>6318</v>
      </c>
      <c r="J1011" s="987"/>
      <c r="K1011" s="987"/>
      <c r="L1011" s="987"/>
      <c r="M1011" s="987"/>
      <c r="N1011" s="987"/>
      <c r="O1011" s="436" t="s">
        <v>62</v>
      </c>
      <c r="P1011" s="987"/>
      <c r="Q1011" s="987"/>
      <c r="R1011" s="987"/>
      <c r="S1011" s="987"/>
      <c r="T1011" s="987"/>
      <c r="U1011" s="987"/>
      <c r="V1011" s="987"/>
      <c r="W1011" s="987"/>
      <c r="X1011" s="987"/>
      <c r="Y1011" s="987"/>
      <c r="Z1011" s="987"/>
      <c r="AA1011" s="986"/>
    </row>
    <row r="1012" hidden="1">
      <c r="A1012" s="995">
        <v>1050.0</v>
      </c>
      <c r="B1012" s="988">
        <v>45383.0</v>
      </c>
      <c r="C1012" s="989" t="s">
        <v>2284</v>
      </c>
      <c r="D1012" s="434" t="s">
        <v>227</v>
      </c>
      <c r="E1012" s="434" t="s">
        <v>228</v>
      </c>
      <c r="F1012" s="434" t="s">
        <v>50</v>
      </c>
      <c r="G1012" s="434" t="s">
        <v>135</v>
      </c>
      <c r="H1012" s="989" t="s">
        <v>1061</v>
      </c>
      <c r="I1012" s="989" t="s">
        <v>6319</v>
      </c>
      <c r="J1012" s="987"/>
      <c r="K1012" s="436" t="s">
        <v>231</v>
      </c>
      <c r="L1012" s="436" t="s">
        <v>2073</v>
      </c>
      <c r="M1012" s="436" t="s">
        <v>1065</v>
      </c>
      <c r="N1012" s="987"/>
      <c r="O1012" s="987"/>
      <c r="P1012" s="987"/>
      <c r="Q1012" s="987"/>
      <c r="R1012" s="987"/>
      <c r="S1012" s="987"/>
      <c r="T1012" s="987"/>
      <c r="U1012" s="987"/>
      <c r="V1012" s="987"/>
      <c r="W1012" s="987"/>
      <c r="X1012" s="987"/>
      <c r="Y1012" s="987"/>
      <c r="Z1012" s="987"/>
      <c r="AA1012" s="986"/>
    </row>
    <row r="1013" hidden="1">
      <c r="A1013" s="995">
        <v>1051.0</v>
      </c>
      <c r="B1013" s="988">
        <v>45383.0</v>
      </c>
      <c r="C1013" s="989" t="s">
        <v>6320</v>
      </c>
      <c r="D1013" s="434" t="s">
        <v>465</v>
      </c>
      <c r="E1013" s="434" t="s">
        <v>3821</v>
      </c>
      <c r="F1013" s="990">
        <v>1.5840506E7</v>
      </c>
      <c r="G1013" s="434" t="s">
        <v>51</v>
      </c>
      <c r="H1013" s="989" t="s">
        <v>6321</v>
      </c>
      <c r="I1013" s="989" t="s">
        <v>6322</v>
      </c>
      <c r="J1013" s="987"/>
      <c r="K1013" s="436" t="s">
        <v>469</v>
      </c>
      <c r="L1013" s="436" t="s">
        <v>6323</v>
      </c>
      <c r="M1013" s="987"/>
      <c r="N1013" s="987"/>
      <c r="O1013" s="436" t="s">
        <v>62</v>
      </c>
      <c r="P1013" s="995">
        <v>45383.0</v>
      </c>
      <c r="Q1013" s="987"/>
      <c r="R1013" s="987"/>
      <c r="S1013" s="987"/>
      <c r="T1013" s="987"/>
      <c r="U1013" s="987"/>
      <c r="V1013" s="987"/>
      <c r="W1013" s="987"/>
      <c r="X1013" s="987"/>
      <c r="Y1013" s="987"/>
      <c r="Z1013" s="987"/>
      <c r="AA1013" s="986"/>
    </row>
    <row r="1014" hidden="1">
      <c r="A1014" s="995">
        <v>1058.0</v>
      </c>
      <c r="B1014" s="988">
        <v>45384.0</v>
      </c>
      <c r="C1014" s="989" t="s">
        <v>6155</v>
      </c>
      <c r="D1014" s="434" t="s">
        <v>452</v>
      </c>
      <c r="E1014" s="434" t="s">
        <v>458</v>
      </c>
      <c r="F1014" s="990">
        <v>1.9250127E7</v>
      </c>
      <c r="G1014" s="434" t="s">
        <v>348</v>
      </c>
      <c r="H1014" s="989" t="s">
        <v>6324</v>
      </c>
      <c r="I1014" s="989" t="s">
        <v>6325</v>
      </c>
      <c r="J1014" s="987"/>
      <c r="K1014" s="436" t="s">
        <v>461</v>
      </c>
      <c r="L1014" s="436" t="s">
        <v>462</v>
      </c>
      <c r="M1014" s="436" t="s">
        <v>463</v>
      </c>
      <c r="N1014" s="987"/>
      <c r="O1014" s="436" t="s">
        <v>62</v>
      </c>
      <c r="P1014" s="995">
        <v>45391.0</v>
      </c>
      <c r="Q1014" s="987"/>
      <c r="R1014" s="987"/>
      <c r="S1014" s="987"/>
      <c r="T1014" s="987"/>
      <c r="U1014" s="987"/>
      <c r="V1014" s="987"/>
      <c r="W1014" s="987"/>
      <c r="X1014" s="987"/>
      <c r="Y1014" s="987"/>
      <c r="Z1014" s="987"/>
      <c r="AA1014" s="986"/>
    </row>
    <row r="1015" hidden="1">
      <c r="A1015" s="995">
        <v>1061.0</v>
      </c>
      <c r="B1015" s="988">
        <v>45386.0</v>
      </c>
      <c r="C1015" s="989" t="s">
        <v>3020</v>
      </c>
      <c r="D1015" s="434" t="s">
        <v>3021</v>
      </c>
      <c r="E1015" s="434" t="s">
        <v>6132</v>
      </c>
      <c r="F1015" s="990">
        <v>1.534045E7</v>
      </c>
      <c r="G1015" s="434" t="s">
        <v>200</v>
      </c>
      <c r="H1015" s="989" t="s">
        <v>6326</v>
      </c>
      <c r="I1015" s="989" t="s">
        <v>6327</v>
      </c>
      <c r="J1015" s="987"/>
      <c r="K1015" s="436" t="s">
        <v>6328</v>
      </c>
      <c r="L1015" s="436" t="s">
        <v>1576</v>
      </c>
      <c r="M1015" s="436" t="s">
        <v>6329</v>
      </c>
      <c r="N1015" s="987"/>
      <c r="O1015" s="436" t="s">
        <v>62</v>
      </c>
      <c r="P1015" s="995">
        <v>45399.0</v>
      </c>
      <c r="Q1015" s="987"/>
      <c r="R1015" s="987"/>
      <c r="S1015" s="987"/>
      <c r="T1015" s="987"/>
      <c r="U1015" s="987"/>
      <c r="V1015" s="987"/>
      <c r="W1015" s="987"/>
      <c r="X1015" s="987"/>
      <c r="Y1015" s="987"/>
      <c r="Z1015" s="987"/>
      <c r="AA1015" s="986"/>
    </row>
    <row r="1016" hidden="1">
      <c r="A1016" s="995">
        <v>1080.0</v>
      </c>
      <c r="B1016" s="988">
        <v>45387.0</v>
      </c>
      <c r="C1016" s="989" t="s">
        <v>6330</v>
      </c>
      <c r="D1016" s="434" t="s">
        <v>4337</v>
      </c>
      <c r="E1016" s="434" t="s">
        <v>49</v>
      </c>
      <c r="F1016" s="992"/>
      <c r="G1016" s="434" t="s">
        <v>32</v>
      </c>
      <c r="H1016" s="989" t="s">
        <v>6331</v>
      </c>
      <c r="I1016" s="989" t="s">
        <v>6332</v>
      </c>
      <c r="J1016" s="987"/>
      <c r="K1016" s="436" t="s">
        <v>6333</v>
      </c>
      <c r="L1016" s="436" t="s">
        <v>6334</v>
      </c>
      <c r="M1016" s="984" t="s">
        <v>6335</v>
      </c>
      <c r="N1016" s="987"/>
      <c r="O1016" s="436" t="s">
        <v>62</v>
      </c>
      <c r="P1016" s="995">
        <v>45387.0</v>
      </c>
      <c r="Q1016" s="987"/>
      <c r="R1016" s="987"/>
      <c r="S1016" s="987"/>
      <c r="T1016" s="987"/>
      <c r="U1016" s="436" t="s">
        <v>62</v>
      </c>
      <c r="V1016" s="1019">
        <v>45974.0</v>
      </c>
      <c r="W1016" s="987"/>
      <c r="X1016" s="987"/>
      <c r="Y1016" s="987"/>
      <c r="Z1016" s="987"/>
      <c r="AA1016" s="986"/>
    </row>
    <row r="1017" hidden="1">
      <c r="A1017" s="995">
        <v>1081.0</v>
      </c>
      <c r="B1017" s="988">
        <v>45386.0</v>
      </c>
      <c r="C1017" s="989" t="s">
        <v>3020</v>
      </c>
      <c r="D1017" s="434" t="s">
        <v>3021</v>
      </c>
      <c r="E1017" s="434" t="s">
        <v>2337</v>
      </c>
      <c r="F1017" s="990">
        <v>1.5340447E7</v>
      </c>
      <c r="G1017" s="434" t="s">
        <v>200</v>
      </c>
      <c r="H1017" s="989" t="s">
        <v>6336</v>
      </c>
      <c r="I1017" s="989" t="s">
        <v>6337</v>
      </c>
      <c r="J1017" s="987"/>
      <c r="K1017" s="436" t="s">
        <v>6328</v>
      </c>
      <c r="L1017" s="436" t="s">
        <v>6338</v>
      </c>
      <c r="M1017" s="436" t="s">
        <v>463</v>
      </c>
      <c r="N1017" s="987"/>
      <c r="O1017" s="987"/>
      <c r="P1017" s="987"/>
      <c r="Q1017" s="987"/>
      <c r="R1017" s="987"/>
      <c r="S1017" s="987"/>
      <c r="T1017" s="987"/>
      <c r="U1017" s="987"/>
      <c r="V1017" s="987"/>
      <c r="W1017" s="987"/>
      <c r="X1017" s="987"/>
      <c r="Y1017" s="987"/>
      <c r="Z1017" s="987"/>
      <c r="AA1017" s="986"/>
    </row>
    <row r="1018" hidden="1">
      <c r="A1018" s="995">
        <v>1082.0</v>
      </c>
      <c r="B1018" s="988">
        <v>45386.0</v>
      </c>
      <c r="C1018" s="989" t="s">
        <v>3020</v>
      </c>
      <c r="D1018" s="434" t="s">
        <v>3021</v>
      </c>
      <c r="E1018" s="434" t="s">
        <v>2337</v>
      </c>
      <c r="F1018" s="990">
        <v>1534449.0</v>
      </c>
      <c r="G1018" s="434" t="s">
        <v>200</v>
      </c>
      <c r="H1018" s="989" t="s">
        <v>6339</v>
      </c>
      <c r="I1018" s="989" t="s">
        <v>6340</v>
      </c>
      <c r="J1018" s="987"/>
      <c r="K1018" s="436" t="s">
        <v>6328</v>
      </c>
      <c r="L1018" s="436" t="s">
        <v>3580</v>
      </c>
      <c r="M1018" s="436" t="s">
        <v>6329</v>
      </c>
      <c r="N1018" s="987"/>
      <c r="O1018" s="987"/>
      <c r="P1018" s="987"/>
      <c r="Q1018" s="987"/>
      <c r="R1018" s="987"/>
      <c r="S1018" s="987"/>
      <c r="T1018" s="987"/>
      <c r="U1018" s="987"/>
      <c r="V1018" s="987"/>
      <c r="W1018" s="987"/>
      <c r="X1018" s="987"/>
      <c r="Y1018" s="987"/>
      <c r="Z1018" s="987"/>
      <c r="AA1018" s="986"/>
    </row>
    <row r="1019" hidden="1">
      <c r="A1019" s="995">
        <v>1087.0</v>
      </c>
      <c r="B1019" s="988">
        <v>45391.0</v>
      </c>
      <c r="C1019" s="989" t="s">
        <v>6341</v>
      </c>
      <c r="D1019" s="434" t="s">
        <v>1515</v>
      </c>
      <c r="E1019" s="434" t="s">
        <v>1516</v>
      </c>
      <c r="F1019" s="434" t="s">
        <v>50</v>
      </c>
      <c r="G1019" s="434" t="s">
        <v>200</v>
      </c>
      <c r="H1019" s="989" t="s">
        <v>6342</v>
      </c>
      <c r="I1019" s="989" t="s">
        <v>6343</v>
      </c>
      <c r="J1019" s="987"/>
      <c r="K1019" s="436" t="s">
        <v>1519</v>
      </c>
      <c r="L1019" s="436" t="s">
        <v>6344</v>
      </c>
      <c r="M1019" s="984" t="s">
        <v>6345</v>
      </c>
      <c r="N1019" s="987"/>
      <c r="O1019" s="987"/>
      <c r="P1019" s="987"/>
      <c r="Q1019" s="987"/>
      <c r="R1019" s="987"/>
      <c r="S1019" s="987"/>
      <c r="T1019" s="987"/>
      <c r="U1019" s="987"/>
      <c r="V1019" s="987"/>
      <c r="W1019" s="987"/>
      <c r="X1019" s="987"/>
      <c r="Y1019" s="987"/>
      <c r="Z1019" s="987"/>
      <c r="AA1019" s="986"/>
    </row>
    <row r="1020" hidden="1">
      <c r="A1020" s="995">
        <v>1089.0</v>
      </c>
      <c r="B1020" s="988">
        <v>45391.0</v>
      </c>
      <c r="C1020" s="989" t="s">
        <v>1450</v>
      </c>
      <c r="D1020" s="434" t="s">
        <v>89</v>
      </c>
      <c r="E1020" s="434" t="s">
        <v>41</v>
      </c>
      <c r="F1020" s="990">
        <v>1.5831198E7</v>
      </c>
      <c r="G1020" s="434" t="s">
        <v>51</v>
      </c>
      <c r="H1020" s="989" t="s">
        <v>6346</v>
      </c>
      <c r="I1020" s="989" t="s">
        <v>6347</v>
      </c>
      <c r="J1020" s="987"/>
      <c r="K1020" s="436" t="s">
        <v>92</v>
      </c>
      <c r="L1020" s="436" t="s">
        <v>646</v>
      </c>
      <c r="M1020" s="436" t="s">
        <v>610</v>
      </c>
      <c r="N1020" s="987"/>
      <c r="O1020" s="987"/>
      <c r="P1020" s="987"/>
      <c r="Q1020" s="987"/>
      <c r="R1020" s="987"/>
      <c r="S1020" s="987"/>
      <c r="T1020" s="987"/>
      <c r="U1020" s="987"/>
      <c r="V1020" s="987"/>
      <c r="W1020" s="987"/>
      <c r="X1020" s="987"/>
      <c r="Y1020" s="987"/>
      <c r="Z1020" s="987"/>
      <c r="AA1020" s="986"/>
    </row>
    <row r="1021" hidden="1">
      <c r="A1021" s="995">
        <v>1090.0</v>
      </c>
      <c r="B1021" s="988">
        <v>45342.0</v>
      </c>
      <c r="C1021" s="989" t="s">
        <v>2938</v>
      </c>
      <c r="D1021" s="434" t="s">
        <v>2939</v>
      </c>
      <c r="E1021" s="434" t="s">
        <v>3022</v>
      </c>
      <c r="F1021" s="434" t="s">
        <v>50</v>
      </c>
      <c r="G1021" s="434" t="s">
        <v>200</v>
      </c>
      <c r="H1021" s="989" t="s">
        <v>6348</v>
      </c>
      <c r="I1021" s="989" t="s">
        <v>6349</v>
      </c>
      <c r="J1021" s="987"/>
      <c r="K1021" s="436" t="s">
        <v>5381</v>
      </c>
      <c r="L1021" s="436" t="s">
        <v>6350</v>
      </c>
      <c r="M1021" s="436" t="s">
        <v>2852</v>
      </c>
      <c r="N1021" s="987"/>
      <c r="O1021" s="987"/>
      <c r="P1021" s="987"/>
      <c r="Q1021" s="987"/>
      <c r="R1021" s="987"/>
      <c r="S1021" s="987"/>
      <c r="T1021" s="987"/>
      <c r="U1021" s="987"/>
      <c r="V1021" s="987"/>
      <c r="W1021" s="987"/>
      <c r="X1021" s="987"/>
      <c r="Y1021" s="987"/>
      <c r="Z1021" s="987"/>
      <c r="AA1021" s="986"/>
    </row>
    <row r="1022" hidden="1">
      <c r="A1022" s="995">
        <v>1091.0</v>
      </c>
      <c r="B1022" s="988">
        <v>45315.0</v>
      </c>
      <c r="C1022" s="989" t="s">
        <v>2963</v>
      </c>
      <c r="D1022" s="434" t="s">
        <v>2964</v>
      </c>
      <c r="E1022" s="434" t="s">
        <v>300</v>
      </c>
      <c r="F1022" s="434" t="s">
        <v>50</v>
      </c>
      <c r="G1022" s="434" t="s">
        <v>200</v>
      </c>
      <c r="H1022" s="989" t="s">
        <v>6351</v>
      </c>
      <c r="I1022" s="989" t="s">
        <v>6349</v>
      </c>
      <c r="J1022" s="987"/>
      <c r="K1022" s="436" t="s">
        <v>5902</v>
      </c>
      <c r="L1022" s="436" t="s">
        <v>6352</v>
      </c>
      <c r="M1022" s="436" t="s">
        <v>2852</v>
      </c>
      <c r="N1022" s="987"/>
      <c r="O1022" s="987"/>
      <c r="P1022" s="987"/>
      <c r="Q1022" s="987"/>
      <c r="R1022" s="987"/>
      <c r="S1022" s="987"/>
      <c r="T1022" s="987"/>
      <c r="U1022" s="987"/>
      <c r="V1022" s="987"/>
      <c r="W1022" s="987"/>
      <c r="X1022" s="987"/>
      <c r="Y1022" s="987"/>
      <c r="Z1022" s="987"/>
      <c r="AA1022" s="986"/>
    </row>
    <row r="1023" hidden="1">
      <c r="A1023" s="995">
        <v>1092.0</v>
      </c>
      <c r="B1023" s="988">
        <v>45397.0</v>
      </c>
      <c r="C1023" s="989" t="s">
        <v>6353</v>
      </c>
      <c r="D1023" s="434" t="s">
        <v>2664</v>
      </c>
      <c r="E1023" s="434" t="s">
        <v>49</v>
      </c>
      <c r="F1023" s="990">
        <v>1.6590662E7</v>
      </c>
      <c r="G1023" s="434" t="s">
        <v>51</v>
      </c>
      <c r="H1023" s="989" t="s">
        <v>6354</v>
      </c>
      <c r="I1023" s="993" t="s">
        <v>6355</v>
      </c>
      <c r="J1023" s="987"/>
      <c r="K1023" s="436" t="s">
        <v>5241</v>
      </c>
      <c r="L1023" s="436" t="s">
        <v>1557</v>
      </c>
      <c r="M1023" s="436" t="s">
        <v>610</v>
      </c>
      <c r="N1023" s="987"/>
      <c r="O1023" s="436" t="s">
        <v>62</v>
      </c>
      <c r="P1023" s="995">
        <v>45397.0</v>
      </c>
      <c r="Q1023" s="987"/>
      <c r="R1023" s="987"/>
      <c r="S1023" s="987"/>
      <c r="T1023" s="987"/>
      <c r="U1023" s="436" t="s">
        <v>62</v>
      </c>
      <c r="V1023" s="995">
        <v>45405.0</v>
      </c>
      <c r="W1023" s="987"/>
      <c r="X1023" s="987"/>
      <c r="Y1023" s="987"/>
      <c r="Z1023" s="987"/>
      <c r="AA1023" s="986"/>
    </row>
    <row r="1024" hidden="1">
      <c r="A1024" s="995">
        <v>1093.0</v>
      </c>
      <c r="B1024" s="988">
        <v>45401.0</v>
      </c>
      <c r="C1024" s="989" t="s">
        <v>1629</v>
      </c>
      <c r="D1024" s="434" t="s">
        <v>67</v>
      </c>
      <c r="E1024" s="434" t="s">
        <v>49</v>
      </c>
      <c r="F1024" s="990">
        <v>1.9050228E7</v>
      </c>
      <c r="G1024" s="434" t="s">
        <v>42</v>
      </c>
      <c r="H1024" s="989" t="s">
        <v>6356</v>
      </c>
      <c r="I1024" s="989" t="s">
        <v>6357</v>
      </c>
      <c r="J1024" s="987"/>
      <c r="K1024" s="436" t="s">
        <v>248</v>
      </c>
      <c r="L1024" s="436" t="s">
        <v>585</v>
      </c>
      <c r="M1024" s="436" t="s">
        <v>586</v>
      </c>
      <c r="N1024" s="987"/>
      <c r="O1024" s="436" t="s">
        <v>62</v>
      </c>
      <c r="P1024" s="995">
        <v>45402.0</v>
      </c>
      <c r="Q1024" s="987"/>
      <c r="R1024" s="987"/>
      <c r="S1024" s="987"/>
      <c r="T1024" s="987"/>
      <c r="U1024" s="987"/>
      <c r="V1024" s="987"/>
      <c r="W1024" s="987"/>
      <c r="X1024" s="987"/>
      <c r="Y1024" s="987"/>
      <c r="Z1024" s="987"/>
      <c r="AA1024" s="986"/>
    </row>
    <row r="1025" hidden="1">
      <c r="A1025" s="995">
        <v>1094.0</v>
      </c>
      <c r="B1025" s="988">
        <v>45404.0</v>
      </c>
      <c r="C1025" s="989" t="s">
        <v>6358</v>
      </c>
      <c r="D1025" s="434" t="s">
        <v>382</v>
      </c>
      <c r="E1025" s="434" t="s">
        <v>2920</v>
      </c>
      <c r="F1025" s="434" t="s">
        <v>50</v>
      </c>
      <c r="G1025" s="434" t="s">
        <v>103</v>
      </c>
      <c r="H1025" s="989" t="s">
        <v>6359</v>
      </c>
      <c r="I1025" s="989" t="s">
        <v>6360</v>
      </c>
      <c r="J1025" s="987"/>
      <c r="K1025" s="436" t="s">
        <v>6361</v>
      </c>
      <c r="L1025" s="436" t="s">
        <v>6362</v>
      </c>
      <c r="M1025" s="436" t="s">
        <v>6363</v>
      </c>
      <c r="N1025" s="987"/>
      <c r="O1025" s="987"/>
      <c r="P1025" s="987"/>
      <c r="Q1025" s="987"/>
      <c r="R1025" s="987"/>
      <c r="S1025" s="987"/>
      <c r="T1025" s="987"/>
      <c r="U1025" s="987"/>
      <c r="V1025" s="987"/>
      <c r="W1025" s="987"/>
      <c r="X1025" s="987"/>
      <c r="Y1025" s="987"/>
      <c r="Z1025" s="987"/>
      <c r="AA1025" s="986"/>
    </row>
    <row r="1026" hidden="1">
      <c r="A1026" s="995">
        <v>1095.0</v>
      </c>
      <c r="B1026" s="988">
        <v>45414.0</v>
      </c>
      <c r="C1026" s="989" t="s">
        <v>1214</v>
      </c>
      <c r="D1026" s="434" t="s">
        <v>309</v>
      </c>
      <c r="E1026" s="434" t="s">
        <v>49</v>
      </c>
      <c r="F1026" s="990">
        <v>1.8030763E7</v>
      </c>
      <c r="G1026" s="434" t="s">
        <v>103</v>
      </c>
      <c r="H1026" s="989" t="s">
        <v>6364</v>
      </c>
      <c r="I1026" s="989" t="s">
        <v>6365</v>
      </c>
      <c r="J1026" s="987"/>
      <c r="K1026" s="987"/>
      <c r="L1026" s="987"/>
      <c r="M1026" s="987"/>
      <c r="N1026" s="987"/>
      <c r="O1026" s="987"/>
      <c r="P1026" s="987"/>
      <c r="Q1026" s="987"/>
      <c r="R1026" s="987"/>
      <c r="S1026" s="987"/>
      <c r="T1026" s="987"/>
      <c r="U1026" s="987"/>
      <c r="V1026" s="987"/>
      <c r="W1026" s="987"/>
      <c r="X1026" s="987"/>
      <c r="Y1026" s="987"/>
      <c r="Z1026" s="987"/>
      <c r="AA1026" s="986"/>
    </row>
    <row r="1027" hidden="1">
      <c r="A1027" s="995">
        <v>7.0</v>
      </c>
      <c r="B1027" s="996">
        <v>43308.0</v>
      </c>
      <c r="C1027" s="984" t="s">
        <v>6366</v>
      </c>
      <c r="D1027" s="436" t="s">
        <v>48</v>
      </c>
      <c r="E1027" s="436" t="s">
        <v>305</v>
      </c>
      <c r="F1027" s="995">
        <v>1.496149E7</v>
      </c>
      <c r="G1027" s="436" t="s">
        <v>32</v>
      </c>
      <c r="H1027" s="984" t="s">
        <v>6367</v>
      </c>
      <c r="I1027" s="989" t="s">
        <v>6368</v>
      </c>
      <c r="J1027" s="987"/>
      <c r="K1027" s="987"/>
      <c r="L1027" s="987"/>
      <c r="M1027" s="987"/>
      <c r="N1027" s="987"/>
      <c r="O1027" s="987"/>
      <c r="P1027" s="987"/>
      <c r="Q1027" s="987"/>
      <c r="R1027" s="987"/>
      <c r="S1027" s="987"/>
      <c r="T1027" s="987"/>
      <c r="U1027" s="987"/>
      <c r="V1027" s="987"/>
      <c r="W1027" s="987"/>
      <c r="X1027" s="987"/>
      <c r="Y1027" s="987"/>
      <c r="Z1027" s="987"/>
      <c r="AA1027" s="986"/>
    </row>
    <row r="1028" hidden="1">
      <c r="A1028" s="995">
        <v>24.0</v>
      </c>
      <c r="B1028" s="1002">
        <v>43595.0</v>
      </c>
      <c r="C1028" s="1003" t="s">
        <v>6369</v>
      </c>
      <c r="D1028" s="1004" t="s">
        <v>4639</v>
      </c>
      <c r="E1028" s="1004" t="s">
        <v>310</v>
      </c>
      <c r="F1028" s="1004" t="s">
        <v>50</v>
      </c>
      <c r="G1028" s="1023"/>
      <c r="H1028" s="1003" t="s">
        <v>3880</v>
      </c>
      <c r="I1028" s="1003" t="s">
        <v>6370</v>
      </c>
      <c r="J1028" s="987"/>
      <c r="K1028" s="987"/>
      <c r="L1028" s="436" t="s">
        <v>4642</v>
      </c>
      <c r="M1028" s="987"/>
      <c r="N1028" s="987"/>
      <c r="O1028" s="987"/>
      <c r="P1028" s="987"/>
      <c r="Q1028" s="987"/>
      <c r="R1028" s="987"/>
      <c r="S1028" s="987"/>
      <c r="T1028" s="987"/>
      <c r="U1028" s="987"/>
      <c r="V1028" s="987"/>
      <c r="W1028" s="987"/>
      <c r="X1028" s="987"/>
      <c r="Y1028" s="987"/>
      <c r="Z1028" s="987"/>
      <c r="AA1028" s="986"/>
    </row>
    <row r="1029" hidden="1">
      <c r="A1029" s="995">
        <v>54.0</v>
      </c>
      <c r="B1029" s="996">
        <v>44026.0</v>
      </c>
      <c r="C1029" s="997" t="s">
        <v>6371</v>
      </c>
      <c r="D1029" s="1011" t="s">
        <v>315</v>
      </c>
      <c r="E1029" s="1011" t="s">
        <v>6372</v>
      </c>
      <c r="F1029" s="1011" t="s">
        <v>3932</v>
      </c>
      <c r="G1029" s="1011" t="s">
        <v>103</v>
      </c>
      <c r="H1029" s="997" t="s">
        <v>379</v>
      </c>
      <c r="I1029" s="997" t="s">
        <v>6373</v>
      </c>
      <c r="J1029" s="436" t="s">
        <v>6374</v>
      </c>
      <c r="K1029" s="436" t="s">
        <v>2905</v>
      </c>
      <c r="L1029" s="436" t="s">
        <v>4581</v>
      </c>
      <c r="M1029" s="987"/>
      <c r="N1029" s="987"/>
      <c r="O1029" s="987"/>
      <c r="P1029" s="987"/>
      <c r="Q1029" s="987"/>
      <c r="R1029" s="987"/>
      <c r="S1029" s="987"/>
      <c r="T1029" s="436" t="s">
        <v>62</v>
      </c>
      <c r="U1029" s="984" t="s">
        <v>6375</v>
      </c>
      <c r="V1029" s="436" t="s">
        <v>150</v>
      </c>
      <c r="W1029" s="987"/>
      <c r="X1029" s="987"/>
      <c r="Y1029" s="987"/>
      <c r="Z1029" s="987"/>
      <c r="AA1029" s="986"/>
    </row>
    <row r="1030" hidden="1">
      <c r="A1030" s="995">
        <v>62.0</v>
      </c>
      <c r="B1030" s="996">
        <v>44068.0</v>
      </c>
      <c r="C1030" s="984" t="s">
        <v>6376</v>
      </c>
      <c r="D1030" s="436" t="s">
        <v>101</v>
      </c>
      <c r="E1030" s="436" t="s">
        <v>6372</v>
      </c>
      <c r="F1030" s="436" t="s">
        <v>50</v>
      </c>
      <c r="G1030" s="436" t="s">
        <v>103</v>
      </c>
      <c r="H1030" s="984" t="s">
        <v>6377</v>
      </c>
      <c r="I1030" s="989" t="s">
        <v>6378</v>
      </c>
      <c r="J1030" s="987"/>
      <c r="K1030" s="987"/>
      <c r="L1030" s="987"/>
      <c r="M1030" s="987"/>
      <c r="N1030" s="987"/>
      <c r="O1030" s="987"/>
      <c r="P1030" s="987"/>
      <c r="Q1030" s="987"/>
      <c r="R1030" s="987"/>
      <c r="S1030" s="987"/>
      <c r="T1030" s="987"/>
      <c r="U1030" s="987"/>
      <c r="V1030" s="436" t="s">
        <v>150</v>
      </c>
      <c r="W1030" s="987"/>
      <c r="X1030" s="987"/>
      <c r="Y1030" s="987"/>
      <c r="Z1030" s="987"/>
      <c r="AA1030" s="986"/>
    </row>
    <row r="1031" hidden="1">
      <c r="A1031" s="995">
        <v>64.0</v>
      </c>
      <c r="B1031" s="996">
        <v>44103.0</v>
      </c>
      <c r="C1031" s="984" t="s">
        <v>4027</v>
      </c>
      <c r="D1031" s="436" t="s">
        <v>4028</v>
      </c>
      <c r="E1031" s="436" t="s">
        <v>305</v>
      </c>
      <c r="F1031" s="436" t="s">
        <v>50</v>
      </c>
      <c r="G1031" s="436" t="s">
        <v>103</v>
      </c>
      <c r="H1031" s="984" t="s">
        <v>6379</v>
      </c>
      <c r="I1031" s="997" t="s">
        <v>6380</v>
      </c>
      <c r="J1031" s="436" t="s">
        <v>4856</v>
      </c>
      <c r="K1031" s="436" t="s">
        <v>736</v>
      </c>
      <c r="L1031" s="436" t="s">
        <v>6381</v>
      </c>
      <c r="M1031" s="987"/>
      <c r="N1031" s="987"/>
      <c r="O1031" s="987"/>
      <c r="P1031" s="987"/>
      <c r="Q1031" s="987"/>
      <c r="R1031" s="436" t="s">
        <v>174</v>
      </c>
      <c r="S1031" s="995">
        <v>44235.0</v>
      </c>
      <c r="T1031" s="987"/>
      <c r="U1031" s="987"/>
      <c r="V1031" s="436" t="s">
        <v>150</v>
      </c>
      <c r="W1031" s="987"/>
      <c r="X1031" s="987"/>
      <c r="Y1031" s="987"/>
      <c r="Z1031" s="987"/>
      <c r="AA1031" s="986"/>
    </row>
    <row r="1032" hidden="1">
      <c r="A1032" s="995">
        <v>72.0</v>
      </c>
      <c r="B1032" s="1006">
        <v>44159.0</v>
      </c>
      <c r="C1032" s="984" t="s">
        <v>4301</v>
      </c>
      <c r="D1032" s="436" t="s">
        <v>315</v>
      </c>
      <c r="E1032" s="436" t="s">
        <v>6372</v>
      </c>
      <c r="F1032" s="436" t="s">
        <v>50</v>
      </c>
      <c r="G1032" s="436" t="s">
        <v>103</v>
      </c>
      <c r="H1032" s="984" t="s">
        <v>6382</v>
      </c>
      <c r="I1032" s="989" t="s">
        <v>6383</v>
      </c>
      <c r="J1032" s="987"/>
      <c r="K1032" s="987"/>
      <c r="L1032" s="987"/>
      <c r="M1032" s="987"/>
      <c r="N1032" s="987"/>
      <c r="O1032" s="987"/>
      <c r="P1032" s="987"/>
      <c r="Q1032" s="987"/>
      <c r="R1032" s="987"/>
      <c r="S1032" s="987"/>
      <c r="T1032" s="987"/>
      <c r="U1032" s="987"/>
      <c r="V1032" s="436" t="s">
        <v>150</v>
      </c>
      <c r="W1032" s="987"/>
      <c r="X1032" s="987"/>
      <c r="Y1032" s="987"/>
      <c r="Z1032" s="987"/>
      <c r="AA1032" s="986"/>
    </row>
    <row r="1033" hidden="1">
      <c r="A1033" s="995">
        <v>79.0</v>
      </c>
      <c r="B1033" s="1006">
        <v>44189.0</v>
      </c>
      <c r="C1033" s="984" t="s">
        <v>3300</v>
      </c>
      <c r="D1033" s="436" t="s">
        <v>315</v>
      </c>
      <c r="E1033" s="436" t="s">
        <v>3802</v>
      </c>
      <c r="F1033" s="436" t="s">
        <v>4472</v>
      </c>
      <c r="G1033" s="436" t="s">
        <v>103</v>
      </c>
      <c r="H1033" s="984" t="s">
        <v>6384</v>
      </c>
      <c r="I1033" s="984" t="s">
        <v>6385</v>
      </c>
      <c r="J1033" s="987"/>
      <c r="K1033" s="987"/>
      <c r="L1033" s="987"/>
      <c r="M1033" s="987"/>
      <c r="N1033" s="987"/>
      <c r="O1033" s="987"/>
      <c r="P1033" s="987"/>
      <c r="Q1033" s="987"/>
      <c r="R1033" s="987"/>
      <c r="S1033" s="987"/>
      <c r="T1033" s="987"/>
      <c r="U1033" s="987"/>
      <c r="V1033" s="436" t="s">
        <v>150</v>
      </c>
      <c r="W1033" s="987"/>
      <c r="X1033" s="987"/>
      <c r="Y1033" s="987"/>
      <c r="Z1033" s="987"/>
      <c r="AA1033" s="986"/>
    </row>
    <row r="1034" hidden="1">
      <c r="A1034" s="995">
        <v>173.0</v>
      </c>
      <c r="B1034" s="996">
        <v>44470.0</v>
      </c>
      <c r="C1034" s="984" t="s">
        <v>6386</v>
      </c>
      <c r="D1034" s="436" t="s">
        <v>1101</v>
      </c>
      <c r="E1034" s="984" t="s">
        <v>6387</v>
      </c>
      <c r="F1034" s="436" t="s">
        <v>50</v>
      </c>
      <c r="G1034" s="436" t="s">
        <v>103</v>
      </c>
      <c r="H1034" s="984" t="s">
        <v>6388</v>
      </c>
      <c r="I1034" s="1001" t="s">
        <v>6389</v>
      </c>
      <c r="J1034" s="436" t="s">
        <v>2364</v>
      </c>
      <c r="K1034" s="436" t="s">
        <v>491</v>
      </c>
      <c r="L1034" s="436" t="s">
        <v>4929</v>
      </c>
      <c r="M1034" s="987"/>
      <c r="N1034" s="436" t="s">
        <v>150</v>
      </c>
      <c r="O1034" s="995">
        <v>44502.0</v>
      </c>
      <c r="P1034" s="987"/>
      <c r="Q1034" s="987"/>
      <c r="R1034" s="987"/>
      <c r="S1034" s="987"/>
      <c r="T1034" s="987"/>
      <c r="U1034" s="987"/>
      <c r="V1034" s="987"/>
      <c r="W1034" s="987"/>
      <c r="X1034" s="987"/>
      <c r="Y1034" s="987"/>
      <c r="Z1034" s="987"/>
      <c r="AA1034" s="986"/>
    </row>
    <row r="1035" hidden="1">
      <c r="A1035" s="995">
        <v>253.0</v>
      </c>
      <c r="B1035" s="1024">
        <v>44540.0</v>
      </c>
      <c r="C1035" s="997" t="s">
        <v>6390</v>
      </c>
      <c r="D1035" s="997" t="s">
        <v>6391</v>
      </c>
      <c r="E1035" s="997" t="s">
        <v>6392</v>
      </c>
      <c r="F1035" s="1012">
        <v>1.7150221E7</v>
      </c>
      <c r="G1035" s="1011" t="s">
        <v>103</v>
      </c>
      <c r="H1035" s="997" t="s">
        <v>6393</v>
      </c>
      <c r="I1035" s="1001" t="s">
        <v>6394</v>
      </c>
      <c r="J1035" s="987"/>
      <c r="K1035" s="987"/>
      <c r="L1035" s="987"/>
      <c r="M1035" s="987"/>
      <c r="N1035" s="987"/>
      <c r="O1035" s="987"/>
      <c r="P1035" s="987"/>
      <c r="Q1035" s="987"/>
      <c r="R1035" s="987"/>
      <c r="S1035" s="987"/>
      <c r="T1035" s="436" t="s">
        <v>62</v>
      </c>
      <c r="U1035" s="995">
        <v>44553.0</v>
      </c>
      <c r="V1035" s="987"/>
      <c r="W1035" s="987"/>
      <c r="X1035" s="987"/>
      <c r="Y1035" s="987"/>
      <c r="Z1035" s="987"/>
      <c r="AA1035" s="986"/>
    </row>
    <row r="1036" hidden="1">
      <c r="A1036" s="995">
        <v>256.0</v>
      </c>
      <c r="B1036" s="1024">
        <v>44546.0</v>
      </c>
      <c r="C1036" s="997" t="s">
        <v>6395</v>
      </c>
      <c r="D1036" s="997" t="s">
        <v>6396</v>
      </c>
      <c r="E1036" s="997" t="s">
        <v>6392</v>
      </c>
      <c r="F1036" s="1012">
        <v>1.7160182E7</v>
      </c>
      <c r="G1036" s="1011" t="s">
        <v>103</v>
      </c>
      <c r="H1036" s="997" t="s">
        <v>6397</v>
      </c>
      <c r="I1036" s="1001" t="s">
        <v>6398</v>
      </c>
      <c r="J1036" s="987"/>
      <c r="K1036" s="987"/>
      <c r="L1036" s="987"/>
      <c r="M1036" s="987"/>
      <c r="N1036" s="987"/>
      <c r="O1036" s="987"/>
      <c r="P1036" s="987"/>
      <c r="Q1036" s="987"/>
      <c r="R1036" s="987"/>
      <c r="S1036" s="987"/>
      <c r="T1036" s="436" t="s">
        <v>62</v>
      </c>
      <c r="U1036" s="995">
        <v>44698.0</v>
      </c>
      <c r="V1036" s="987"/>
      <c r="W1036" s="987"/>
      <c r="X1036" s="987"/>
      <c r="Y1036" s="987"/>
      <c r="Z1036" s="987"/>
      <c r="AA1036" s="986"/>
    </row>
    <row r="1037" hidden="1">
      <c r="A1037" s="995">
        <v>319.0</v>
      </c>
      <c r="B1037" s="996">
        <v>44677.0</v>
      </c>
      <c r="C1037" s="984" t="s">
        <v>4873</v>
      </c>
      <c r="D1037" s="436" t="s">
        <v>1027</v>
      </c>
      <c r="E1037" s="436" t="s">
        <v>1028</v>
      </c>
      <c r="F1037" s="995">
        <v>1.7890044E7</v>
      </c>
      <c r="G1037" s="436" t="s">
        <v>103</v>
      </c>
      <c r="H1037" s="997" t="s">
        <v>6399</v>
      </c>
      <c r="I1037" s="1022" t="s">
        <v>6400</v>
      </c>
      <c r="J1037" s="436" t="s">
        <v>6401</v>
      </c>
      <c r="K1037" s="436" t="s">
        <v>6402</v>
      </c>
      <c r="L1037" s="436" t="s">
        <v>737</v>
      </c>
      <c r="M1037" s="987"/>
      <c r="N1037" s="987"/>
      <c r="O1037" s="987"/>
      <c r="P1037" s="987"/>
      <c r="Q1037" s="987"/>
      <c r="R1037" s="987"/>
      <c r="S1037" s="987"/>
      <c r="T1037" s="987"/>
      <c r="U1037" s="987"/>
      <c r="V1037" s="987"/>
      <c r="W1037" s="987"/>
      <c r="X1037" s="987"/>
      <c r="Y1037" s="987"/>
      <c r="Z1037" s="987"/>
      <c r="AA1037" s="986"/>
    </row>
    <row r="1038" hidden="1">
      <c r="A1038" s="995">
        <v>368.0</v>
      </c>
      <c r="B1038" s="988">
        <v>44776.0</v>
      </c>
      <c r="C1038" s="989" t="s">
        <v>5338</v>
      </c>
      <c r="D1038" s="434" t="s">
        <v>239</v>
      </c>
      <c r="E1038" s="434" t="s">
        <v>559</v>
      </c>
      <c r="F1038" s="990">
        <v>1.7190574E7</v>
      </c>
      <c r="G1038" s="434" t="s">
        <v>103</v>
      </c>
      <c r="H1038" s="989" t="s">
        <v>5339</v>
      </c>
      <c r="I1038" s="1014" t="s">
        <v>6403</v>
      </c>
      <c r="J1038" s="436" t="s">
        <v>243</v>
      </c>
      <c r="K1038" s="436" t="s">
        <v>5341</v>
      </c>
      <c r="L1038" s="436" t="s">
        <v>5342</v>
      </c>
      <c r="M1038" s="987"/>
      <c r="N1038" s="987"/>
      <c r="O1038" s="987"/>
      <c r="P1038" s="987"/>
      <c r="Q1038" s="987"/>
      <c r="R1038" s="436" t="s">
        <v>62</v>
      </c>
      <c r="S1038" s="987"/>
      <c r="T1038" s="436" t="s">
        <v>62</v>
      </c>
      <c r="U1038" s="995">
        <v>45448.0</v>
      </c>
      <c r="V1038" s="987"/>
      <c r="W1038" s="987"/>
      <c r="X1038" s="987"/>
      <c r="Y1038" s="987"/>
      <c r="Z1038" s="987"/>
      <c r="AA1038" s="986"/>
    </row>
    <row r="1039" hidden="1">
      <c r="A1039" s="995">
        <v>370.0</v>
      </c>
      <c r="B1039" s="996">
        <v>44777.0</v>
      </c>
      <c r="C1039" s="984" t="s">
        <v>6404</v>
      </c>
      <c r="D1039" s="436" t="s">
        <v>411</v>
      </c>
      <c r="E1039" s="436" t="s">
        <v>702</v>
      </c>
      <c r="F1039" s="995">
        <v>1.7140459E7</v>
      </c>
      <c r="G1039" s="436" t="s">
        <v>103</v>
      </c>
      <c r="H1039" s="984" t="s">
        <v>6405</v>
      </c>
      <c r="I1039" s="1014" t="s">
        <v>6406</v>
      </c>
      <c r="J1039" s="436" t="s">
        <v>415</v>
      </c>
      <c r="K1039" s="987"/>
      <c r="L1039" s="987"/>
      <c r="M1039" s="987"/>
      <c r="N1039" s="987"/>
      <c r="O1039" s="987"/>
      <c r="P1039" s="987"/>
      <c r="Q1039" s="987"/>
      <c r="R1039" s="987"/>
      <c r="S1039" s="987"/>
      <c r="T1039" s="987"/>
      <c r="U1039" s="987"/>
      <c r="V1039" s="987"/>
      <c r="W1039" s="987"/>
      <c r="X1039" s="987"/>
      <c r="Y1039" s="987"/>
      <c r="Z1039" s="987"/>
      <c r="AA1039" s="986"/>
    </row>
    <row r="1040" hidden="1">
      <c r="A1040" s="995">
        <v>371.0</v>
      </c>
      <c r="B1040" s="988">
        <v>44777.0</v>
      </c>
      <c r="C1040" s="989" t="s">
        <v>5338</v>
      </c>
      <c r="D1040" s="434" t="s">
        <v>239</v>
      </c>
      <c r="E1040" s="434" t="s">
        <v>559</v>
      </c>
      <c r="F1040" s="990">
        <v>1.7190611E7</v>
      </c>
      <c r="G1040" s="434" t="s">
        <v>103</v>
      </c>
      <c r="H1040" s="989" t="s">
        <v>5339</v>
      </c>
      <c r="I1040" s="1014" t="s">
        <v>6403</v>
      </c>
      <c r="J1040" s="436" t="s">
        <v>243</v>
      </c>
      <c r="K1040" s="436" t="s">
        <v>5341</v>
      </c>
      <c r="L1040" s="436" t="s">
        <v>5342</v>
      </c>
      <c r="M1040" s="987"/>
      <c r="N1040" s="987"/>
      <c r="O1040" s="987"/>
      <c r="P1040" s="987"/>
      <c r="Q1040" s="987"/>
      <c r="R1040" s="436" t="s">
        <v>62</v>
      </c>
      <c r="S1040" s="987"/>
      <c r="T1040" s="436" t="s">
        <v>62</v>
      </c>
      <c r="U1040" s="995">
        <v>45448.0</v>
      </c>
      <c r="V1040" s="987"/>
      <c r="W1040" s="987"/>
      <c r="X1040" s="987"/>
      <c r="Y1040" s="987"/>
      <c r="Z1040" s="987"/>
      <c r="AA1040" s="986"/>
    </row>
    <row r="1041" hidden="1">
      <c r="A1041" s="995">
        <v>373.0</v>
      </c>
      <c r="B1041" s="996">
        <v>44778.0</v>
      </c>
      <c r="C1041" s="984" t="s">
        <v>6407</v>
      </c>
      <c r="D1041" s="436" t="s">
        <v>411</v>
      </c>
      <c r="E1041" s="436" t="s">
        <v>702</v>
      </c>
      <c r="F1041" s="436" t="s">
        <v>50</v>
      </c>
      <c r="G1041" s="436" t="s">
        <v>103</v>
      </c>
      <c r="H1041" s="984" t="s">
        <v>6405</v>
      </c>
      <c r="I1041" s="985" t="s">
        <v>6408</v>
      </c>
      <c r="J1041" s="436" t="s">
        <v>415</v>
      </c>
      <c r="K1041" s="987"/>
      <c r="L1041" s="987"/>
      <c r="M1041" s="987"/>
      <c r="N1041" s="987"/>
      <c r="O1041" s="987"/>
      <c r="P1041" s="987"/>
      <c r="Q1041" s="987"/>
      <c r="R1041" s="987"/>
      <c r="S1041" s="987"/>
      <c r="T1041" s="987"/>
      <c r="U1041" s="987"/>
      <c r="V1041" s="987"/>
      <c r="W1041" s="987"/>
      <c r="X1041" s="987"/>
      <c r="Y1041" s="987"/>
      <c r="Z1041" s="987"/>
      <c r="AA1041" s="986"/>
    </row>
    <row r="1042" hidden="1">
      <c r="A1042" s="995">
        <v>582.0</v>
      </c>
      <c r="B1042" s="996">
        <v>45062.0</v>
      </c>
      <c r="C1042" s="984" t="s">
        <v>6409</v>
      </c>
      <c r="D1042" s="436" t="s">
        <v>857</v>
      </c>
      <c r="E1042" s="436" t="s">
        <v>49</v>
      </c>
      <c r="F1042" s="995">
        <v>1.6230278E7</v>
      </c>
      <c r="G1042" s="436" t="s">
        <v>103</v>
      </c>
      <c r="H1042" s="984" t="s">
        <v>6410</v>
      </c>
      <c r="I1042" s="984" t="s">
        <v>6411</v>
      </c>
      <c r="J1042" s="436" t="s">
        <v>4856</v>
      </c>
      <c r="K1042" s="436" t="s">
        <v>3121</v>
      </c>
      <c r="L1042" s="436" t="s">
        <v>4806</v>
      </c>
      <c r="M1042" s="987"/>
      <c r="N1042" s="987"/>
      <c r="O1042" s="987"/>
      <c r="P1042" s="987"/>
      <c r="Q1042" s="987"/>
      <c r="R1042" s="987"/>
      <c r="S1042" s="987"/>
      <c r="T1042" s="987"/>
      <c r="U1042" s="987"/>
      <c r="V1042" s="987"/>
      <c r="W1042" s="987"/>
      <c r="X1042" s="987"/>
      <c r="Y1042" s="987"/>
      <c r="Z1042" s="987"/>
      <c r="AA1042" s="986"/>
    </row>
    <row r="1043" hidden="1">
      <c r="A1043" s="995">
        <v>600.0</v>
      </c>
      <c r="B1043" s="988">
        <v>45090.0</v>
      </c>
      <c r="C1043" s="989" t="s">
        <v>6412</v>
      </c>
      <c r="D1043" s="434" t="s">
        <v>540</v>
      </c>
      <c r="E1043" s="434" t="s">
        <v>3810</v>
      </c>
      <c r="F1043" s="990">
        <v>1.527088E7</v>
      </c>
      <c r="G1043" s="434" t="s">
        <v>103</v>
      </c>
      <c r="H1043" s="989" t="s">
        <v>5745</v>
      </c>
      <c r="I1043" s="993" t="s">
        <v>6413</v>
      </c>
      <c r="J1043" s="436" t="s">
        <v>544</v>
      </c>
      <c r="K1043" s="436" t="s">
        <v>5748</v>
      </c>
      <c r="L1043" s="436" t="s">
        <v>6414</v>
      </c>
      <c r="M1043" s="987"/>
      <c r="N1043" s="436" t="s">
        <v>62</v>
      </c>
      <c r="O1043" s="1020">
        <v>45832.0</v>
      </c>
      <c r="P1043" s="987"/>
      <c r="Q1043" s="987"/>
      <c r="R1043" s="436" t="s">
        <v>62</v>
      </c>
      <c r="S1043" s="987"/>
      <c r="T1043" s="987"/>
      <c r="U1043" s="987"/>
      <c r="V1043" s="987"/>
      <c r="W1043" s="987"/>
      <c r="X1043" s="987"/>
      <c r="Y1043" s="987"/>
      <c r="Z1043" s="987"/>
      <c r="AA1043" s="986"/>
    </row>
    <row r="1044" hidden="1">
      <c r="A1044" s="990">
        <v>621.0</v>
      </c>
      <c r="B1044" s="988">
        <v>45110.0</v>
      </c>
      <c r="C1044" s="989" t="s">
        <v>6415</v>
      </c>
      <c r="D1044" s="434" t="s">
        <v>374</v>
      </c>
      <c r="E1044" s="992"/>
      <c r="F1044" s="990">
        <v>1.9240007E7</v>
      </c>
      <c r="G1044" s="434" t="s">
        <v>103</v>
      </c>
      <c r="H1044" s="989" t="s">
        <v>6416</v>
      </c>
      <c r="I1044" s="989" t="s">
        <v>6417</v>
      </c>
      <c r="J1044" s="987"/>
      <c r="K1044" s="987"/>
      <c r="L1044" s="987"/>
      <c r="M1044" s="987"/>
      <c r="N1044" s="987"/>
      <c r="O1044" s="987"/>
      <c r="P1044" s="987"/>
      <c r="Q1044" s="987"/>
      <c r="R1044" s="987"/>
      <c r="S1044" s="987"/>
      <c r="T1044" s="987"/>
      <c r="U1044" s="987"/>
      <c r="V1044" s="987"/>
      <c r="W1044" s="987"/>
      <c r="X1044" s="987"/>
      <c r="Y1044" s="987"/>
      <c r="Z1044" s="987"/>
      <c r="AA1044" s="986"/>
    </row>
    <row r="1045" hidden="1">
      <c r="A1045" s="990">
        <v>622.0</v>
      </c>
      <c r="B1045" s="988">
        <v>45111.0</v>
      </c>
      <c r="C1045" s="989" t="s">
        <v>6415</v>
      </c>
      <c r="D1045" s="434" t="s">
        <v>374</v>
      </c>
      <c r="E1045" s="992"/>
      <c r="F1045" s="434" t="s">
        <v>6418</v>
      </c>
      <c r="G1045" s="434" t="s">
        <v>103</v>
      </c>
      <c r="H1045" s="989" t="s">
        <v>6416</v>
      </c>
      <c r="I1045" s="989" t="s">
        <v>6419</v>
      </c>
      <c r="J1045" s="987"/>
      <c r="K1045" s="987"/>
      <c r="L1045" s="987"/>
      <c r="M1045" s="987"/>
      <c r="N1045" s="987"/>
      <c r="O1045" s="987"/>
      <c r="P1045" s="987"/>
      <c r="Q1045" s="987"/>
      <c r="R1045" s="987"/>
      <c r="S1045" s="987"/>
      <c r="T1045" s="987"/>
      <c r="U1045" s="987"/>
      <c r="V1045" s="987"/>
      <c r="W1045" s="987"/>
      <c r="X1045" s="987"/>
      <c r="Y1045" s="987"/>
      <c r="Z1045" s="987"/>
      <c r="AA1045" s="986"/>
    </row>
    <row r="1046" hidden="1">
      <c r="A1046" s="995">
        <v>650.0</v>
      </c>
      <c r="B1046" s="996">
        <v>45148.0</v>
      </c>
      <c r="C1046" s="984" t="s">
        <v>5880</v>
      </c>
      <c r="D1046" s="436" t="s">
        <v>2733</v>
      </c>
      <c r="E1046" s="436" t="s">
        <v>6420</v>
      </c>
      <c r="F1046" s="987"/>
      <c r="G1046" s="436" t="s">
        <v>103</v>
      </c>
      <c r="H1046" s="984" t="s">
        <v>6421</v>
      </c>
      <c r="I1046" s="989" t="s">
        <v>6422</v>
      </c>
      <c r="J1046" s="436" t="s">
        <v>5884</v>
      </c>
      <c r="K1046" s="987"/>
      <c r="L1046" s="987"/>
      <c r="M1046" s="987"/>
      <c r="N1046" s="987"/>
      <c r="O1046" s="987"/>
      <c r="P1046" s="987"/>
      <c r="Q1046" s="987"/>
      <c r="R1046" s="987"/>
      <c r="S1046" s="987"/>
      <c r="T1046" s="987"/>
      <c r="U1046" s="987"/>
      <c r="V1046" s="987"/>
      <c r="W1046" s="987"/>
      <c r="X1046" s="987"/>
      <c r="Y1046" s="987"/>
      <c r="Z1046" s="987"/>
      <c r="AA1046" s="986"/>
    </row>
    <row r="1047" hidden="1">
      <c r="A1047" s="990">
        <v>652.0</v>
      </c>
      <c r="B1047" s="988">
        <v>45152.0</v>
      </c>
      <c r="C1047" s="989" t="s">
        <v>6415</v>
      </c>
      <c r="D1047" s="434" t="s">
        <v>374</v>
      </c>
      <c r="E1047" s="434" t="s">
        <v>2218</v>
      </c>
      <c r="F1047" s="434" t="s">
        <v>50</v>
      </c>
      <c r="G1047" s="434" t="s">
        <v>348</v>
      </c>
      <c r="H1047" s="989" t="s">
        <v>6423</v>
      </c>
      <c r="I1047" s="993" t="s">
        <v>6424</v>
      </c>
      <c r="J1047" s="436" t="s">
        <v>456</v>
      </c>
      <c r="K1047" s="436" t="s">
        <v>2246</v>
      </c>
      <c r="L1047" s="987"/>
      <c r="M1047" s="987"/>
      <c r="N1047" s="987"/>
      <c r="O1047" s="987"/>
      <c r="P1047" s="987"/>
      <c r="Q1047" s="987"/>
      <c r="R1047" s="987"/>
      <c r="S1047" s="987"/>
      <c r="T1047" s="987"/>
      <c r="U1047" s="987"/>
      <c r="V1047" s="987"/>
      <c r="W1047" s="987"/>
      <c r="X1047" s="987"/>
      <c r="Y1047" s="987"/>
      <c r="Z1047" s="987"/>
      <c r="AA1047" s="986"/>
    </row>
    <row r="1048" hidden="1">
      <c r="A1048" s="995">
        <v>654.0</v>
      </c>
      <c r="B1048" s="996">
        <v>45153.0</v>
      </c>
      <c r="C1048" s="984" t="s">
        <v>6425</v>
      </c>
      <c r="D1048" s="436" t="s">
        <v>6426</v>
      </c>
      <c r="E1048" s="436" t="s">
        <v>3987</v>
      </c>
      <c r="F1048" s="987"/>
      <c r="G1048" s="436" t="s">
        <v>348</v>
      </c>
      <c r="H1048" s="1022" t="s">
        <v>6427</v>
      </c>
      <c r="I1048" s="989" t="s">
        <v>6428</v>
      </c>
      <c r="J1048" s="436" t="s">
        <v>6429</v>
      </c>
      <c r="K1048" s="436" t="s">
        <v>491</v>
      </c>
      <c r="L1048" s="436" t="s">
        <v>6430</v>
      </c>
      <c r="M1048" s="987"/>
      <c r="N1048" s="987"/>
      <c r="O1048" s="987"/>
      <c r="P1048" s="987"/>
      <c r="Q1048" s="987"/>
      <c r="R1048" s="987"/>
      <c r="S1048" s="987"/>
      <c r="T1048" s="987"/>
      <c r="U1048" s="987"/>
      <c r="V1048" s="987"/>
      <c r="W1048" s="987"/>
      <c r="X1048" s="987"/>
      <c r="Y1048" s="987"/>
      <c r="Z1048" s="987"/>
      <c r="AA1048" s="986"/>
    </row>
    <row r="1049" hidden="1">
      <c r="A1049" s="995">
        <v>664.0</v>
      </c>
      <c r="B1049" s="988">
        <v>45169.0</v>
      </c>
      <c r="C1049" s="989" t="s">
        <v>5615</v>
      </c>
      <c r="D1049" s="434" t="s">
        <v>1737</v>
      </c>
      <c r="E1049" s="434" t="s">
        <v>6431</v>
      </c>
      <c r="F1049" s="990">
        <v>1.6930024E7</v>
      </c>
      <c r="G1049" s="434" t="s">
        <v>348</v>
      </c>
      <c r="H1049" s="989" t="s">
        <v>6432</v>
      </c>
      <c r="I1049" s="1014" t="s">
        <v>6433</v>
      </c>
      <c r="J1049" s="987"/>
      <c r="K1049" s="987"/>
      <c r="L1049" s="987"/>
      <c r="M1049" s="987"/>
      <c r="N1049" s="987"/>
      <c r="O1049" s="987"/>
      <c r="P1049" s="987"/>
      <c r="Q1049" s="987"/>
      <c r="R1049" s="987"/>
      <c r="S1049" s="987"/>
      <c r="T1049" s="987"/>
      <c r="U1049" s="987"/>
      <c r="V1049" s="987"/>
      <c r="W1049" s="987"/>
      <c r="X1049" s="987"/>
      <c r="Y1049" s="987"/>
      <c r="Z1049" s="987"/>
      <c r="AA1049" s="986"/>
    </row>
    <row r="1050" hidden="1">
      <c r="A1050" s="995">
        <v>684.0</v>
      </c>
      <c r="B1050" s="996">
        <v>45181.0</v>
      </c>
      <c r="C1050" s="984" t="s">
        <v>6434</v>
      </c>
      <c r="D1050" s="436" t="s">
        <v>101</v>
      </c>
      <c r="E1050" s="436" t="s">
        <v>49</v>
      </c>
      <c r="F1050" s="436" t="s">
        <v>50</v>
      </c>
      <c r="G1050" s="436" t="s">
        <v>103</v>
      </c>
      <c r="H1050" s="984" t="s">
        <v>6435</v>
      </c>
      <c r="I1050" s="989" t="s">
        <v>6436</v>
      </c>
      <c r="J1050" s="987"/>
      <c r="K1050" s="987"/>
      <c r="L1050" s="987"/>
      <c r="M1050" s="987"/>
      <c r="N1050" s="987"/>
      <c r="O1050" s="987"/>
      <c r="P1050" s="987"/>
      <c r="Q1050" s="987"/>
      <c r="R1050" s="987"/>
      <c r="S1050" s="987"/>
      <c r="T1050" s="987"/>
      <c r="U1050" s="987"/>
      <c r="V1050" s="987"/>
      <c r="W1050" s="987"/>
      <c r="X1050" s="987"/>
      <c r="Y1050" s="987"/>
      <c r="Z1050" s="987"/>
      <c r="AA1050" s="986"/>
    </row>
    <row r="1051" hidden="1">
      <c r="A1051" s="995">
        <v>809.0</v>
      </c>
      <c r="B1051" s="991">
        <v>45253.0</v>
      </c>
      <c r="C1051" s="989" t="s">
        <v>6437</v>
      </c>
      <c r="D1051" s="434" t="s">
        <v>802</v>
      </c>
      <c r="E1051" s="992"/>
      <c r="F1051" s="990">
        <v>1.9270025E7</v>
      </c>
      <c r="G1051" s="434" t="s">
        <v>103</v>
      </c>
      <c r="H1051" s="989" t="s">
        <v>6438</v>
      </c>
      <c r="I1051" s="1025" t="s">
        <v>6439</v>
      </c>
      <c r="J1051" s="987"/>
      <c r="K1051" s="987"/>
      <c r="L1051" s="987"/>
      <c r="M1051" s="987"/>
      <c r="N1051" s="436" t="s">
        <v>62</v>
      </c>
      <c r="O1051" s="1020">
        <v>45847.0</v>
      </c>
      <c r="P1051" s="987"/>
      <c r="Q1051" s="987"/>
      <c r="R1051" s="987"/>
      <c r="S1051" s="987"/>
      <c r="T1051" s="436" t="s">
        <v>62</v>
      </c>
      <c r="U1051" s="1020">
        <v>45848.0</v>
      </c>
      <c r="V1051" s="987"/>
      <c r="W1051" s="987"/>
      <c r="X1051" s="987"/>
      <c r="Y1051" s="987"/>
      <c r="Z1051" s="987"/>
      <c r="AA1051" s="986"/>
    </row>
    <row r="1052" hidden="1">
      <c r="A1052" s="990">
        <v>867.0</v>
      </c>
      <c r="B1052" s="991">
        <v>45250.0</v>
      </c>
      <c r="C1052" s="989" t="s">
        <v>6440</v>
      </c>
      <c r="D1052" s="434" t="s">
        <v>374</v>
      </c>
      <c r="E1052" s="434" t="s">
        <v>49</v>
      </c>
      <c r="F1052" s="434" t="s">
        <v>50</v>
      </c>
      <c r="G1052" s="434" t="s">
        <v>103</v>
      </c>
      <c r="H1052" s="989" t="s">
        <v>6441</v>
      </c>
      <c r="I1052" s="989" t="s">
        <v>6442</v>
      </c>
      <c r="J1052" s="436" t="s">
        <v>377</v>
      </c>
      <c r="K1052" s="436" t="s">
        <v>378</v>
      </c>
      <c r="L1052" s="436" t="s">
        <v>1162</v>
      </c>
      <c r="M1052" s="987"/>
      <c r="N1052" s="987"/>
      <c r="O1052" s="987"/>
      <c r="P1052" s="987"/>
      <c r="Q1052" s="987"/>
      <c r="R1052" s="987"/>
      <c r="S1052" s="987"/>
      <c r="T1052" s="987"/>
      <c r="U1052" s="987"/>
      <c r="V1052" s="987"/>
      <c r="W1052" s="987"/>
      <c r="X1052" s="987"/>
      <c r="Y1052" s="987"/>
      <c r="Z1052" s="987"/>
      <c r="AA1052" s="986"/>
    </row>
    <row r="1053" hidden="1">
      <c r="A1053" s="995">
        <v>1096.0</v>
      </c>
      <c r="B1053" s="988">
        <v>45419.0</v>
      </c>
      <c r="C1053" s="989" t="s">
        <v>1633</v>
      </c>
      <c r="D1053" s="434" t="s">
        <v>411</v>
      </c>
      <c r="E1053" s="434" t="s">
        <v>702</v>
      </c>
      <c r="F1053" s="434" t="s">
        <v>50</v>
      </c>
      <c r="G1053" s="434" t="s">
        <v>103</v>
      </c>
      <c r="H1053" s="989" t="s">
        <v>6443</v>
      </c>
      <c r="I1053" s="989" t="s">
        <v>6444</v>
      </c>
      <c r="J1053" s="436" t="s">
        <v>1637</v>
      </c>
      <c r="K1053" s="436" t="s">
        <v>705</v>
      </c>
      <c r="L1053" s="436" t="s">
        <v>6445</v>
      </c>
      <c r="M1053" s="987"/>
      <c r="N1053" s="987"/>
      <c r="O1053" s="987"/>
      <c r="P1053" s="987"/>
      <c r="Q1053" s="987"/>
      <c r="R1053" s="987"/>
      <c r="S1053" s="987"/>
      <c r="T1053" s="987"/>
      <c r="U1053" s="987"/>
      <c r="V1053" s="987"/>
      <c r="W1053" s="987"/>
      <c r="X1053" s="987"/>
      <c r="Y1053" s="987"/>
      <c r="Z1053" s="987"/>
      <c r="AA1053" s="986"/>
    </row>
    <row r="1054" hidden="1">
      <c r="A1054" s="995">
        <v>1100.0</v>
      </c>
      <c r="B1054" s="988">
        <v>45435.0</v>
      </c>
      <c r="C1054" s="989" t="s">
        <v>314</v>
      </c>
      <c r="D1054" s="434" t="s">
        <v>315</v>
      </c>
      <c r="E1054" s="434" t="s">
        <v>31</v>
      </c>
      <c r="F1054" s="434" t="s">
        <v>50</v>
      </c>
      <c r="G1054" s="434" t="s">
        <v>103</v>
      </c>
      <c r="H1054" s="989" t="s">
        <v>6446</v>
      </c>
      <c r="I1054" s="989" t="s">
        <v>6447</v>
      </c>
      <c r="J1054" s="436" t="s">
        <v>362</v>
      </c>
      <c r="K1054" s="987"/>
      <c r="L1054" s="987"/>
      <c r="M1054" s="987"/>
      <c r="N1054" s="987"/>
      <c r="O1054" s="987"/>
      <c r="P1054" s="987"/>
      <c r="Q1054" s="987"/>
      <c r="R1054" s="436" t="s">
        <v>6448</v>
      </c>
      <c r="S1054" s="987"/>
      <c r="T1054" s="987"/>
      <c r="U1054" s="987"/>
      <c r="V1054" s="987"/>
      <c r="W1054" s="987"/>
      <c r="X1054" s="987"/>
      <c r="Y1054" s="987"/>
      <c r="Z1054" s="987"/>
      <c r="AA1054" s="986"/>
    </row>
    <row r="1055" hidden="1">
      <c r="A1055" s="995">
        <v>1101.0</v>
      </c>
      <c r="B1055" s="988">
        <v>45436.0</v>
      </c>
      <c r="C1055" s="989" t="s">
        <v>1604</v>
      </c>
      <c r="D1055" s="434" t="s">
        <v>1106</v>
      </c>
      <c r="E1055" s="434" t="s">
        <v>49</v>
      </c>
      <c r="F1055" s="434" t="s">
        <v>50</v>
      </c>
      <c r="G1055" s="434" t="s">
        <v>103</v>
      </c>
      <c r="H1055" s="989" t="s">
        <v>6449</v>
      </c>
      <c r="I1055" s="989" t="s">
        <v>6450</v>
      </c>
      <c r="J1055" s="436" t="s">
        <v>6451</v>
      </c>
      <c r="K1055" s="436" t="s">
        <v>6452</v>
      </c>
      <c r="L1055" s="436" t="s">
        <v>6453</v>
      </c>
      <c r="M1055" s="987"/>
      <c r="N1055" s="987"/>
      <c r="O1055" s="987"/>
      <c r="P1055" s="987"/>
      <c r="Q1055" s="987"/>
      <c r="R1055" s="987"/>
      <c r="S1055" s="987"/>
      <c r="T1055" s="987"/>
      <c r="U1055" s="987"/>
      <c r="V1055" s="987"/>
      <c r="W1055" s="987"/>
      <c r="X1055" s="987"/>
      <c r="Y1055" s="987"/>
      <c r="Z1055" s="987"/>
      <c r="AA1055" s="986"/>
    </row>
    <row r="1056" hidden="1">
      <c r="A1056" s="995">
        <v>1109.0</v>
      </c>
      <c r="B1056" s="988">
        <v>45447.0</v>
      </c>
      <c r="C1056" s="989" t="s">
        <v>1657</v>
      </c>
      <c r="D1056" s="434" t="s">
        <v>1101</v>
      </c>
      <c r="E1056" s="434" t="s">
        <v>6454</v>
      </c>
      <c r="F1056" s="434" t="s">
        <v>50</v>
      </c>
      <c r="G1056" s="434" t="s">
        <v>348</v>
      </c>
      <c r="H1056" s="989" t="s">
        <v>6455</v>
      </c>
      <c r="I1056" s="989" t="s">
        <v>6456</v>
      </c>
      <c r="J1056" s="436" t="s">
        <v>2364</v>
      </c>
      <c r="K1056" s="984" t="s">
        <v>6457</v>
      </c>
      <c r="L1056" s="987"/>
      <c r="M1056" s="987"/>
      <c r="N1056" s="436" t="s">
        <v>62</v>
      </c>
      <c r="O1056" s="1019">
        <v>45836.0</v>
      </c>
      <c r="P1056" s="987"/>
      <c r="Q1056" s="987"/>
      <c r="R1056" s="987"/>
      <c r="S1056" s="987"/>
      <c r="T1056" s="436" t="s">
        <v>62</v>
      </c>
      <c r="U1056" s="1020">
        <v>45839.0</v>
      </c>
      <c r="V1056" s="987"/>
      <c r="W1056" s="987"/>
      <c r="X1056" s="987"/>
      <c r="Y1056" s="987"/>
      <c r="Z1056" s="987"/>
      <c r="AA1056" s="986"/>
    </row>
    <row r="1057" hidden="1">
      <c r="A1057" s="995">
        <v>1114.0</v>
      </c>
      <c r="B1057" s="988">
        <v>45454.0</v>
      </c>
      <c r="C1057" s="989" t="s">
        <v>6458</v>
      </c>
      <c r="D1057" s="434" t="s">
        <v>4028</v>
      </c>
      <c r="E1057" s="434" t="s">
        <v>6459</v>
      </c>
      <c r="F1057" s="434" t="s">
        <v>50</v>
      </c>
      <c r="G1057" s="992"/>
      <c r="H1057" s="989" t="s">
        <v>6460</v>
      </c>
      <c r="I1057" s="989" t="s">
        <v>6461</v>
      </c>
      <c r="J1057" s="436" t="s">
        <v>4856</v>
      </c>
      <c r="K1057" s="436" t="s">
        <v>343</v>
      </c>
      <c r="L1057" s="987"/>
      <c r="M1057" s="987"/>
      <c r="N1057" s="987"/>
      <c r="O1057" s="987"/>
      <c r="P1057" s="987"/>
      <c r="Q1057" s="987"/>
      <c r="R1057" s="987"/>
      <c r="S1057" s="987"/>
      <c r="T1057" s="987"/>
      <c r="U1057" s="987"/>
      <c r="V1057" s="987"/>
      <c r="W1057" s="987"/>
      <c r="X1057" s="987"/>
      <c r="Y1057" s="987"/>
      <c r="Z1057" s="987"/>
      <c r="AA1057" s="986"/>
    </row>
    <row r="1058" hidden="1">
      <c r="A1058" s="995">
        <v>1116.0</v>
      </c>
      <c r="B1058" s="988">
        <v>45454.0</v>
      </c>
      <c r="C1058" s="989" t="s">
        <v>6458</v>
      </c>
      <c r="D1058" s="434" t="s">
        <v>4028</v>
      </c>
      <c r="E1058" s="434" t="s">
        <v>49</v>
      </c>
      <c r="F1058" s="990">
        <v>1.5191851E7</v>
      </c>
      <c r="G1058" s="434" t="s">
        <v>103</v>
      </c>
      <c r="H1058" s="989" t="s">
        <v>6462</v>
      </c>
      <c r="I1058" s="989" t="s">
        <v>6463</v>
      </c>
      <c r="J1058" s="436" t="s">
        <v>4856</v>
      </c>
      <c r="K1058" s="436" t="s">
        <v>4857</v>
      </c>
      <c r="L1058" s="595" t="s">
        <v>6464</v>
      </c>
      <c r="M1058" s="987"/>
      <c r="N1058" s="436" t="s">
        <v>62</v>
      </c>
      <c r="O1058" s="1020">
        <v>45871.0</v>
      </c>
      <c r="P1058" s="987"/>
      <c r="Q1058" s="987"/>
      <c r="R1058" s="987"/>
      <c r="S1058" s="987"/>
      <c r="T1058" s="987"/>
      <c r="U1058" s="987"/>
      <c r="V1058" s="987"/>
      <c r="W1058" s="987"/>
      <c r="X1058" s="987"/>
      <c r="Y1058" s="987"/>
      <c r="Z1058" s="987"/>
      <c r="AA1058" s="986"/>
    </row>
    <row r="1059" hidden="1">
      <c r="A1059" s="995">
        <v>1120.0</v>
      </c>
      <c r="B1059" s="988">
        <v>45457.0</v>
      </c>
      <c r="C1059" s="989" t="s">
        <v>6465</v>
      </c>
      <c r="D1059" s="434" t="s">
        <v>791</v>
      </c>
      <c r="E1059" s="434" t="s">
        <v>261</v>
      </c>
      <c r="F1059" s="990">
        <v>1.8460103E7</v>
      </c>
      <c r="G1059" s="434" t="s">
        <v>348</v>
      </c>
      <c r="H1059" s="989" t="s">
        <v>6466</v>
      </c>
      <c r="I1059" s="989" t="s">
        <v>6467</v>
      </c>
      <c r="J1059" s="987"/>
      <c r="K1059" s="436" t="s">
        <v>1283</v>
      </c>
      <c r="L1059" s="436" t="s">
        <v>280</v>
      </c>
      <c r="M1059" s="987"/>
      <c r="N1059" s="436" t="s">
        <v>62</v>
      </c>
      <c r="O1059" s="1019">
        <v>45861.0</v>
      </c>
      <c r="P1059" s="987"/>
      <c r="Q1059" s="987"/>
      <c r="R1059" s="987"/>
      <c r="S1059" s="987"/>
      <c r="T1059" s="987"/>
      <c r="U1059" s="987"/>
      <c r="V1059" s="987"/>
      <c r="W1059" s="987"/>
      <c r="X1059" s="987"/>
      <c r="Y1059" s="987"/>
      <c r="Z1059" s="987"/>
      <c r="AA1059" s="986"/>
    </row>
    <row r="1060" hidden="1">
      <c r="A1060" s="995">
        <v>1130.0</v>
      </c>
      <c r="B1060" s="988">
        <v>45467.0</v>
      </c>
      <c r="C1060" s="989" t="s">
        <v>6468</v>
      </c>
      <c r="D1060" s="434" t="s">
        <v>802</v>
      </c>
      <c r="E1060" s="992"/>
      <c r="F1060" s="990">
        <v>1.9270041E7</v>
      </c>
      <c r="G1060" s="434" t="s">
        <v>103</v>
      </c>
      <c r="H1060" s="1026" t="s">
        <v>6469</v>
      </c>
      <c r="I1060" s="1027" t="s">
        <v>6470</v>
      </c>
      <c r="J1060" s="987"/>
      <c r="K1060" s="987"/>
      <c r="L1060" s="987"/>
      <c r="M1060" s="987"/>
      <c r="N1060" s="436" t="s">
        <v>62</v>
      </c>
      <c r="O1060" s="1020">
        <v>45847.0</v>
      </c>
      <c r="P1060" s="987"/>
      <c r="Q1060" s="987"/>
      <c r="R1060" s="987"/>
      <c r="S1060" s="987"/>
      <c r="T1060" s="436" t="s">
        <v>62</v>
      </c>
      <c r="U1060" s="1020">
        <v>45848.0</v>
      </c>
      <c r="V1060" s="987"/>
      <c r="W1060" s="987"/>
      <c r="X1060" s="987"/>
      <c r="Y1060" s="987"/>
      <c r="Z1060" s="987"/>
      <c r="AA1060" s="986"/>
    </row>
    <row r="1061" hidden="1">
      <c r="A1061" s="995">
        <v>1137.0</v>
      </c>
      <c r="B1061" s="988">
        <v>45469.0</v>
      </c>
      <c r="C1061" s="989" t="s">
        <v>6471</v>
      </c>
      <c r="D1061" s="434" t="s">
        <v>540</v>
      </c>
      <c r="E1061" s="434" t="s">
        <v>6472</v>
      </c>
      <c r="F1061" s="990">
        <v>1.5270973E7</v>
      </c>
      <c r="G1061" s="434" t="s">
        <v>103</v>
      </c>
      <c r="H1061" s="989" t="s">
        <v>6473</v>
      </c>
      <c r="I1061" s="989" t="s">
        <v>6474</v>
      </c>
      <c r="J1061" s="436" t="s">
        <v>544</v>
      </c>
      <c r="K1061" s="436" t="s">
        <v>6475</v>
      </c>
      <c r="L1061" s="436" t="s">
        <v>6476</v>
      </c>
      <c r="M1061" s="987"/>
      <c r="N1061" s="436" t="s">
        <v>62</v>
      </c>
      <c r="O1061" s="987"/>
      <c r="P1061" s="987"/>
      <c r="Q1061" s="987"/>
      <c r="R1061" s="987"/>
      <c r="S1061" s="987"/>
      <c r="T1061" s="987"/>
      <c r="U1061" s="987"/>
      <c r="V1061" s="987"/>
      <c r="W1061" s="987"/>
      <c r="X1061" s="987"/>
      <c r="Y1061" s="987"/>
      <c r="Z1061" s="987"/>
      <c r="AA1061" s="986"/>
    </row>
    <row r="1062" hidden="1">
      <c r="A1062" s="995">
        <v>1138.0</v>
      </c>
      <c r="B1062" s="988">
        <v>45469.0</v>
      </c>
      <c r="C1062" s="989" t="s">
        <v>6471</v>
      </c>
      <c r="D1062" s="434" t="s">
        <v>540</v>
      </c>
      <c r="E1062" s="434" t="s">
        <v>6472</v>
      </c>
      <c r="F1062" s="990">
        <v>1.5270977E7</v>
      </c>
      <c r="G1062" s="434" t="s">
        <v>103</v>
      </c>
      <c r="H1062" s="989" t="s">
        <v>6477</v>
      </c>
      <c r="I1062" s="989" t="s">
        <v>6474</v>
      </c>
      <c r="J1062" s="436" t="s">
        <v>544</v>
      </c>
      <c r="K1062" s="436" t="s">
        <v>6478</v>
      </c>
      <c r="L1062" s="436" t="s">
        <v>6476</v>
      </c>
      <c r="M1062" s="987"/>
      <c r="N1062" s="436" t="s">
        <v>62</v>
      </c>
      <c r="O1062" s="987"/>
      <c r="P1062" s="987"/>
      <c r="Q1062" s="987"/>
      <c r="R1062" s="987"/>
      <c r="S1062" s="987"/>
      <c r="T1062" s="987"/>
      <c r="U1062" s="987"/>
      <c r="V1062" s="987"/>
      <c r="W1062" s="987"/>
      <c r="X1062" s="987"/>
      <c r="Y1062" s="987"/>
      <c r="Z1062" s="987"/>
      <c r="AA1062" s="986"/>
    </row>
    <row r="1063" hidden="1">
      <c r="A1063" s="995">
        <v>149.0</v>
      </c>
      <c r="B1063" s="996">
        <v>44431.0</v>
      </c>
      <c r="C1063" s="984" t="s">
        <v>6479</v>
      </c>
      <c r="D1063" s="436" t="s">
        <v>101</v>
      </c>
      <c r="E1063" s="436" t="s">
        <v>6480</v>
      </c>
      <c r="F1063" s="436" t="s">
        <v>50</v>
      </c>
      <c r="G1063" s="436" t="s">
        <v>103</v>
      </c>
      <c r="H1063" s="997" t="s">
        <v>6481</v>
      </c>
      <c r="I1063" s="993" t="s">
        <v>6482</v>
      </c>
      <c r="J1063" s="436" t="s">
        <v>6483</v>
      </c>
      <c r="K1063" s="436" t="s">
        <v>6484</v>
      </c>
      <c r="L1063" s="984" t="s">
        <v>6485</v>
      </c>
      <c r="M1063" s="987"/>
      <c r="N1063" s="436" t="s">
        <v>174</v>
      </c>
      <c r="O1063" s="987"/>
      <c r="P1063" s="987"/>
      <c r="Q1063" s="987"/>
      <c r="R1063" s="987"/>
      <c r="S1063" s="987"/>
      <c r="T1063" s="987"/>
      <c r="U1063" s="987"/>
      <c r="V1063" s="987"/>
      <c r="W1063" s="987"/>
      <c r="X1063" s="987"/>
      <c r="Y1063" s="987"/>
      <c r="Z1063" s="987"/>
      <c r="AA1063" s="986"/>
    </row>
    <row r="1064" hidden="1">
      <c r="A1064" s="995">
        <v>408.0</v>
      </c>
      <c r="B1064" s="1006">
        <v>44848.0</v>
      </c>
      <c r="C1064" s="984" t="s">
        <v>6486</v>
      </c>
      <c r="D1064" s="436" t="s">
        <v>101</v>
      </c>
      <c r="E1064" s="436" t="s">
        <v>6487</v>
      </c>
      <c r="F1064" s="436" t="s">
        <v>50</v>
      </c>
      <c r="G1064" s="436" t="s">
        <v>103</v>
      </c>
      <c r="H1064" s="997" t="s">
        <v>6488</v>
      </c>
      <c r="I1064" s="989" t="s">
        <v>6489</v>
      </c>
      <c r="J1064" s="436" t="s">
        <v>1037</v>
      </c>
      <c r="K1064" s="436" t="s">
        <v>6490</v>
      </c>
      <c r="L1064" s="436" t="s">
        <v>737</v>
      </c>
      <c r="M1064" s="987"/>
      <c r="N1064" s="987"/>
      <c r="O1064" s="987"/>
      <c r="P1064" s="987"/>
      <c r="Q1064" s="987"/>
      <c r="R1064" s="987"/>
      <c r="S1064" s="987"/>
      <c r="T1064" s="987"/>
      <c r="U1064" s="987"/>
      <c r="V1064" s="987"/>
      <c r="W1064" s="987"/>
      <c r="X1064" s="987"/>
      <c r="Y1064" s="987"/>
      <c r="Z1064" s="987"/>
      <c r="AA1064" s="986"/>
    </row>
    <row r="1065" hidden="1">
      <c r="A1065" s="995">
        <v>418.0</v>
      </c>
      <c r="B1065" s="1006">
        <v>44855.0</v>
      </c>
      <c r="C1065" s="984" t="s">
        <v>6486</v>
      </c>
      <c r="D1065" s="436" t="s">
        <v>101</v>
      </c>
      <c r="E1065" s="436" t="s">
        <v>6491</v>
      </c>
      <c r="F1065" s="987"/>
      <c r="G1065" s="436" t="s">
        <v>103</v>
      </c>
      <c r="H1065" s="984" t="s">
        <v>6492</v>
      </c>
      <c r="I1065" s="989" t="s">
        <v>6493</v>
      </c>
      <c r="J1065" s="436" t="s">
        <v>319</v>
      </c>
      <c r="K1065" s="436" t="s">
        <v>6494</v>
      </c>
      <c r="L1065" s="436" t="s">
        <v>737</v>
      </c>
      <c r="M1065" s="987"/>
      <c r="N1065" s="987"/>
      <c r="O1065" s="987"/>
      <c r="P1065" s="987"/>
      <c r="Q1065" s="987"/>
      <c r="R1065" s="987"/>
      <c r="S1065" s="987"/>
      <c r="T1065" s="987"/>
      <c r="U1065" s="987"/>
      <c r="V1065" s="987"/>
      <c r="W1065" s="987"/>
      <c r="X1065" s="987"/>
      <c r="Y1065" s="987"/>
      <c r="Z1065" s="987"/>
      <c r="AA1065" s="986"/>
    </row>
    <row r="1066" hidden="1">
      <c r="A1066" s="995">
        <v>409.0</v>
      </c>
      <c r="B1066" s="1006">
        <v>44848.0</v>
      </c>
      <c r="C1066" s="984" t="s">
        <v>6486</v>
      </c>
      <c r="D1066" s="436" t="s">
        <v>101</v>
      </c>
      <c r="E1066" s="436" t="s">
        <v>31</v>
      </c>
      <c r="F1066" s="436" t="s">
        <v>50</v>
      </c>
      <c r="G1066" s="436" t="s">
        <v>103</v>
      </c>
      <c r="H1066" s="997" t="s">
        <v>6495</v>
      </c>
      <c r="I1066" s="1022" t="s">
        <v>6496</v>
      </c>
      <c r="J1066" s="436" t="s">
        <v>362</v>
      </c>
      <c r="K1066" s="436" t="s">
        <v>6497</v>
      </c>
      <c r="L1066" s="436" t="s">
        <v>737</v>
      </c>
      <c r="M1066" s="987"/>
      <c r="N1066" s="987"/>
      <c r="O1066" s="987"/>
      <c r="P1066" s="987"/>
      <c r="Q1066" s="987"/>
      <c r="R1066" s="436" t="s">
        <v>62</v>
      </c>
      <c r="S1066" s="1020">
        <v>45850.0</v>
      </c>
      <c r="T1066" s="987"/>
      <c r="U1066" s="987"/>
      <c r="V1066" s="987"/>
      <c r="W1066" s="987"/>
      <c r="X1066" s="987"/>
      <c r="Y1066" s="987"/>
      <c r="Z1066" s="987"/>
      <c r="AA1066" s="986"/>
    </row>
    <row r="1067" hidden="1">
      <c r="A1067" s="995">
        <v>758.0</v>
      </c>
      <c r="B1067" s="1006">
        <v>45226.0</v>
      </c>
      <c r="C1067" s="984" t="s">
        <v>6498</v>
      </c>
      <c r="D1067" s="436" t="s">
        <v>101</v>
      </c>
      <c r="E1067" s="436" t="s">
        <v>31</v>
      </c>
      <c r="F1067" s="436" t="s">
        <v>50</v>
      </c>
      <c r="G1067" s="436" t="s">
        <v>103</v>
      </c>
      <c r="H1067" s="997" t="s">
        <v>6499</v>
      </c>
      <c r="I1067" s="1022" t="s">
        <v>6500</v>
      </c>
      <c r="J1067" s="436" t="s">
        <v>362</v>
      </c>
      <c r="K1067" s="987"/>
      <c r="L1067" s="987"/>
      <c r="M1067" s="987"/>
      <c r="N1067" s="987"/>
      <c r="O1067" s="987"/>
      <c r="P1067" s="987"/>
      <c r="Q1067" s="987"/>
      <c r="R1067" s="436" t="s">
        <v>2327</v>
      </c>
      <c r="S1067" s="1020">
        <v>45857.0</v>
      </c>
      <c r="T1067" s="987"/>
      <c r="U1067" s="987"/>
      <c r="V1067" s="987"/>
      <c r="W1067" s="987"/>
      <c r="X1067" s="987"/>
      <c r="Y1067" s="987"/>
      <c r="Z1067" s="987"/>
      <c r="AA1067" s="986"/>
    </row>
    <row r="1068" hidden="1">
      <c r="A1068" s="995">
        <v>78.0</v>
      </c>
      <c r="B1068" s="1006">
        <v>44188.0</v>
      </c>
      <c r="C1068" s="984" t="s">
        <v>6501</v>
      </c>
      <c r="D1068" s="436" t="s">
        <v>315</v>
      </c>
      <c r="E1068" s="436" t="s">
        <v>3802</v>
      </c>
      <c r="F1068" s="436" t="s">
        <v>4067</v>
      </c>
      <c r="G1068" s="436" t="s">
        <v>103</v>
      </c>
      <c r="H1068" s="997" t="s">
        <v>6502</v>
      </c>
      <c r="I1068" s="989" t="s">
        <v>6503</v>
      </c>
      <c r="J1068" s="436" t="s">
        <v>999</v>
      </c>
      <c r="K1068" s="436" t="s">
        <v>6504</v>
      </c>
      <c r="L1068" s="987"/>
      <c r="M1068" s="987"/>
      <c r="N1068" s="987"/>
      <c r="O1068" s="987"/>
      <c r="P1068" s="987"/>
      <c r="Q1068" s="987"/>
      <c r="R1068" s="987"/>
      <c r="S1068" s="987"/>
      <c r="T1068" s="987"/>
      <c r="U1068" s="987"/>
      <c r="V1068" s="436" t="s">
        <v>150</v>
      </c>
      <c r="W1068" s="987"/>
      <c r="X1068" s="987"/>
      <c r="Y1068" s="987"/>
      <c r="Z1068" s="987"/>
      <c r="AA1068" s="986"/>
    </row>
    <row r="1069" hidden="1">
      <c r="A1069" s="995">
        <v>1213.0</v>
      </c>
      <c r="B1069" s="996">
        <v>45513.0</v>
      </c>
      <c r="C1069" s="984" t="s">
        <v>6505</v>
      </c>
      <c r="D1069" s="436" t="s">
        <v>101</v>
      </c>
      <c r="E1069" s="436" t="s">
        <v>2808</v>
      </c>
      <c r="F1069" s="436" t="s">
        <v>50</v>
      </c>
      <c r="G1069" s="436" t="s">
        <v>103</v>
      </c>
      <c r="H1069" s="984" t="s">
        <v>6506</v>
      </c>
      <c r="I1069" s="1022" t="s">
        <v>6507</v>
      </c>
      <c r="J1069" s="436" t="s">
        <v>6508</v>
      </c>
      <c r="K1069" s="984" t="s">
        <v>6509</v>
      </c>
      <c r="L1069" s="384" t="s">
        <v>737</v>
      </c>
      <c r="M1069" s="987"/>
      <c r="N1069" s="987"/>
      <c r="O1069" s="987"/>
      <c r="P1069" s="987"/>
      <c r="Q1069" s="987"/>
      <c r="R1069" s="987"/>
      <c r="S1069" s="987"/>
      <c r="T1069" s="987"/>
      <c r="U1069" s="987"/>
      <c r="V1069" s="987"/>
      <c r="W1069" s="987"/>
      <c r="X1069" s="987"/>
      <c r="Y1069" s="987"/>
      <c r="Z1069" s="987"/>
      <c r="AA1069" s="986"/>
    </row>
    <row r="1070" hidden="1">
      <c r="A1070" s="995">
        <v>407.0</v>
      </c>
      <c r="B1070" s="1006">
        <v>44847.0</v>
      </c>
      <c r="C1070" s="984" t="s">
        <v>6486</v>
      </c>
      <c r="D1070" s="436" t="s">
        <v>101</v>
      </c>
      <c r="E1070" s="436" t="s">
        <v>6487</v>
      </c>
      <c r="F1070" s="436" t="s">
        <v>50</v>
      </c>
      <c r="G1070" s="436" t="s">
        <v>103</v>
      </c>
      <c r="H1070" s="997" t="s">
        <v>6510</v>
      </c>
      <c r="I1070" s="993" t="s">
        <v>6511</v>
      </c>
      <c r="J1070" s="436" t="s">
        <v>1037</v>
      </c>
      <c r="K1070" s="987"/>
      <c r="L1070" s="987"/>
      <c r="M1070" s="987"/>
      <c r="N1070" s="987"/>
      <c r="O1070" s="987"/>
      <c r="P1070" s="987"/>
      <c r="Q1070" s="987"/>
      <c r="R1070" s="987"/>
      <c r="S1070" s="987"/>
      <c r="T1070" s="987"/>
      <c r="U1070" s="987"/>
      <c r="V1070" s="987"/>
      <c r="W1070" s="987"/>
      <c r="X1070" s="987"/>
      <c r="Y1070" s="987"/>
      <c r="Z1070" s="987"/>
      <c r="AA1070" s="986"/>
    </row>
    <row r="1071" hidden="1">
      <c r="A1071" s="995">
        <v>490.0</v>
      </c>
      <c r="B1071" s="996">
        <v>44956.0</v>
      </c>
      <c r="C1071" s="984" t="s">
        <v>6512</v>
      </c>
      <c r="D1071" s="436" t="s">
        <v>1106</v>
      </c>
      <c r="E1071" s="436" t="s">
        <v>49</v>
      </c>
      <c r="F1071" s="436" t="s">
        <v>50</v>
      </c>
      <c r="G1071" s="436" t="s">
        <v>103</v>
      </c>
      <c r="H1071" s="997" t="s">
        <v>6513</v>
      </c>
      <c r="I1071" s="989" t="s">
        <v>6514</v>
      </c>
      <c r="J1071" s="987"/>
      <c r="K1071" s="987"/>
      <c r="L1071" s="987"/>
      <c r="M1071" s="987"/>
      <c r="N1071" s="987"/>
      <c r="O1071" s="987"/>
      <c r="P1071" s="987"/>
      <c r="Q1071" s="987"/>
      <c r="R1071" s="987"/>
      <c r="S1071" s="987"/>
      <c r="T1071" s="987"/>
      <c r="U1071" s="987"/>
      <c r="V1071" s="987"/>
      <c r="W1071" s="987"/>
      <c r="X1071" s="987"/>
      <c r="Y1071" s="987"/>
      <c r="Z1071" s="987"/>
      <c r="AA1071" s="986"/>
    </row>
    <row r="1072" hidden="1">
      <c r="A1072" s="995">
        <v>1210.0</v>
      </c>
      <c r="B1072" s="996">
        <v>44609.0</v>
      </c>
      <c r="C1072" s="984" t="s">
        <v>6515</v>
      </c>
      <c r="D1072" s="436" t="s">
        <v>1106</v>
      </c>
      <c r="E1072" s="436" t="s">
        <v>338</v>
      </c>
      <c r="F1072" s="436" t="s">
        <v>50</v>
      </c>
      <c r="G1072" s="436" t="s">
        <v>103</v>
      </c>
      <c r="H1072" s="984" t="s">
        <v>6516</v>
      </c>
      <c r="I1072" s="985" t="s">
        <v>6517</v>
      </c>
      <c r="J1072" s="987"/>
      <c r="K1072" s="998"/>
      <c r="L1072" s="987"/>
      <c r="M1072" s="987"/>
      <c r="N1072" s="987"/>
      <c r="O1072" s="987"/>
      <c r="P1072" s="987"/>
      <c r="Q1072" s="987"/>
      <c r="R1072" s="987"/>
      <c r="S1072" s="987"/>
      <c r="T1072" s="987"/>
      <c r="U1072" s="987"/>
      <c r="V1072" s="987"/>
      <c r="W1072" s="987"/>
      <c r="X1072" s="987"/>
      <c r="Y1072" s="987"/>
      <c r="Z1072" s="987"/>
      <c r="AA1072" s="986"/>
    </row>
    <row r="1073" hidden="1">
      <c r="A1073" s="995">
        <v>493.0</v>
      </c>
      <c r="B1073" s="996">
        <v>44958.0</v>
      </c>
      <c r="C1073" s="984" t="s">
        <v>6512</v>
      </c>
      <c r="D1073" s="436" t="s">
        <v>1106</v>
      </c>
      <c r="E1073" s="436" t="s">
        <v>49</v>
      </c>
      <c r="F1073" s="995">
        <v>1.5880543E7</v>
      </c>
      <c r="G1073" s="436" t="s">
        <v>348</v>
      </c>
      <c r="H1073" s="997" t="s">
        <v>6518</v>
      </c>
      <c r="I1073" s="989" t="s">
        <v>6519</v>
      </c>
      <c r="J1073" s="436" t="s">
        <v>5195</v>
      </c>
      <c r="K1073" s="436" t="s">
        <v>6520</v>
      </c>
      <c r="L1073" s="436" t="s">
        <v>4731</v>
      </c>
      <c r="M1073" s="987"/>
      <c r="N1073" s="987"/>
      <c r="O1073" s="987"/>
      <c r="P1073" s="987"/>
      <c r="Q1073" s="987"/>
      <c r="R1073" s="987"/>
      <c r="S1073" s="987"/>
      <c r="T1073" s="987"/>
      <c r="U1073" s="987"/>
      <c r="V1073" s="987"/>
      <c r="W1073" s="987"/>
      <c r="X1073" s="987"/>
      <c r="Y1073" s="987"/>
      <c r="Z1073" s="987"/>
      <c r="AA1073" s="986"/>
    </row>
    <row r="1074" hidden="1">
      <c r="A1074" s="995">
        <v>504.0</v>
      </c>
      <c r="B1074" s="996">
        <v>45026.0</v>
      </c>
      <c r="C1074" s="984" t="s">
        <v>6512</v>
      </c>
      <c r="D1074" s="436" t="s">
        <v>1106</v>
      </c>
      <c r="E1074" s="436" t="s">
        <v>49</v>
      </c>
      <c r="F1074" s="436" t="s">
        <v>50</v>
      </c>
      <c r="G1074" s="436" t="s">
        <v>103</v>
      </c>
      <c r="H1074" s="997" t="s">
        <v>6521</v>
      </c>
      <c r="I1074" s="989" t="s">
        <v>6514</v>
      </c>
      <c r="J1074" s="987"/>
      <c r="K1074" s="987"/>
      <c r="L1074" s="987"/>
      <c r="M1074" s="987"/>
      <c r="N1074" s="987"/>
      <c r="O1074" s="987"/>
      <c r="P1074" s="987"/>
      <c r="Q1074" s="987"/>
      <c r="R1074" s="987"/>
      <c r="S1074" s="987"/>
      <c r="T1074" s="987"/>
      <c r="U1074" s="987"/>
      <c r="V1074" s="987"/>
      <c r="W1074" s="987"/>
      <c r="X1074" s="987"/>
      <c r="Y1074" s="987"/>
      <c r="Z1074" s="987"/>
      <c r="AA1074" s="986"/>
    </row>
    <row r="1075" hidden="1">
      <c r="A1075" s="995">
        <v>252.0</v>
      </c>
      <c r="B1075" s="996">
        <v>44537.0</v>
      </c>
      <c r="C1075" s="984" t="s">
        <v>6522</v>
      </c>
      <c r="D1075" s="436" t="s">
        <v>1106</v>
      </c>
      <c r="E1075" s="436" t="s">
        <v>702</v>
      </c>
      <c r="F1075" s="436" t="s">
        <v>50</v>
      </c>
      <c r="G1075" s="436" t="s">
        <v>103</v>
      </c>
      <c r="H1075" s="997" t="s">
        <v>6523</v>
      </c>
      <c r="I1075" s="993" t="s">
        <v>6524</v>
      </c>
      <c r="J1075" s="436" t="s">
        <v>1109</v>
      </c>
      <c r="K1075" s="987"/>
      <c r="L1075" s="987"/>
      <c r="M1075" s="987"/>
      <c r="N1075" s="987"/>
      <c r="O1075" s="987"/>
      <c r="P1075" s="987"/>
      <c r="Q1075" s="987"/>
      <c r="R1075" s="987"/>
      <c r="S1075" s="987"/>
      <c r="T1075" s="987"/>
      <c r="U1075" s="987"/>
      <c r="V1075" s="987"/>
      <c r="W1075" s="987"/>
      <c r="X1075" s="987"/>
      <c r="Y1075" s="987"/>
      <c r="Z1075" s="987"/>
      <c r="AA1075" s="986"/>
    </row>
    <row r="1076" hidden="1">
      <c r="A1076" s="1028">
        <v>1111.0</v>
      </c>
      <c r="B1076" s="1029">
        <v>45449.0</v>
      </c>
      <c r="C1076" s="1030" t="s">
        <v>6525</v>
      </c>
      <c r="D1076" s="1031" t="s">
        <v>499</v>
      </c>
      <c r="E1076" s="436" t="s">
        <v>2920</v>
      </c>
      <c r="F1076" s="436" t="s">
        <v>50</v>
      </c>
      <c r="G1076" s="436" t="s">
        <v>348</v>
      </c>
      <c r="H1076" s="984" t="s">
        <v>6526</v>
      </c>
      <c r="I1076" s="985" t="s">
        <v>6517</v>
      </c>
      <c r="J1076" s="987"/>
      <c r="K1076" s="987"/>
      <c r="L1076" s="987"/>
      <c r="M1076" s="987"/>
      <c r="N1076" s="987"/>
      <c r="O1076" s="987"/>
      <c r="P1076" s="987"/>
      <c r="Q1076" s="987"/>
      <c r="R1076" s="987"/>
      <c r="S1076" s="987"/>
      <c r="T1076" s="987"/>
      <c r="U1076" s="987"/>
      <c r="V1076" s="987"/>
      <c r="W1076" s="987"/>
      <c r="X1076" s="987"/>
      <c r="Y1076" s="987"/>
      <c r="Z1076" s="987"/>
      <c r="AA1076" s="986"/>
    </row>
    <row r="1077" hidden="1">
      <c r="A1077" s="995">
        <v>20.0</v>
      </c>
      <c r="B1077" s="996">
        <v>43535.0</v>
      </c>
      <c r="C1077" s="984" t="s">
        <v>6527</v>
      </c>
      <c r="D1077" s="436" t="s">
        <v>6528</v>
      </c>
      <c r="E1077" s="436" t="s">
        <v>6529</v>
      </c>
      <c r="F1077" s="995">
        <v>1.6670021E7</v>
      </c>
      <c r="G1077" s="984" t="s">
        <v>6530</v>
      </c>
      <c r="H1077" s="984" t="s">
        <v>6531</v>
      </c>
      <c r="I1077" s="1032" t="s">
        <v>6532</v>
      </c>
      <c r="J1077" s="987"/>
      <c r="K1077" s="987"/>
      <c r="L1077" s="987"/>
      <c r="M1077" s="987"/>
      <c r="N1077" s="987"/>
      <c r="O1077" s="987"/>
      <c r="P1077" s="987"/>
      <c r="Q1077" s="987"/>
      <c r="R1077" s="987"/>
      <c r="S1077" s="987"/>
      <c r="T1077" s="987"/>
      <c r="U1077" s="987"/>
      <c r="V1077" s="987"/>
      <c r="W1077" s="987"/>
      <c r="X1077" s="987"/>
      <c r="Y1077" s="987"/>
      <c r="Z1077" s="987"/>
      <c r="AA1077" s="986"/>
    </row>
    <row r="1078" hidden="1">
      <c r="A1078" s="995">
        <v>626.0</v>
      </c>
      <c r="B1078" s="996">
        <v>45118.0</v>
      </c>
      <c r="C1078" s="984" t="s">
        <v>6415</v>
      </c>
      <c r="D1078" s="436" t="s">
        <v>374</v>
      </c>
      <c r="E1078" s="987"/>
      <c r="F1078" s="436" t="s">
        <v>50</v>
      </c>
      <c r="G1078" s="436" t="s">
        <v>103</v>
      </c>
      <c r="H1078" s="984" t="s">
        <v>6533</v>
      </c>
      <c r="I1078" s="984" t="s">
        <v>6534</v>
      </c>
      <c r="J1078" s="436" t="s">
        <v>377</v>
      </c>
      <c r="K1078" s="436" t="s">
        <v>378</v>
      </c>
      <c r="L1078" s="436" t="s">
        <v>1162</v>
      </c>
      <c r="M1078" s="987"/>
      <c r="N1078" s="987"/>
      <c r="O1078" s="987"/>
      <c r="P1078" s="987"/>
      <c r="Q1078" s="987"/>
      <c r="R1078" s="987"/>
      <c r="S1078" s="987"/>
      <c r="T1078" s="987"/>
      <c r="U1078" s="987"/>
      <c r="V1078" s="987"/>
      <c r="W1078" s="987"/>
      <c r="X1078" s="987"/>
      <c r="Y1078" s="987"/>
      <c r="Z1078" s="987"/>
      <c r="AA1078" s="986"/>
    </row>
    <row r="1079" hidden="1">
      <c r="A1079" s="995">
        <v>862.0</v>
      </c>
      <c r="B1079" s="996">
        <v>45175.0</v>
      </c>
      <c r="C1079" s="984" t="s">
        <v>6415</v>
      </c>
      <c r="D1079" s="436" t="s">
        <v>374</v>
      </c>
      <c r="E1079" s="436" t="s">
        <v>49</v>
      </c>
      <c r="F1079" s="995">
        <v>1.9240044E7</v>
      </c>
      <c r="G1079" s="436" t="s">
        <v>103</v>
      </c>
      <c r="H1079" s="984" t="s">
        <v>6535</v>
      </c>
      <c r="I1079" s="1022" t="s">
        <v>6536</v>
      </c>
      <c r="J1079" s="436" t="s">
        <v>377</v>
      </c>
      <c r="K1079" s="987"/>
      <c r="L1079" s="987"/>
      <c r="M1079" s="987"/>
      <c r="N1079" s="987"/>
      <c r="O1079" s="987"/>
      <c r="P1079" s="987"/>
      <c r="Q1079" s="987"/>
      <c r="R1079" s="987"/>
      <c r="S1079" s="987"/>
      <c r="T1079" s="987"/>
      <c r="U1079" s="987"/>
      <c r="V1079" s="987"/>
      <c r="W1079" s="987"/>
      <c r="X1079" s="987"/>
      <c r="Y1079" s="987"/>
      <c r="Z1079" s="987"/>
      <c r="AA1079" s="986"/>
    </row>
    <row r="1080" hidden="1">
      <c r="A1080" s="1028">
        <v>863.0</v>
      </c>
      <c r="B1080" s="1029">
        <v>45126.0</v>
      </c>
      <c r="C1080" s="1030" t="s">
        <v>6415</v>
      </c>
      <c r="D1080" s="1031" t="s">
        <v>374</v>
      </c>
      <c r="E1080" s="436" t="s">
        <v>49</v>
      </c>
      <c r="F1080" s="995">
        <v>1.9240011E7</v>
      </c>
      <c r="G1080" s="436" t="s">
        <v>103</v>
      </c>
      <c r="H1080" s="984" t="s">
        <v>6537</v>
      </c>
      <c r="I1080" s="1022" t="s">
        <v>6538</v>
      </c>
      <c r="J1080" s="436" t="s">
        <v>377</v>
      </c>
      <c r="K1080" s="987"/>
      <c r="L1080" s="987"/>
      <c r="M1080" s="987"/>
      <c r="N1080" s="987"/>
      <c r="O1080" s="987"/>
      <c r="P1080" s="987"/>
      <c r="Q1080" s="987"/>
      <c r="R1080" s="987"/>
      <c r="S1080" s="987"/>
      <c r="T1080" s="987"/>
      <c r="U1080" s="987"/>
      <c r="V1080" s="987"/>
      <c r="W1080" s="987"/>
      <c r="X1080" s="987"/>
      <c r="Y1080" s="987"/>
      <c r="Z1080" s="987"/>
      <c r="AA1080" s="986"/>
    </row>
    <row r="1081" hidden="1">
      <c r="A1081" s="1028">
        <v>864.0</v>
      </c>
      <c r="B1081" s="1029">
        <v>45132.0</v>
      </c>
      <c r="C1081" s="1030" t="s">
        <v>6415</v>
      </c>
      <c r="D1081" s="1031" t="s">
        <v>374</v>
      </c>
      <c r="E1081" s="436" t="s">
        <v>49</v>
      </c>
      <c r="F1081" s="995">
        <v>1.9240021E7</v>
      </c>
      <c r="G1081" s="436" t="s">
        <v>103</v>
      </c>
      <c r="H1081" s="984" t="s">
        <v>6539</v>
      </c>
      <c r="I1081" s="1022" t="s">
        <v>6538</v>
      </c>
      <c r="J1081" s="436" t="s">
        <v>377</v>
      </c>
      <c r="K1081" s="987"/>
      <c r="L1081" s="987"/>
      <c r="M1081" s="987"/>
      <c r="N1081" s="987"/>
      <c r="O1081" s="987"/>
      <c r="P1081" s="987"/>
      <c r="Q1081" s="987"/>
      <c r="R1081" s="987"/>
      <c r="S1081" s="987"/>
      <c r="T1081" s="987"/>
      <c r="U1081" s="987"/>
      <c r="V1081" s="987"/>
      <c r="W1081" s="987"/>
      <c r="X1081" s="987"/>
      <c r="Y1081" s="987"/>
      <c r="Z1081" s="987"/>
      <c r="AA1081" s="986"/>
    </row>
    <row r="1082" hidden="1">
      <c r="A1082" s="1028">
        <v>673.0</v>
      </c>
      <c r="B1082" s="1029">
        <v>45174.0</v>
      </c>
      <c r="C1082" s="1030" t="s">
        <v>6540</v>
      </c>
      <c r="D1082" s="1031" t="s">
        <v>239</v>
      </c>
      <c r="E1082" s="436" t="s">
        <v>559</v>
      </c>
      <c r="F1082" s="995">
        <v>1.7190729E7</v>
      </c>
      <c r="G1082" s="436" t="s">
        <v>103</v>
      </c>
      <c r="H1082" s="984" t="s">
        <v>6541</v>
      </c>
      <c r="I1082" s="984" t="s">
        <v>6542</v>
      </c>
      <c r="J1082" s="436" t="s">
        <v>243</v>
      </c>
      <c r="K1082" s="436" t="s">
        <v>2489</v>
      </c>
      <c r="L1082" s="436" t="s">
        <v>737</v>
      </c>
      <c r="M1082" s="987"/>
      <c r="N1082" s="987"/>
      <c r="O1082" s="987"/>
      <c r="P1082" s="987"/>
      <c r="Q1082" s="987"/>
      <c r="R1082" s="987"/>
      <c r="S1082" s="987"/>
      <c r="T1082" s="987"/>
      <c r="U1082" s="987"/>
      <c r="V1082" s="987"/>
      <c r="W1082" s="987"/>
      <c r="X1082" s="987"/>
      <c r="Y1082" s="987"/>
      <c r="Z1082" s="987"/>
      <c r="AA1082" s="986"/>
    </row>
    <row r="1083" hidden="1">
      <c r="A1083" s="1028">
        <v>797.0</v>
      </c>
      <c r="B1083" s="1033">
        <v>45245.0</v>
      </c>
      <c r="C1083" s="1030" t="s">
        <v>6540</v>
      </c>
      <c r="D1083" s="1031" t="s">
        <v>239</v>
      </c>
      <c r="E1083" s="436" t="s">
        <v>559</v>
      </c>
      <c r="F1083" s="995">
        <v>1.7190755E7</v>
      </c>
      <c r="G1083" s="436" t="s">
        <v>103</v>
      </c>
      <c r="H1083" s="984" t="s">
        <v>6543</v>
      </c>
      <c r="I1083" s="984" t="s">
        <v>6542</v>
      </c>
      <c r="J1083" s="987"/>
      <c r="K1083" s="987"/>
      <c r="L1083" s="987"/>
      <c r="M1083" s="987"/>
      <c r="N1083" s="987"/>
      <c r="O1083" s="987"/>
      <c r="P1083" s="987"/>
      <c r="Q1083" s="987"/>
      <c r="R1083" s="987"/>
      <c r="S1083" s="987"/>
      <c r="T1083" s="987"/>
      <c r="U1083" s="987"/>
      <c r="V1083" s="987"/>
      <c r="W1083" s="987"/>
      <c r="X1083" s="987"/>
      <c r="Y1083" s="987"/>
      <c r="Z1083" s="987"/>
      <c r="AA1083" s="986"/>
    </row>
    <row r="1084" hidden="1">
      <c r="A1084" s="1028">
        <v>798.0</v>
      </c>
      <c r="B1084" s="1033">
        <v>45245.0</v>
      </c>
      <c r="C1084" s="1030" t="s">
        <v>6540</v>
      </c>
      <c r="D1084" s="1031" t="s">
        <v>239</v>
      </c>
      <c r="E1084" s="436" t="s">
        <v>559</v>
      </c>
      <c r="F1084" s="995">
        <v>1.7190759E7</v>
      </c>
      <c r="G1084" s="436" t="s">
        <v>103</v>
      </c>
      <c r="H1084" s="984" t="s">
        <v>6544</v>
      </c>
      <c r="I1084" s="984" t="s">
        <v>6545</v>
      </c>
      <c r="J1084" s="987"/>
      <c r="K1084" s="987"/>
      <c r="L1084" s="987"/>
      <c r="M1084" s="987"/>
      <c r="N1084" s="987"/>
      <c r="O1084" s="987"/>
      <c r="P1084" s="987"/>
      <c r="Q1084" s="987"/>
      <c r="R1084" s="987"/>
      <c r="S1084" s="987"/>
      <c r="T1084" s="987"/>
      <c r="U1084" s="987"/>
      <c r="V1084" s="987"/>
      <c r="W1084" s="987"/>
      <c r="X1084" s="987"/>
      <c r="Y1084" s="987"/>
      <c r="Z1084" s="987"/>
      <c r="AA1084" s="986"/>
    </row>
    <row r="1085" hidden="1">
      <c r="A1085" s="1028">
        <v>801.0</v>
      </c>
      <c r="B1085" s="1033">
        <v>45246.0</v>
      </c>
      <c r="C1085" s="1030" t="s">
        <v>6540</v>
      </c>
      <c r="D1085" s="1031" t="s">
        <v>239</v>
      </c>
      <c r="E1085" s="436" t="s">
        <v>559</v>
      </c>
      <c r="F1085" s="995">
        <v>1.7190764E7</v>
      </c>
      <c r="G1085" s="436" t="s">
        <v>103</v>
      </c>
      <c r="H1085" s="984" t="s">
        <v>6546</v>
      </c>
      <c r="I1085" s="1022" t="s">
        <v>6547</v>
      </c>
      <c r="J1085" s="436" t="s">
        <v>243</v>
      </c>
      <c r="K1085" s="984" t="s">
        <v>6548</v>
      </c>
      <c r="L1085" s="987"/>
      <c r="M1085" s="987"/>
      <c r="N1085" s="987"/>
      <c r="O1085" s="987"/>
      <c r="P1085" s="987"/>
      <c r="Q1085" s="987"/>
      <c r="R1085" s="987"/>
      <c r="S1085" s="987"/>
      <c r="T1085" s="987"/>
      <c r="U1085" s="987"/>
      <c r="V1085" s="987"/>
      <c r="W1085" s="987"/>
      <c r="X1085" s="987"/>
      <c r="Y1085" s="987"/>
      <c r="Z1085" s="987"/>
      <c r="AA1085" s="986"/>
    </row>
    <row r="1086" hidden="1">
      <c r="A1086" s="1028">
        <v>804.0</v>
      </c>
      <c r="B1086" s="1033">
        <v>45247.0</v>
      </c>
      <c r="C1086" s="1030" t="s">
        <v>6540</v>
      </c>
      <c r="D1086" s="1031" t="s">
        <v>239</v>
      </c>
      <c r="E1086" s="436" t="s">
        <v>559</v>
      </c>
      <c r="F1086" s="995">
        <v>1.7190771E7</v>
      </c>
      <c r="G1086" s="436" t="s">
        <v>103</v>
      </c>
      <c r="H1086" s="984" t="s">
        <v>6549</v>
      </c>
      <c r="I1086" s="984" t="s">
        <v>6542</v>
      </c>
      <c r="J1086" s="436" t="s">
        <v>243</v>
      </c>
      <c r="K1086" s="984" t="s">
        <v>6550</v>
      </c>
      <c r="L1086" s="987"/>
      <c r="M1086" s="987"/>
      <c r="N1086" s="987"/>
      <c r="O1086" s="987"/>
      <c r="P1086" s="987"/>
      <c r="Q1086" s="987"/>
      <c r="R1086" s="987"/>
      <c r="S1086" s="987"/>
      <c r="T1086" s="987"/>
      <c r="U1086" s="987"/>
      <c r="V1086" s="987"/>
      <c r="W1086" s="987"/>
      <c r="X1086" s="987"/>
      <c r="Y1086" s="987"/>
      <c r="Z1086" s="987"/>
      <c r="AA1086" s="986"/>
    </row>
    <row r="1087" hidden="1">
      <c r="A1087" s="995">
        <v>666.0</v>
      </c>
      <c r="B1087" s="996">
        <v>45169.0</v>
      </c>
      <c r="C1087" s="1034" t="s">
        <v>6551</v>
      </c>
      <c r="D1087" s="436" t="s">
        <v>814</v>
      </c>
      <c r="E1087" s="436" t="s">
        <v>559</v>
      </c>
      <c r="F1087" s="995">
        <v>1.8020264E7</v>
      </c>
      <c r="G1087" s="436" t="s">
        <v>32</v>
      </c>
      <c r="H1087" s="984" t="s">
        <v>815</v>
      </c>
      <c r="I1087" s="984" t="s">
        <v>6552</v>
      </c>
      <c r="J1087" s="436" t="s">
        <v>817</v>
      </c>
      <c r="K1087" s="987"/>
      <c r="L1087" s="987"/>
      <c r="M1087" s="987"/>
      <c r="N1087" s="987"/>
      <c r="O1087" s="987"/>
      <c r="P1087" s="987"/>
      <c r="Q1087" s="987"/>
      <c r="R1087" s="987"/>
      <c r="S1087" s="987"/>
      <c r="T1087" s="987"/>
      <c r="U1087" s="987"/>
      <c r="V1087" s="987"/>
      <c r="W1087" s="987"/>
      <c r="X1087" s="987"/>
      <c r="Y1087" s="987"/>
      <c r="Z1087" s="987"/>
      <c r="AA1087" s="986"/>
    </row>
    <row r="1088" hidden="1">
      <c r="A1088" s="1028">
        <v>817.0</v>
      </c>
      <c r="B1088" s="1033">
        <v>45259.0</v>
      </c>
      <c r="C1088" s="1030" t="s">
        <v>6553</v>
      </c>
      <c r="D1088" s="1031" t="s">
        <v>5179</v>
      </c>
      <c r="E1088" s="436" t="s">
        <v>559</v>
      </c>
      <c r="F1088" s="995">
        <v>1.7190776E7</v>
      </c>
      <c r="G1088" s="436" t="s">
        <v>103</v>
      </c>
      <c r="H1088" s="984" t="s">
        <v>6554</v>
      </c>
      <c r="I1088" s="984" t="s">
        <v>6555</v>
      </c>
      <c r="J1088" s="987"/>
      <c r="K1088" s="987"/>
      <c r="L1088" s="987"/>
      <c r="M1088" s="987"/>
      <c r="N1088" s="987"/>
      <c r="O1088" s="987"/>
      <c r="P1088" s="987"/>
      <c r="Q1088" s="987"/>
      <c r="R1088" s="987"/>
      <c r="S1088" s="987"/>
      <c r="T1088" s="987"/>
      <c r="U1088" s="987"/>
      <c r="V1088" s="987"/>
      <c r="W1088" s="987"/>
      <c r="X1088" s="987"/>
      <c r="Y1088" s="987"/>
      <c r="Z1088" s="987"/>
      <c r="AA1088" s="986"/>
    </row>
    <row r="1089" hidden="1">
      <c r="A1089" s="995">
        <v>907.0</v>
      </c>
      <c r="B1089" s="996">
        <v>45321.0</v>
      </c>
      <c r="C1089" s="984" t="s">
        <v>6553</v>
      </c>
      <c r="D1089" s="436" t="s">
        <v>5179</v>
      </c>
      <c r="E1089" s="436" t="s">
        <v>559</v>
      </c>
      <c r="F1089" s="995">
        <v>1.719081E7</v>
      </c>
      <c r="G1089" s="436" t="s">
        <v>103</v>
      </c>
      <c r="H1089" s="984" t="s">
        <v>6556</v>
      </c>
      <c r="I1089" s="1022" t="s">
        <v>6557</v>
      </c>
      <c r="J1089" s="436" t="s">
        <v>243</v>
      </c>
      <c r="K1089" s="436" t="s">
        <v>272</v>
      </c>
      <c r="L1089" s="436" t="s">
        <v>4581</v>
      </c>
      <c r="M1089" s="987"/>
      <c r="N1089" s="987"/>
      <c r="O1089" s="987"/>
      <c r="P1089" s="987"/>
      <c r="Q1089" s="987"/>
      <c r="R1089" s="987"/>
      <c r="S1089" s="987"/>
      <c r="T1089" s="987"/>
      <c r="U1089" s="987"/>
      <c r="V1089" s="987"/>
      <c r="W1089" s="987"/>
      <c r="X1089" s="987"/>
      <c r="Y1089" s="987"/>
      <c r="Z1089" s="987"/>
      <c r="AA1089" s="986"/>
    </row>
    <row r="1090" hidden="1">
      <c r="A1090" s="995">
        <v>665.0</v>
      </c>
      <c r="B1090" s="996">
        <v>45168.0</v>
      </c>
      <c r="C1090" s="984" t="s">
        <v>6558</v>
      </c>
      <c r="D1090" s="436" t="s">
        <v>814</v>
      </c>
      <c r="E1090" s="436" t="s">
        <v>559</v>
      </c>
      <c r="F1090" s="995">
        <v>1.8020285E7</v>
      </c>
      <c r="G1090" s="436" t="s">
        <v>32</v>
      </c>
      <c r="H1090" s="984" t="s">
        <v>6559</v>
      </c>
      <c r="I1090" s="984" t="s">
        <v>6560</v>
      </c>
      <c r="J1090" s="436" t="s">
        <v>817</v>
      </c>
      <c r="K1090" s="436" t="s">
        <v>6561</v>
      </c>
      <c r="L1090" s="987"/>
      <c r="M1090" s="987"/>
      <c r="N1090" s="987"/>
      <c r="O1090" s="987"/>
      <c r="P1090" s="987"/>
      <c r="Q1090" s="987"/>
      <c r="R1090" s="987"/>
      <c r="S1090" s="987"/>
      <c r="T1090" s="987"/>
      <c r="U1090" s="987"/>
      <c r="V1090" s="987"/>
      <c r="W1090" s="987"/>
      <c r="X1090" s="987"/>
      <c r="Y1090" s="987"/>
      <c r="Z1090" s="987"/>
      <c r="AA1090" s="986"/>
    </row>
    <row r="1091" hidden="1">
      <c r="A1091" s="995">
        <v>868.0</v>
      </c>
      <c r="B1091" s="996">
        <v>45205.0</v>
      </c>
      <c r="C1091" s="984" t="s">
        <v>6562</v>
      </c>
      <c r="D1091" s="436" t="s">
        <v>714</v>
      </c>
      <c r="E1091" s="436" t="s">
        <v>49</v>
      </c>
      <c r="F1091" s="995">
        <v>1.9230076E7</v>
      </c>
      <c r="G1091" s="436" t="s">
        <v>103</v>
      </c>
      <c r="H1091" s="984" t="s">
        <v>6563</v>
      </c>
      <c r="I1091" s="984" t="s">
        <v>6564</v>
      </c>
      <c r="J1091" s="987"/>
      <c r="K1091" s="987"/>
      <c r="L1091" s="987"/>
      <c r="M1091" s="987"/>
      <c r="N1091" s="987"/>
      <c r="O1091" s="987"/>
      <c r="P1091" s="987"/>
      <c r="Q1091" s="987"/>
      <c r="R1091" s="987"/>
      <c r="S1091" s="987"/>
      <c r="T1091" s="987"/>
      <c r="U1091" s="987"/>
      <c r="V1091" s="987"/>
      <c r="W1091" s="987"/>
      <c r="X1091" s="987"/>
      <c r="Y1091" s="987"/>
      <c r="Z1091" s="987"/>
      <c r="AA1091" s="986"/>
    </row>
    <row r="1092" hidden="1">
      <c r="A1092" s="995">
        <v>44.0</v>
      </c>
      <c r="B1092" s="1002">
        <v>43906.0</v>
      </c>
      <c r="C1092" s="1003" t="s">
        <v>4215</v>
      </c>
      <c r="D1092" s="1004" t="s">
        <v>1113</v>
      </c>
      <c r="E1092" s="1004" t="s">
        <v>3802</v>
      </c>
      <c r="F1092" s="1004" t="s">
        <v>50</v>
      </c>
      <c r="G1092" s="1004" t="s">
        <v>32</v>
      </c>
      <c r="H1092" s="1003" t="s">
        <v>6565</v>
      </c>
      <c r="I1092" s="1003" t="s">
        <v>6566</v>
      </c>
      <c r="J1092" s="436" t="s">
        <v>4849</v>
      </c>
      <c r="K1092" s="436" t="s">
        <v>6567</v>
      </c>
      <c r="L1092" s="436" t="s">
        <v>6568</v>
      </c>
      <c r="M1092" s="987"/>
      <c r="N1092" s="987"/>
      <c r="O1092" s="987"/>
      <c r="P1092" s="987"/>
      <c r="Q1092" s="987"/>
      <c r="R1092" s="436" t="s">
        <v>174</v>
      </c>
      <c r="S1092" s="995">
        <v>44215.0</v>
      </c>
      <c r="T1092" s="987"/>
      <c r="U1092" s="987"/>
      <c r="V1092" s="436" t="s">
        <v>150</v>
      </c>
      <c r="W1092" s="987"/>
      <c r="X1092" s="987"/>
      <c r="Y1092" s="987"/>
      <c r="Z1092" s="987"/>
      <c r="AA1092" s="986"/>
    </row>
    <row r="1093" hidden="1">
      <c r="A1093" s="995">
        <v>113.0</v>
      </c>
      <c r="B1093" s="996">
        <v>44336.0</v>
      </c>
      <c r="C1093" s="984" t="s">
        <v>4215</v>
      </c>
      <c r="D1093" s="436" t="s">
        <v>2639</v>
      </c>
      <c r="E1093" s="436" t="s">
        <v>3802</v>
      </c>
      <c r="F1093" s="1012">
        <v>1.8010053E7</v>
      </c>
      <c r="G1093" s="436" t="s">
        <v>32</v>
      </c>
      <c r="H1093" s="984" t="s">
        <v>6569</v>
      </c>
      <c r="I1093" s="984" t="s">
        <v>6570</v>
      </c>
      <c r="J1093" s="987"/>
      <c r="K1093" s="987"/>
      <c r="L1093" s="987"/>
      <c r="M1093" s="987"/>
      <c r="N1093" s="987"/>
      <c r="O1093" s="987"/>
      <c r="P1093" s="987"/>
      <c r="Q1093" s="987"/>
      <c r="R1093" s="987"/>
      <c r="S1093" s="987"/>
      <c r="T1093" s="987"/>
      <c r="U1093" s="987"/>
      <c r="V1093" s="987"/>
      <c r="W1093" s="987"/>
      <c r="X1093" s="987"/>
      <c r="Y1093" s="987"/>
      <c r="Z1093" s="987"/>
      <c r="AA1093" s="986"/>
    </row>
    <row r="1094" hidden="1">
      <c r="A1094" s="995">
        <v>410.0</v>
      </c>
      <c r="B1094" s="1006">
        <v>44851.0</v>
      </c>
      <c r="C1094" s="984" t="s">
        <v>6571</v>
      </c>
      <c r="D1094" s="436" t="s">
        <v>315</v>
      </c>
      <c r="E1094" s="436" t="s">
        <v>31</v>
      </c>
      <c r="F1094" s="436" t="s">
        <v>50</v>
      </c>
      <c r="G1094" s="436" t="s">
        <v>103</v>
      </c>
      <c r="H1094" s="984" t="s">
        <v>6572</v>
      </c>
      <c r="I1094" s="985" t="s">
        <v>6573</v>
      </c>
      <c r="J1094" s="436" t="s">
        <v>362</v>
      </c>
      <c r="K1094" s="436" t="s">
        <v>6574</v>
      </c>
      <c r="L1094" s="436" t="s">
        <v>737</v>
      </c>
      <c r="M1094" s="987"/>
      <c r="N1094" s="987"/>
      <c r="O1094" s="987"/>
      <c r="P1094" s="987"/>
      <c r="Q1094" s="987"/>
      <c r="R1094" s="436" t="s">
        <v>150</v>
      </c>
      <c r="S1094" s="987"/>
      <c r="T1094" s="987"/>
      <c r="U1094" s="987"/>
      <c r="V1094" s="987"/>
      <c r="W1094" s="987"/>
      <c r="X1094" s="987"/>
      <c r="Y1094" s="987"/>
      <c r="Z1094" s="987"/>
      <c r="AA1094" s="986"/>
    </row>
    <row r="1095" hidden="1">
      <c r="A1095" s="995">
        <v>386.0</v>
      </c>
      <c r="B1095" s="996">
        <v>44810.0</v>
      </c>
      <c r="C1095" s="984" t="s">
        <v>6575</v>
      </c>
      <c r="D1095" s="436" t="s">
        <v>1106</v>
      </c>
      <c r="E1095" s="436" t="s">
        <v>702</v>
      </c>
      <c r="F1095" s="436" t="s">
        <v>50</v>
      </c>
      <c r="G1095" s="436" t="s">
        <v>103</v>
      </c>
      <c r="H1095" s="984" t="s">
        <v>6576</v>
      </c>
      <c r="I1095" s="1022" t="s">
        <v>6577</v>
      </c>
      <c r="J1095" s="987"/>
      <c r="K1095" s="987"/>
      <c r="L1095" s="987"/>
      <c r="M1095" s="987"/>
      <c r="N1095" s="987"/>
      <c r="O1095" s="987"/>
      <c r="P1095" s="987"/>
      <c r="Q1095" s="987"/>
      <c r="R1095" s="987"/>
      <c r="S1095" s="987"/>
      <c r="T1095" s="987"/>
      <c r="U1095" s="987"/>
      <c r="V1095" s="987"/>
      <c r="W1095" s="987"/>
      <c r="X1095" s="987"/>
      <c r="Y1095" s="987"/>
      <c r="Z1095" s="987"/>
      <c r="AA1095" s="986"/>
    </row>
    <row r="1096" hidden="1">
      <c r="A1096" s="995">
        <v>1135.0</v>
      </c>
      <c r="B1096" s="996">
        <v>45448.0</v>
      </c>
      <c r="C1096" s="984" t="s">
        <v>5338</v>
      </c>
      <c r="D1096" s="436" t="s">
        <v>239</v>
      </c>
      <c r="E1096" s="436" t="s">
        <v>559</v>
      </c>
      <c r="F1096" s="995">
        <v>1.719058E7</v>
      </c>
      <c r="G1096" s="436" t="s">
        <v>103</v>
      </c>
      <c r="H1096" s="984" t="s">
        <v>6578</v>
      </c>
      <c r="I1096" s="985" t="s">
        <v>6579</v>
      </c>
      <c r="J1096" s="987"/>
      <c r="K1096" s="436" t="s">
        <v>243</v>
      </c>
      <c r="L1096" s="436" t="s">
        <v>5341</v>
      </c>
      <c r="M1096" s="436" t="s">
        <v>5342</v>
      </c>
      <c r="N1096" s="436" t="s">
        <v>62</v>
      </c>
      <c r="O1096" s="987"/>
      <c r="P1096" s="995">
        <v>45412.0</v>
      </c>
      <c r="Q1096" s="987"/>
      <c r="R1096" s="987"/>
      <c r="S1096" s="436" t="s">
        <v>62</v>
      </c>
      <c r="T1096" s="987"/>
      <c r="U1096" s="987"/>
      <c r="V1096" s="987"/>
      <c r="W1096" s="987"/>
      <c r="X1096" s="987"/>
      <c r="Y1096" s="987"/>
      <c r="Z1096" s="987"/>
      <c r="AA1096" s="986"/>
    </row>
    <row r="1097" hidden="1">
      <c r="A1097" s="995">
        <v>573.0</v>
      </c>
      <c r="B1097" s="996">
        <v>44774.0</v>
      </c>
      <c r="C1097" s="984" t="s">
        <v>5338</v>
      </c>
      <c r="D1097" s="436" t="s">
        <v>239</v>
      </c>
      <c r="E1097" s="436" t="s">
        <v>559</v>
      </c>
      <c r="F1097" s="995">
        <v>1.7190596E7</v>
      </c>
      <c r="G1097" s="436" t="s">
        <v>103</v>
      </c>
      <c r="H1097" s="984" t="s">
        <v>6580</v>
      </c>
      <c r="I1097" s="1014" t="s">
        <v>6581</v>
      </c>
      <c r="J1097" s="987"/>
      <c r="K1097" s="987"/>
      <c r="L1097" s="987"/>
      <c r="M1097" s="987"/>
      <c r="N1097" s="987"/>
      <c r="O1097" s="987"/>
      <c r="P1097" s="987"/>
      <c r="Q1097" s="987"/>
      <c r="R1097" s="987"/>
      <c r="S1097" s="987"/>
      <c r="T1097" s="987"/>
      <c r="U1097" s="987"/>
      <c r="V1097" s="987"/>
      <c r="W1097" s="987"/>
      <c r="X1097" s="987"/>
      <c r="Y1097" s="987"/>
      <c r="Z1097" s="987"/>
      <c r="AA1097" s="986"/>
    </row>
    <row r="1098" hidden="1">
      <c r="A1098" s="995">
        <v>636.0</v>
      </c>
      <c r="B1098" s="996">
        <v>45126.0</v>
      </c>
      <c r="C1098" s="984" t="s">
        <v>5781</v>
      </c>
      <c r="D1098" s="436" t="s">
        <v>499</v>
      </c>
      <c r="E1098" s="436" t="s">
        <v>1070</v>
      </c>
      <c r="F1098" s="436" t="s">
        <v>50</v>
      </c>
      <c r="G1098" s="436" t="s">
        <v>348</v>
      </c>
      <c r="H1098" s="984" t="s">
        <v>6582</v>
      </c>
      <c r="I1098" s="985" t="s">
        <v>6583</v>
      </c>
      <c r="J1098" s="436" t="s">
        <v>1073</v>
      </c>
      <c r="K1098" s="436" t="s">
        <v>554</v>
      </c>
      <c r="L1098" s="436" t="s">
        <v>5237</v>
      </c>
      <c r="M1098" s="987"/>
      <c r="N1098" s="987"/>
      <c r="O1098" s="987"/>
      <c r="P1098" s="987"/>
      <c r="Q1098" s="987"/>
      <c r="R1098" s="987"/>
      <c r="S1098" s="987"/>
      <c r="T1098" s="987"/>
      <c r="U1098" s="987"/>
      <c r="V1098" s="987"/>
      <c r="W1098" s="987"/>
      <c r="X1098" s="987"/>
      <c r="Y1098" s="987"/>
      <c r="Z1098" s="987"/>
      <c r="AA1098" s="986"/>
    </row>
    <row r="1099" hidden="1">
      <c r="A1099" s="995">
        <v>636.0</v>
      </c>
      <c r="B1099" s="996">
        <v>45126.0</v>
      </c>
      <c r="C1099" s="984" t="s">
        <v>5781</v>
      </c>
      <c r="D1099" s="436" t="s">
        <v>499</v>
      </c>
      <c r="E1099" s="436" t="s">
        <v>1070</v>
      </c>
      <c r="F1099" s="436" t="s">
        <v>50</v>
      </c>
      <c r="G1099" s="436" t="s">
        <v>348</v>
      </c>
      <c r="H1099" s="984" t="s">
        <v>6582</v>
      </c>
      <c r="I1099" s="985" t="s">
        <v>6584</v>
      </c>
      <c r="J1099" s="436" t="s">
        <v>1073</v>
      </c>
      <c r="K1099" s="436" t="s">
        <v>554</v>
      </c>
      <c r="L1099" s="436" t="s">
        <v>5237</v>
      </c>
      <c r="M1099" s="987"/>
      <c r="N1099" s="987"/>
      <c r="O1099" s="987"/>
      <c r="P1099" s="987"/>
      <c r="Q1099" s="987"/>
      <c r="R1099" s="987"/>
      <c r="S1099" s="987"/>
      <c r="T1099" s="987"/>
      <c r="U1099" s="987"/>
      <c r="V1099" s="987"/>
      <c r="W1099" s="987"/>
      <c r="X1099" s="987"/>
      <c r="Y1099" s="987"/>
      <c r="Z1099" s="987"/>
      <c r="AA1099" s="986"/>
    </row>
    <row r="1100" hidden="1">
      <c r="A1100" s="995">
        <v>498.0</v>
      </c>
      <c r="B1100" s="996">
        <v>44972.0</v>
      </c>
      <c r="C1100" s="984" t="s">
        <v>6585</v>
      </c>
      <c r="D1100" s="436" t="s">
        <v>2639</v>
      </c>
      <c r="E1100" s="436" t="s">
        <v>702</v>
      </c>
      <c r="F1100" s="995">
        <v>1.8010104E7</v>
      </c>
      <c r="G1100" s="436" t="s">
        <v>103</v>
      </c>
      <c r="H1100" s="984" t="s">
        <v>6586</v>
      </c>
      <c r="I1100" s="984" t="s">
        <v>6587</v>
      </c>
      <c r="J1100" s="436" t="s">
        <v>4849</v>
      </c>
      <c r="K1100" s="436" t="s">
        <v>6588</v>
      </c>
      <c r="L1100" s="436" t="s">
        <v>210</v>
      </c>
      <c r="M1100" s="987"/>
      <c r="N1100" s="987"/>
      <c r="O1100" s="987"/>
      <c r="P1100" s="987"/>
      <c r="Q1100" s="987"/>
      <c r="R1100" s="987"/>
      <c r="S1100" s="987"/>
      <c r="T1100" s="987"/>
      <c r="U1100" s="987"/>
      <c r="V1100" s="987"/>
      <c r="W1100" s="987"/>
      <c r="X1100" s="987"/>
      <c r="Y1100" s="987"/>
      <c r="Z1100" s="987"/>
      <c r="AA1100" s="986"/>
    </row>
    <row r="1101" hidden="1">
      <c r="A1101" s="995">
        <v>562.0</v>
      </c>
      <c r="B1101" s="996">
        <v>45002.0</v>
      </c>
      <c r="C1101" s="984" t="s">
        <v>6585</v>
      </c>
      <c r="D1101" s="436" t="s">
        <v>2639</v>
      </c>
      <c r="E1101" s="436" t="s">
        <v>702</v>
      </c>
      <c r="F1101" s="436" t="s">
        <v>50</v>
      </c>
      <c r="G1101" s="436" t="s">
        <v>103</v>
      </c>
      <c r="H1101" s="984" t="s">
        <v>6589</v>
      </c>
      <c r="I1101" s="984" t="s">
        <v>6590</v>
      </c>
      <c r="J1101" s="987"/>
      <c r="K1101" s="987"/>
      <c r="L1101" s="987"/>
      <c r="M1101" s="987"/>
      <c r="N1101" s="987"/>
      <c r="O1101" s="987"/>
      <c r="P1101" s="987"/>
      <c r="Q1101" s="987"/>
      <c r="R1101" s="987"/>
      <c r="S1101" s="987"/>
      <c r="T1101" s="987"/>
      <c r="U1101" s="987"/>
      <c r="V1101" s="987"/>
      <c r="W1101" s="987"/>
      <c r="X1101" s="987"/>
      <c r="Y1101" s="987"/>
      <c r="Z1101" s="987"/>
      <c r="AA1101" s="986"/>
    </row>
    <row r="1102" hidden="1">
      <c r="A1102" s="1012">
        <v>1.0</v>
      </c>
      <c r="B1102" s="1010">
        <v>42815.0</v>
      </c>
      <c r="C1102" s="997" t="s">
        <v>6591</v>
      </c>
      <c r="D1102" s="1011" t="s">
        <v>6592</v>
      </c>
      <c r="E1102" s="1011" t="s">
        <v>3978</v>
      </c>
      <c r="F1102" s="1011" t="s">
        <v>50</v>
      </c>
      <c r="G1102" s="997" t="s">
        <v>4574</v>
      </c>
      <c r="H1102" s="997" t="s">
        <v>6593</v>
      </c>
      <c r="I1102" s="997" t="s">
        <v>6594</v>
      </c>
      <c r="J1102" s="987"/>
      <c r="K1102" s="987"/>
      <c r="L1102" s="987"/>
      <c r="M1102" s="987"/>
      <c r="N1102" s="987"/>
      <c r="O1102" s="987"/>
      <c r="P1102" s="987"/>
      <c r="Q1102" s="987"/>
      <c r="R1102" s="987"/>
      <c r="S1102" s="987"/>
      <c r="T1102" s="987"/>
      <c r="U1102" s="987"/>
      <c r="V1102" s="987"/>
      <c r="W1102" s="987"/>
      <c r="X1102" s="987"/>
      <c r="Y1102" s="987"/>
      <c r="Z1102" s="987"/>
      <c r="AA1102" s="986"/>
    </row>
    <row r="1103" hidden="1">
      <c r="A1103" s="995">
        <v>10.0</v>
      </c>
      <c r="B1103" s="1006">
        <v>43398.0</v>
      </c>
      <c r="C1103" s="984" t="s">
        <v>6595</v>
      </c>
      <c r="D1103" s="436" t="s">
        <v>506</v>
      </c>
      <c r="E1103" s="436" t="s">
        <v>305</v>
      </c>
      <c r="F1103" s="995">
        <v>1.7240478E7</v>
      </c>
      <c r="G1103" s="436" t="s">
        <v>32</v>
      </c>
      <c r="H1103" s="984" t="s">
        <v>6596</v>
      </c>
      <c r="I1103" s="997" t="s">
        <v>6597</v>
      </c>
      <c r="J1103" s="436" t="s">
        <v>3079</v>
      </c>
      <c r="K1103" s="987"/>
      <c r="L1103" s="987"/>
      <c r="M1103" s="987"/>
      <c r="N1103" s="987"/>
      <c r="O1103" s="987"/>
      <c r="P1103" s="987"/>
      <c r="Q1103" s="987"/>
      <c r="R1103" s="987"/>
      <c r="S1103" s="987"/>
      <c r="T1103" s="436" t="s">
        <v>62</v>
      </c>
      <c r="U1103" s="995">
        <v>44239.0</v>
      </c>
      <c r="V1103" s="987"/>
      <c r="W1103" s="987"/>
      <c r="X1103" s="987"/>
      <c r="Y1103" s="987"/>
      <c r="Z1103" s="987"/>
      <c r="AA1103" s="986"/>
    </row>
    <row r="1104" hidden="1">
      <c r="A1104" s="995">
        <v>12.0</v>
      </c>
      <c r="B1104" s="1006">
        <v>43417.0</v>
      </c>
      <c r="C1104" s="984" t="s">
        <v>6595</v>
      </c>
      <c r="D1104" s="436" t="s">
        <v>506</v>
      </c>
      <c r="E1104" s="436" t="s">
        <v>305</v>
      </c>
      <c r="F1104" s="436" t="s">
        <v>50</v>
      </c>
      <c r="G1104" s="436" t="s">
        <v>120</v>
      </c>
      <c r="H1104" s="984" t="s">
        <v>6598</v>
      </c>
      <c r="I1104" s="1035"/>
      <c r="J1104" s="436" t="s">
        <v>3079</v>
      </c>
      <c r="K1104" s="987"/>
      <c r="L1104" s="987"/>
      <c r="M1104" s="987"/>
      <c r="N1104" s="987"/>
      <c r="O1104" s="987"/>
      <c r="P1104" s="987"/>
      <c r="Q1104" s="987"/>
      <c r="R1104" s="987"/>
      <c r="S1104" s="987"/>
      <c r="T1104" s="987"/>
      <c r="U1104" s="987"/>
      <c r="V1104" s="987"/>
      <c r="W1104" s="987"/>
      <c r="X1104" s="987"/>
      <c r="Y1104" s="987"/>
      <c r="Z1104" s="987"/>
      <c r="AA1104" s="986"/>
    </row>
    <row r="1105" hidden="1">
      <c r="A1105" s="995">
        <v>13.0</v>
      </c>
      <c r="B1105" s="1006">
        <v>43452.0</v>
      </c>
      <c r="C1105" s="984" t="s">
        <v>6599</v>
      </c>
      <c r="D1105" s="436" t="s">
        <v>198</v>
      </c>
      <c r="E1105" s="436" t="s">
        <v>3970</v>
      </c>
      <c r="F1105" s="436" t="s">
        <v>50</v>
      </c>
      <c r="G1105" s="984" t="s">
        <v>4662</v>
      </c>
      <c r="H1105" s="984" t="s">
        <v>6600</v>
      </c>
      <c r="I1105" s="1035"/>
      <c r="J1105" s="987"/>
      <c r="K1105" s="987"/>
      <c r="L1105" s="987"/>
      <c r="M1105" s="987"/>
      <c r="N1105" s="987"/>
      <c r="O1105" s="987"/>
      <c r="P1105" s="987"/>
      <c r="Q1105" s="987"/>
      <c r="R1105" s="987"/>
      <c r="S1105" s="987"/>
      <c r="T1105" s="987"/>
      <c r="U1105" s="987"/>
      <c r="V1105" s="987"/>
      <c r="W1105" s="987"/>
      <c r="X1105" s="987"/>
      <c r="Y1105" s="987"/>
      <c r="Z1105" s="987"/>
      <c r="AA1105" s="986"/>
    </row>
    <row r="1106" hidden="1">
      <c r="A1106" s="995">
        <v>14.0</v>
      </c>
      <c r="B1106" s="996">
        <v>43477.0</v>
      </c>
      <c r="C1106" s="984" t="s">
        <v>6601</v>
      </c>
      <c r="D1106" s="436" t="s">
        <v>4628</v>
      </c>
      <c r="E1106" s="436" t="s">
        <v>4629</v>
      </c>
      <c r="F1106" s="436" t="s">
        <v>50</v>
      </c>
      <c r="G1106" s="984" t="s">
        <v>3347</v>
      </c>
      <c r="H1106" s="984" t="s">
        <v>6602</v>
      </c>
      <c r="I1106" s="1003" t="s">
        <v>6603</v>
      </c>
      <c r="J1106" s="987"/>
      <c r="K1106" s="987"/>
      <c r="L1106" s="987"/>
      <c r="M1106" s="987"/>
      <c r="N1106" s="987"/>
      <c r="O1106" s="987"/>
      <c r="P1106" s="987"/>
      <c r="Q1106" s="987"/>
      <c r="R1106" s="987"/>
      <c r="S1106" s="987"/>
      <c r="T1106" s="987"/>
      <c r="U1106" s="987"/>
      <c r="V1106" s="987"/>
      <c r="W1106" s="987"/>
      <c r="X1106" s="987"/>
      <c r="Y1106" s="987"/>
      <c r="Z1106" s="987"/>
      <c r="AA1106" s="986"/>
    </row>
    <row r="1107" hidden="1">
      <c r="A1107" s="995">
        <v>16.0</v>
      </c>
      <c r="B1107" s="996">
        <v>43505.0</v>
      </c>
      <c r="C1107" s="984" t="s">
        <v>6604</v>
      </c>
      <c r="D1107" s="436" t="s">
        <v>4076</v>
      </c>
      <c r="E1107" s="436" t="s">
        <v>4077</v>
      </c>
      <c r="F1107" s="436" t="s">
        <v>50</v>
      </c>
      <c r="G1107" s="984" t="s">
        <v>6605</v>
      </c>
      <c r="H1107" s="984" t="s">
        <v>6606</v>
      </c>
      <c r="I1107" s="997" t="s">
        <v>6607</v>
      </c>
      <c r="J1107" s="987"/>
      <c r="K1107" s="987"/>
      <c r="L1107" s="987"/>
      <c r="M1107" s="987"/>
      <c r="N1107" s="987"/>
      <c r="O1107" s="987"/>
      <c r="P1107" s="987"/>
      <c r="Q1107" s="987"/>
      <c r="R1107" s="987"/>
      <c r="S1107" s="987"/>
      <c r="T1107" s="987"/>
      <c r="U1107" s="987"/>
      <c r="V1107" s="987"/>
      <c r="W1107" s="987"/>
      <c r="X1107" s="987"/>
      <c r="Y1107" s="987"/>
      <c r="Z1107" s="987"/>
      <c r="AA1107" s="986"/>
    </row>
    <row r="1108" hidden="1">
      <c r="A1108" s="995">
        <v>18.0</v>
      </c>
      <c r="B1108" s="996">
        <v>43521.0</v>
      </c>
      <c r="C1108" s="984" t="s">
        <v>4621</v>
      </c>
      <c r="D1108" s="436" t="s">
        <v>506</v>
      </c>
      <c r="E1108" s="436" t="s">
        <v>305</v>
      </c>
      <c r="F1108" s="995">
        <v>1.7240747E7</v>
      </c>
      <c r="G1108" s="987"/>
      <c r="H1108" s="984" t="s">
        <v>6608</v>
      </c>
      <c r="I1108" s="997" t="s">
        <v>6609</v>
      </c>
      <c r="J1108" s="436" t="s">
        <v>3079</v>
      </c>
      <c r="K1108" s="436" t="s">
        <v>1993</v>
      </c>
      <c r="L1108" s="436" t="s">
        <v>5163</v>
      </c>
      <c r="M1108" s="987"/>
      <c r="N1108" s="987"/>
      <c r="O1108" s="987"/>
      <c r="P1108" s="987"/>
      <c r="Q1108" s="987"/>
      <c r="R1108" s="436" t="s">
        <v>174</v>
      </c>
      <c r="S1108" s="995">
        <v>44159.0</v>
      </c>
      <c r="T1108" s="987"/>
      <c r="U1108" s="987"/>
      <c r="V1108" s="987"/>
      <c r="W1108" s="987"/>
      <c r="X1108" s="987"/>
      <c r="Y1108" s="987"/>
      <c r="Z1108" s="987"/>
      <c r="AA1108" s="986"/>
    </row>
    <row r="1109" hidden="1">
      <c r="A1109" s="995">
        <v>29.0</v>
      </c>
      <c r="B1109" s="996">
        <v>43612.0</v>
      </c>
      <c r="C1109" s="984" t="s">
        <v>6610</v>
      </c>
      <c r="D1109" s="436" t="s">
        <v>6611</v>
      </c>
      <c r="E1109" s="436" t="s">
        <v>1028</v>
      </c>
      <c r="F1109" s="995">
        <v>1.7060053E7</v>
      </c>
      <c r="G1109" s="436" t="s">
        <v>32</v>
      </c>
      <c r="H1109" s="984" t="s">
        <v>6612</v>
      </c>
      <c r="I1109" s="997" t="s">
        <v>6613</v>
      </c>
      <c r="J1109" s="987"/>
      <c r="K1109" s="987"/>
      <c r="L1109" s="987"/>
      <c r="M1109" s="987"/>
      <c r="N1109" s="987"/>
      <c r="O1109" s="987"/>
      <c r="P1109" s="987"/>
      <c r="Q1109" s="987"/>
      <c r="R1109" s="987"/>
      <c r="S1109" s="987"/>
      <c r="T1109" s="987"/>
      <c r="U1109" s="987"/>
      <c r="V1109" s="987"/>
      <c r="W1109" s="987"/>
      <c r="X1109" s="987"/>
      <c r="Y1109" s="987"/>
      <c r="Z1109" s="987"/>
      <c r="AA1109" s="986"/>
    </row>
    <row r="1110" hidden="1">
      <c r="A1110" s="995">
        <v>30.0</v>
      </c>
      <c r="B1110" s="996">
        <v>43660.0</v>
      </c>
      <c r="C1110" s="984" t="s">
        <v>4621</v>
      </c>
      <c r="D1110" s="436" t="s">
        <v>506</v>
      </c>
      <c r="E1110" s="436" t="s">
        <v>305</v>
      </c>
      <c r="F1110" s="995">
        <v>1.7240739E7</v>
      </c>
      <c r="G1110" s="987"/>
      <c r="H1110" s="984" t="s">
        <v>6614</v>
      </c>
      <c r="I1110" s="997" t="s">
        <v>6615</v>
      </c>
      <c r="J1110" s="436" t="s">
        <v>3079</v>
      </c>
      <c r="K1110" s="436" t="s">
        <v>6490</v>
      </c>
      <c r="L1110" s="436" t="s">
        <v>4637</v>
      </c>
      <c r="M1110" s="987"/>
      <c r="N1110" s="987"/>
      <c r="O1110" s="987"/>
      <c r="P1110" s="987"/>
      <c r="Q1110" s="987"/>
      <c r="R1110" s="987"/>
      <c r="S1110" s="987"/>
      <c r="T1110" s="987"/>
      <c r="U1110" s="987"/>
      <c r="V1110" s="987"/>
      <c r="W1110" s="987"/>
      <c r="X1110" s="987"/>
      <c r="Y1110" s="987"/>
      <c r="Z1110" s="987"/>
      <c r="AA1110" s="986"/>
    </row>
    <row r="1111" hidden="1">
      <c r="A1111" s="995">
        <v>33.0</v>
      </c>
      <c r="B1111" s="996">
        <v>43741.0</v>
      </c>
      <c r="C1111" s="984" t="s">
        <v>6616</v>
      </c>
      <c r="D1111" s="984" t="s">
        <v>6617</v>
      </c>
      <c r="E1111" s="436" t="s">
        <v>4117</v>
      </c>
      <c r="F1111" s="436" t="s">
        <v>50</v>
      </c>
      <c r="G1111" s="984" t="s">
        <v>4619</v>
      </c>
      <c r="H1111" s="984" t="s">
        <v>6618</v>
      </c>
      <c r="I1111" s="999" t="s">
        <v>6619</v>
      </c>
      <c r="J1111" s="436" t="s">
        <v>6620</v>
      </c>
      <c r="K1111" s="436" t="s">
        <v>138</v>
      </c>
      <c r="L1111" s="436" t="s">
        <v>5163</v>
      </c>
      <c r="M1111" s="987"/>
      <c r="N1111" s="987"/>
      <c r="O1111" s="987"/>
      <c r="P1111" s="987"/>
      <c r="Q1111" s="987"/>
      <c r="R1111" s="987"/>
      <c r="S1111" s="987"/>
      <c r="T1111" s="987"/>
      <c r="U1111" s="987"/>
      <c r="V1111" s="987"/>
      <c r="W1111" s="987"/>
      <c r="X1111" s="987"/>
      <c r="Y1111" s="987"/>
      <c r="Z1111" s="987"/>
      <c r="AA1111" s="986"/>
    </row>
    <row r="1112" hidden="1">
      <c r="A1112" s="995">
        <v>34.0</v>
      </c>
      <c r="B1112" s="996">
        <v>43774.0</v>
      </c>
      <c r="C1112" s="984" t="s">
        <v>6621</v>
      </c>
      <c r="D1112" s="436" t="s">
        <v>530</v>
      </c>
      <c r="E1112" s="436" t="s">
        <v>305</v>
      </c>
      <c r="F1112" s="436" t="s">
        <v>50</v>
      </c>
      <c r="G1112" s="436" t="s">
        <v>112</v>
      </c>
      <c r="H1112" s="984" t="s">
        <v>6622</v>
      </c>
      <c r="I1112" s="997" t="s">
        <v>6623</v>
      </c>
      <c r="J1112" s="436" t="s">
        <v>6624</v>
      </c>
      <c r="K1112" s="436" t="s">
        <v>6625</v>
      </c>
      <c r="L1112" s="436" t="s">
        <v>6626</v>
      </c>
      <c r="M1112" s="987"/>
      <c r="N1112" s="987"/>
      <c r="O1112" s="987"/>
      <c r="P1112" s="987"/>
      <c r="Q1112" s="987"/>
      <c r="R1112" s="987"/>
      <c r="S1112" s="987"/>
      <c r="T1112" s="987"/>
      <c r="U1112" s="987"/>
      <c r="V1112" s="987"/>
      <c r="W1112" s="987"/>
      <c r="X1112" s="987"/>
      <c r="Y1112" s="987"/>
      <c r="Z1112" s="987"/>
      <c r="AA1112" s="986"/>
    </row>
    <row r="1113" hidden="1">
      <c r="A1113" s="995">
        <v>35.0</v>
      </c>
      <c r="B1113" s="996">
        <v>43774.0</v>
      </c>
      <c r="C1113" s="984" t="s">
        <v>6621</v>
      </c>
      <c r="D1113" s="436" t="s">
        <v>530</v>
      </c>
      <c r="E1113" s="436" t="s">
        <v>305</v>
      </c>
      <c r="F1113" s="436" t="s">
        <v>50</v>
      </c>
      <c r="G1113" s="984" t="s">
        <v>6627</v>
      </c>
      <c r="H1113" s="984" t="s">
        <v>6622</v>
      </c>
      <c r="I1113" s="997" t="s">
        <v>6623</v>
      </c>
      <c r="J1113" s="436" t="s">
        <v>6624</v>
      </c>
      <c r="K1113" s="436" t="s">
        <v>6625</v>
      </c>
      <c r="L1113" s="436" t="s">
        <v>6626</v>
      </c>
      <c r="M1113" s="987"/>
      <c r="N1113" s="987"/>
      <c r="O1113" s="987"/>
      <c r="P1113" s="987"/>
      <c r="Q1113" s="987"/>
      <c r="R1113" s="987"/>
      <c r="S1113" s="987"/>
      <c r="T1113" s="987"/>
      <c r="U1113" s="987"/>
      <c r="V1113" s="987"/>
      <c r="W1113" s="987"/>
      <c r="X1113" s="987"/>
      <c r="Y1113" s="987"/>
      <c r="Z1113" s="987"/>
      <c r="AA1113" s="986"/>
    </row>
    <row r="1114" hidden="1">
      <c r="A1114" s="995">
        <v>36.0</v>
      </c>
      <c r="B1114" s="1006">
        <v>43788.0</v>
      </c>
      <c r="C1114" s="984" t="s">
        <v>6628</v>
      </c>
      <c r="D1114" s="436" t="s">
        <v>2522</v>
      </c>
      <c r="E1114" s="436" t="s">
        <v>3817</v>
      </c>
      <c r="F1114" s="436" t="s">
        <v>50</v>
      </c>
      <c r="G1114" s="436" t="s">
        <v>120</v>
      </c>
      <c r="H1114" s="984" t="s">
        <v>6629</v>
      </c>
      <c r="I1114" s="997" t="s">
        <v>6630</v>
      </c>
      <c r="J1114" s="987"/>
      <c r="K1114" s="987"/>
      <c r="L1114" s="987"/>
      <c r="M1114" s="987"/>
      <c r="N1114" s="987"/>
      <c r="O1114" s="987"/>
      <c r="P1114" s="987"/>
      <c r="Q1114" s="987"/>
      <c r="R1114" s="987"/>
      <c r="S1114" s="987"/>
      <c r="T1114" s="987"/>
      <c r="U1114" s="987"/>
      <c r="V1114" s="436" t="s">
        <v>150</v>
      </c>
      <c r="W1114" s="987"/>
      <c r="X1114" s="987"/>
      <c r="Y1114" s="987"/>
      <c r="Z1114" s="987"/>
      <c r="AA1114" s="986"/>
    </row>
    <row r="1115" hidden="1">
      <c r="A1115" s="995">
        <v>45.0</v>
      </c>
      <c r="B1115" s="996">
        <v>43931.0</v>
      </c>
      <c r="C1115" s="984" t="s">
        <v>6631</v>
      </c>
      <c r="D1115" s="436" t="s">
        <v>2530</v>
      </c>
      <c r="E1115" s="436" t="s">
        <v>3978</v>
      </c>
      <c r="F1115" s="995">
        <v>1.8610129E7</v>
      </c>
      <c r="G1115" s="436" t="s">
        <v>112</v>
      </c>
      <c r="H1115" s="984" t="s">
        <v>6632</v>
      </c>
      <c r="I1115" s="997" t="s">
        <v>6633</v>
      </c>
      <c r="J1115" s="987"/>
      <c r="K1115" s="987"/>
      <c r="L1115" s="987"/>
      <c r="M1115" s="987"/>
      <c r="N1115" s="987"/>
      <c r="O1115" s="987"/>
      <c r="P1115" s="987"/>
      <c r="Q1115" s="987"/>
      <c r="R1115" s="987"/>
      <c r="S1115" s="987"/>
      <c r="T1115" s="987"/>
      <c r="U1115" s="987"/>
      <c r="V1115" s="987"/>
      <c r="W1115" s="987"/>
      <c r="X1115" s="987"/>
      <c r="Y1115" s="987"/>
      <c r="Z1115" s="987"/>
      <c r="AA1115" s="986"/>
    </row>
    <row r="1116" hidden="1">
      <c r="A1116" s="995">
        <v>46.0</v>
      </c>
      <c r="B1116" s="996">
        <v>43970.0</v>
      </c>
      <c r="C1116" s="984" t="s">
        <v>6634</v>
      </c>
      <c r="D1116" s="436" t="s">
        <v>30</v>
      </c>
      <c r="E1116" s="436" t="s">
        <v>50</v>
      </c>
      <c r="F1116" s="995">
        <v>1.8590016E7</v>
      </c>
      <c r="G1116" s="436" t="s">
        <v>3909</v>
      </c>
      <c r="H1116" s="984" t="s">
        <v>6635</v>
      </c>
      <c r="I1116" s="1036" t="s">
        <v>6636</v>
      </c>
      <c r="J1116" s="987"/>
      <c r="K1116" s="987"/>
      <c r="L1116" s="987"/>
      <c r="M1116" s="987"/>
      <c r="N1116" s="987"/>
      <c r="O1116" s="987"/>
      <c r="P1116" s="987"/>
      <c r="Q1116" s="987"/>
      <c r="R1116" s="987"/>
      <c r="S1116" s="987"/>
      <c r="T1116" s="987"/>
      <c r="U1116" s="987"/>
      <c r="V1116" s="987"/>
      <c r="W1116" s="987"/>
      <c r="X1116" s="987"/>
      <c r="Y1116" s="987"/>
      <c r="Z1116" s="987"/>
      <c r="AA1116" s="986"/>
    </row>
    <row r="1117" hidden="1">
      <c r="A1117" s="995">
        <v>48.0</v>
      </c>
      <c r="B1117" s="996">
        <v>43976.0</v>
      </c>
      <c r="C1117" s="984" t="s">
        <v>6637</v>
      </c>
      <c r="D1117" s="436" t="s">
        <v>506</v>
      </c>
      <c r="E1117" s="436" t="s">
        <v>305</v>
      </c>
      <c r="F1117" s="995">
        <v>1.7241168E7</v>
      </c>
      <c r="G1117" s="987"/>
      <c r="H1117" s="984" t="s">
        <v>6638</v>
      </c>
      <c r="I1117" s="997" t="s">
        <v>6639</v>
      </c>
      <c r="J1117" s="436" t="s">
        <v>3079</v>
      </c>
      <c r="K1117" s="984" t="s">
        <v>6640</v>
      </c>
      <c r="L1117" s="987"/>
      <c r="M1117" s="987"/>
      <c r="N1117" s="987"/>
      <c r="O1117" s="987"/>
      <c r="P1117" s="987"/>
      <c r="Q1117" s="987"/>
      <c r="R1117" s="436" t="s">
        <v>174</v>
      </c>
      <c r="S1117" s="995">
        <v>44387.0</v>
      </c>
      <c r="T1117" s="987"/>
      <c r="U1117" s="987"/>
      <c r="V1117" s="436" t="s">
        <v>62</v>
      </c>
      <c r="W1117" s="987"/>
      <c r="X1117" s="987"/>
      <c r="Y1117" s="987"/>
      <c r="Z1117" s="987"/>
      <c r="AA1117" s="986"/>
    </row>
    <row r="1118" hidden="1">
      <c r="A1118" s="995">
        <v>49.0</v>
      </c>
      <c r="B1118" s="996">
        <v>43980.0</v>
      </c>
      <c r="C1118" s="984" t="s">
        <v>6641</v>
      </c>
      <c r="D1118" s="436" t="s">
        <v>3301</v>
      </c>
      <c r="E1118" s="436" t="s">
        <v>1132</v>
      </c>
      <c r="F1118" s="995">
        <v>1.7611247E7</v>
      </c>
      <c r="G1118" s="984" t="s">
        <v>4644</v>
      </c>
      <c r="H1118" s="984" t="s">
        <v>6642</v>
      </c>
      <c r="I1118" s="1036" t="s">
        <v>6643</v>
      </c>
      <c r="J1118" s="987"/>
      <c r="K1118" s="987"/>
      <c r="L1118" s="987"/>
      <c r="M1118" s="987"/>
      <c r="N1118" s="987"/>
      <c r="O1118" s="987"/>
      <c r="P1118" s="987"/>
      <c r="Q1118" s="987"/>
      <c r="R1118" s="987"/>
      <c r="S1118" s="987"/>
      <c r="T1118" s="987"/>
      <c r="U1118" s="987"/>
      <c r="V1118" s="987"/>
      <c r="W1118" s="987"/>
      <c r="X1118" s="987"/>
      <c r="Y1118" s="987"/>
      <c r="Z1118" s="987"/>
      <c r="AA1118" s="986"/>
    </row>
    <row r="1119" hidden="1">
      <c r="A1119" s="995">
        <v>50.0</v>
      </c>
      <c r="B1119" s="996">
        <v>43992.0</v>
      </c>
      <c r="C1119" s="984" t="s">
        <v>6644</v>
      </c>
      <c r="D1119" s="436" t="s">
        <v>4628</v>
      </c>
      <c r="E1119" s="436" t="s">
        <v>4629</v>
      </c>
      <c r="F1119" s="436" t="s">
        <v>50</v>
      </c>
      <c r="G1119" s="984" t="s">
        <v>3347</v>
      </c>
      <c r="H1119" s="984" t="s">
        <v>6645</v>
      </c>
      <c r="I1119" s="1036" t="s">
        <v>6646</v>
      </c>
      <c r="J1119" s="987"/>
      <c r="K1119" s="987"/>
      <c r="L1119" s="987"/>
      <c r="M1119" s="987"/>
      <c r="N1119" s="987"/>
      <c r="O1119" s="987"/>
      <c r="P1119" s="987"/>
      <c r="Q1119" s="987"/>
      <c r="R1119" s="987"/>
      <c r="S1119" s="987"/>
      <c r="T1119" s="987"/>
      <c r="U1119" s="987"/>
      <c r="V1119" s="987"/>
      <c r="W1119" s="987"/>
      <c r="X1119" s="987"/>
      <c r="Y1119" s="987"/>
      <c r="Z1119" s="987"/>
      <c r="AA1119" s="986"/>
    </row>
    <row r="1120" hidden="1">
      <c r="A1120" s="995">
        <v>51.0</v>
      </c>
      <c r="B1120" s="996">
        <v>43993.0</v>
      </c>
      <c r="C1120" s="984" t="s">
        <v>6647</v>
      </c>
      <c r="D1120" s="436" t="s">
        <v>2950</v>
      </c>
      <c r="E1120" s="436" t="s">
        <v>3978</v>
      </c>
      <c r="F1120" s="995">
        <v>1.8210044E7</v>
      </c>
      <c r="G1120" s="436" t="s">
        <v>3961</v>
      </c>
      <c r="H1120" s="984" t="s">
        <v>6648</v>
      </c>
      <c r="I1120" s="984" t="s">
        <v>6649</v>
      </c>
      <c r="J1120" s="436" t="s">
        <v>3699</v>
      </c>
      <c r="K1120" s="436" t="s">
        <v>138</v>
      </c>
      <c r="L1120" s="436" t="s">
        <v>6650</v>
      </c>
      <c r="M1120" s="987"/>
      <c r="N1120" s="987"/>
      <c r="O1120" s="987"/>
      <c r="P1120" s="987"/>
      <c r="Q1120" s="987"/>
      <c r="R1120" s="436" t="s">
        <v>62</v>
      </c>
      <c r="S1120" s="995">
        <v>44406.0</v>
      </c>
      <c r="T1120" s="987"/>
      <c r="U1120" s="987"/>
      <c r="V1120" s="987"/>
      <c r="W1120" s="987"/>
      <c r="X1120" s="987"/>
      <c r="Y1120" s="987"/>
      <c r="Z1120" s="987"/>
      <c r="AA1120" s="986"/>
    </row>
    <row r="1121" hidden="1">
      <c r="A1121" s="990">
        <v>53.0</v>
      </c>
      <c r="B1121" s="988">
        <v>43998.0</v>
      </c>
      <c r="C1121" s="989" t="s">
        <v>6651</v>
      </c>
      <c r="D1121" s="434" t="s">
        <v>6652</v>
      </c>
      <c r="E1121" s="434" t="s">
        <v>4000</v>
      </c>
      <c r="F1121" s="990">
        <v>1.870004E7</v>
      </c>
      <c r="G1121" s="434" t="s">
        <v>32</v>
      </c>
      <c r="H1121" s="989" t="s">
        <v>6653</v>
      </c>
      <c r="I1121" s="989" t="s">
        <v>6654</v>
      </c>
      <c r="J1121" s="987"/>
      <c r="K1121" s="987"/>
      <c r="L1121" s="987"/>
      <c r="M1121" s="987"/>
      <c r="N1121" s="987"/>
      <c r="O1121" s="987"/>
      <c r="P1121" s="987"/>
      <c r="Q1121" s="987"/>
      <c r="R1121" s="987"/>
      <c r="S1121" s="987"/>
      <c r="T1121" s="987"/>
      <c r="U1121" s="987"/>
      <c r="V1121" s="987"/>
      <c r="W1121" s="987"/>
      <c r="X1121" s="987"/>
      <c r="Y1121" s="987"/>
      <c r="Z1121" s="987"/>
      <c r="AA1121" s="986"/>
    </row>
    <row r="1122" hidden="1">
      <c r="A1122" s="995">
        <v>56.0</v>
      </c>
      <c r="B1122" s="996">
        <v>44028.0</v>
      </c>
      <c r="C1122" s="984" t="s">
        <v>6637</v>
      </c>
      <c r="D1122" s="436" t="s">
        <v>506</v>
      </c>
      <c r="E1122" s="436" t="s">
        <v>50</v>
      </c>
      <c r="F1122" s="995">
        <v>1.724135E7</v>
      </c>
      <c r="G1122" s="436" t="s">
        <v>4012</v>
      </c>
      <c r="H1122" s="984" t="s">
        <v>6655</v>
      </c>
      <c r="I1122" s="997" t="s">
        <v>6656</v>
      </c>
      <c r="J1122" s="436" t="s">
        <v>3079</v>
      </c>
      <c r="K1122" s="987"/>
      <c r="L1122" s="987"/>
      <c r="M1122" s="987"/>
      <c r="N1122" s="987"/>
      <c r="O1122" s="987"/>
      <c r="P1122" s="987"/>
      <c r="Q1122" s="987"/>
      <c r="R1122" s="987"/>
      <c r="S1122" s="987"/>
      <c r="T1122" s="987"/>
      <c r="U1122" s="987"/>
      <c r="V1122" s="436" t="s">
        <v>62</v>
      </c>
      <c r="W1122" s="995">
        <v>44621.0</v>
      </c>
      <c r="X1122" s="987"/>
      <c r="Y1122" s="987"/>
      <c r="Z1122" s="987"/>
      <c r="AA1122" s="986"/>
    </row>
    <row r="1123" hidden="1">
      <c r="A1123" s="995">
        <v>57.0</v>
      </c>
      <c r="B1123" s="996">
        <v>44033.0</v>
      </c>
      <c r="C1123" s="997" t="s">
        <v>4793</v>
      </c>
      <c r="D1123" s="1011" t="s">
        <v>530</v>
      </c>
      <c r="E1123" s="1011" t="s">
        <v>4061</v>
      </c>
      <c r="F1123" s="1011" t="s">
        <v>4472</v>
      </c>
      <c r="G1123" s="1011" t="s">
        <v>51</v>
      </c>
      <c r="H1123" s="997" t="s">
        <v>4062</v>
      </c>
      <c r="I1123" s="997" t="s">
        <v>6657</v>
      </c>
      <c r="J1123" s="987"/>
      <c r="K1123" s="987"/>
      <c r="L1123" s="987"/>
      <c r="M1123" s="987"/>
      <c r="N1123" s="436" t="s">
        <v>150</v>
      </c>
      <c r="O1123" s="987"/>
      <c r="P1123" s="987"/>
      <c r="Q1123" s="987"/>
      <c r="R1123" s="987"/>
      <c r="S1123" s="987"/>
      <c r="T1123" s="987"/>
      <c r="U1123" s="987"/>
      <c r="V1123" s="987"/>
      <c r="W1123" s="987"/>
      <c r="X1123" s="987"/>
      <c r="Y1123" s="987"/>
      <c r="Z1123" s="987"/>
      <c r="AA1123" s="986"/>
    </row>
    <row r="1124" hidden="1">
      <c r="A1124" s="995">
        <v>58.0</v>
      </c>
      <c r="B1124" s="996">
        <v>44033.0</v>
      </c>
      <c r="C1124" s="997" t="s">
        <v>4793</v>
      </c>
      <c r="D1124" s="1011" t="s">
        <v>530</v>
      </c>
      <c r="E1124" s="1011" t="s">
        <v>4061</v>
      </c>
      <c r="F1124" s="1011" t="s">
        <v>6658</v>
      </c>
      <c r="G1124" s="1011" t="s">
        <v>51</v>
      </c>
      <c r="H1124" s="997" t="s">
        <v>4062</v>
      </c>
      <c r="I1124" s="997" t="s">
        <v>6657</v>
      </c>
      <c r="J1124" s="987"/>
      <c r="K1124" s="987"/>
      <c r="L1124" s="987"/>
      <c r="M1124" s="987"/>
      <c r="N1124" s="436" t="s">
        <v>150</v>
      </c>
      <c r="O1124" s="987"/>
      <c r="P1124" s="987"/>
      <c r="Q1124" s="987"/>
      <c r="R1124" s="987"/>
      <c r="S1124" s="987"/>
      <c r="T1124" s="987"/>
      <c r="U1124" s="987"/>
      <c r="V1124" s="987"/>
      <c r="W1124" s="987"/>
      <c r="X1124" s="987"/>
      <c r="Y1124" s="987"/>
      <c r="Z1124" s="987"/>
      <c r="AA1124" s="986"/>
    </row>
    <row r="1125" hidden="1">
      <c r="A1125" s="995">
        <v>63.0</v>
      </c>
      <c r="B1125" s="996">
        <v>44085.0</v>
      </c>
      <c r="C1125" s="984" t="s">
        <v>6659</v>
      </c>
      <c r="D1125" s="436" t="s">
        <v>212</v>
      </c>
      <c r="E1125" s="436" t="s">
        <v>4000</v>
      </c>
      <c r="F1125" s="995">
        <v>1.8580034E7</v>
      </c>
      <c r="G1125" s="436" t="s">
        <v>32</v>
      </c>
      <c r="H1125" s="984" t="s">
        <v>6660</v>
      </c>
      <c r="I1125" s="989" t="s">
        <v>6661</v>
      </c>
      <c r="J1125" s="987"/>
      <c r="K1125" s="987"/>
      <c r="L1125" s="987"/>
      <c r="M1125" s="987"/>
      <c r="N1125" s="987"/>
      <c r="O1125" s="987"/>
      <c r="P1125" s="987"/>
      <c r="Q1125" s="987"/>
      <c r="R1125" s="987"/>
      <c r="S1125" s="987"/>
      <c r="T1125" s="987"/>
      <c r="U1125" s="987"/>
      <c r="V1125" s="987"/>
      <c r="W1125" s="987"/>
      <c r="X1125" s="987"/>
      <c r="Y1125" s="987"/>
      <c r="Z1125" s="987"/>
      <c r="AA1125" s="986"/>
    </row>
    <row r="1126" hidden="1">
      <c r="A1126" s="995">
        <v>65.0</v>
      </c>
      <c r="B1126" s="1006">
        <v>44116.0</v>
      </c>
      <c r="C1126" s="984" t="s">
        <v>4621</v>
      </c>
      <c r="D1126" s="436" t="s">
        <v>506</v>
      </c>
      <c r="E1126" s="436" t="s">
        <v>305</v>
      </c>
      <c r="F1126" s="995">
        <v>1.7240696E7</v>
      </c>
      <c r="G1126" s="436" t="s">
        <v>4012</v>
      </c>
      <c r="H1126" s="984" t="s">
        <v>6662</v>
      </c>
      <c r="I1126" s="997" t="s">
        <v>6663</v>
      </c>
      <c r="J1126" s="436" t="s">
        <v>3079</v>
      </c>
      <c r="K1126" s="436" t="s">
        <v>6664</v>
      </c>
      <c r="L1126" s="436" t="s">
        <v>6665</v>
      </c>
      <c r="M1126" s="987"/>
      <c r="N1126" s="987"/>
      <c r="O1126" s="987"/>
      <c r="P1126" s="987"/>
      <c r="Q1126" s="987"/>
      <c r="R1126" s="436" t="s">
        <v>174</v>
      </c>
      <c r="S1126" s="995">
        <v>44398.0</v>
      </c>
      <c r="T1126" s="987"/>
      <c r="U1126" s="987"/>
      <c r="V1126" s="987"/>
      <c r="W1126" s="987"/>
      <c r="X1126" s="987"/>
      <c r="Y1126" s="987"/>
      <c r="Z1126" s="987"/>
      <c r="AA1126" s="986"/>
    </row>
    <row r="1127" hidden="1">
      <c r="A1127" s="995">
        <v>66.0</v>
      </c>
      <c r="B1127" s="1024">
        <v>44117.0</v>
      </c>
      <c r="C1127" s="997" t="s">
        <v>6666</v>
      </c>
      <c r="D1127" s="1011" t="s">
        <v>3326</v>
      </c>
      <c r="E1127" s="1011" t="s">
        <v>305</v>
      </c>
      <c r="F1127" s="1011" t="s">
        <v>6667</v>
      </c>
      <c r="G1127" s="1011" t="s">
        <v>51</v>
      </c>
      <c r="H1127" s="997" t="s">
        <v>6668</v>
      </c>
      <c r="I1127" s="997" t="s">
        <v>6669</v>
      </c>
      <c r="J1127" s="987"/>
      <c r="K1127" s="987"/>
      <c r="L1127" s="987"/>
      <c r="M1127" s="987"/>
      <c r="N1127" s="987"/>
      <c r="O1127" s="987"/>
      <c r="P1127" s="987"/>
      <c r="Q1127" s="987"/>
      <c r="R1127" s="987"/>
      <c r="S1127" s="987"/>
      <c r="T1127" s="987"/>
      <c r="U1127" s="987"/>
      <c r="V1127" s="987"/>
      <c r="W1127" s="987"/>
      <c r="X1127" s="987"/>
      <c r="Y1127" s="987"/>
      <c r="Z1127" s="987"/>
      <c r="AA1127" s="986"/>
    </row>
    <row r="1128" hidden="1">
      <c r="A1128" s="995">
        <v>67.0</v>
      </c>
      <c r="B1128" s="1006">
        <v>44117.0</v>
      </c>
      <c r="C1128" s="984" t="s">
        <v>6670</v>
      </c>
      <c r="D1128" s="436" t="s">
        <v>3326</v>
      </c>
      <c r="E1128" s="436" t="s">
        <v>305</v>
      </c>
      <c r="F1128" s="436" t="s">
        <v>5779</v>
      </c>
      <c r="G1128" s="436" t="s">
        <v>51</v>
      </c>
      <c r="H1128" s="984" t="s">
        <v>6668</v>
      </c>
      <c r="I1128" s="997" t="s">
        <v>6671</v>
      </c>
      <c r="J1128" s="987"/>
      <c r="K1128" s="987"/>
      <c r="L1128" s="987"/>
      <c r="M1128" s="987"/>
      <c r="N1128" s="987"/>
      <c r="O1128" s="987"/>
      <c r="P1128" s="987"/>
      <c r="Q1128" s="987"/>
      <c r="R1128" s="987"/>
      <c r="S1128" s="987"/>
      <c r="T1128" s="987"/>
      <c r="U1128" s="987"/>
      <c r="V1128" s="987"/>
      <c r="W1128" s="987"/>
      <c r="X1128" s="987"/>
      <c r="Y1128" s="987"/>
      <c r="Z1128" s="987"/>
      <c r="AA1128" s="986"/>
    </row>
    <row r="1129" hidden="1">
      <c r="A1129" s="995">
        <v>69.0</v>
      </c>
      <c r="B1129" s="1006">
        <v>44134.0</v>
      </c>
      <c r="C1129" s="998"/>
      <c r="D1129" s="436" t="s">
        <v>3792</v>
      </c>
      <c r="E1129" s="436" t="s">
        <v>559</v>
      </c>
      <c r="F1129" s="436" t="s">
        <v>50</v>
      </c>
      <c r="G1129" s="436" t="s">
        <v>103</v>
      </c>
      <c r="H1129" s="984" t="s">
        <v>6672</v>
      </c>
      <c r="I1129" s="984" t="s">
        <v>6673</v>
      </c>
      <c r="J1129" s="987"/>
      <c r="K1129" s="436" t="s">
        <v>1868</v>
      </c>
      <c r="L1129" s="987"/>
      <c r="M1129" s="987"/>
      <c r="N1129" s="987"/>
      <c r="O1129" s="987"/>
      <c r="P1129" s="987"/>
      <c r="Q1129" s="987"/>
      <c r="R1129" s="987"/>
      <c r="S1129" s="987"/>
      <c r="T1129" s="987"/>
      <c r="U1129" s="987"/>
      <c r="V1129" s="987"/>
      <c r="W1129" s="987"/>
      <c r="X1129" s="987"/>
      <c r="Y1129" s="987"/>
      <c r="Z1129" s="987"/>
      <c r="AA1129" s="986"/>
    </row>
    <row r="1130" hidden="1">
      <c r="A1130" s="995">
        <v>70.0</v>
      </c>
      <c r="B1130" s="1006">
        <v>44151.0</v>
      </c>
      <c r="C1130" s="984" t="s">
        <v>6674</v>
      </c>
      <c r="D1130" s="436" t="s">
        <v>2804</v>
      </c>
      <c r="E1130" s="436" t="s">
        <v>453</v>
      </c>
      <c r="F1130" s="436" t="s">
        <v>50</v>
      </c>
      <c r="G1130" s="436" t="s">
        <v>103</v>
      </c>
      <c r="H1130" s="984" t="s">
        <v>6675</v>
      </c>
      <c r="I1130" s="997" t="s">
        <v>6676</v>
      </c>
      <c r="J1130" s="436" t="s">
        <v>6677</v>
      </c>
      <c r="K1130" s="436" t="s">
        <v>138</v>
      </c>
      <c r="L1130" s="436" t="s">
        <v>6678</v>
      </c>
      <c r="M1130" s="987"/>
      <c r="N1130" s="987"/>
      <c r="O1130" s="987"/>
      <c r="P1130" s="987"/>
      <c r="Q1130" s="987"/>
      <c r="R1130" s="987"/>
      <c r="S1130" s="987"/>
      <c r="T1130" s="987"/>
      <c r="U1130" s="987"/>
      <c r="V1130" s="987"/>
      <c r="W1130" s="987"/>
      <c r="X1130" s="987"/>
      <c r="Y1130" s="987"/>
      <c r="Z1130" s="987"/>
      <c r="AA1130" s="986"/>
    </row>
    <row r="1131" hidden="1">
      <c r="A1131" s="1028">
        <v>73.0</v>
      </c>
      <c r="B1131" s="1033">
        <v>44160.0</v>
      </c>
      <c r="C1131" s="1030" t="s">
        <v>6679</v>
      </c>
      <c r="D1131" s="1031" t="s">
        <v>506</v>
      </c>
      <c r="E1131" s="436" t="s">
        <v>305</v>
      </c>
      <c r="F1131" s="995">
        <v>1.7241683E7</v>
      </c>
      <c r="G1131" s="436" t="s">
        <v>120</v>
      </c>
      <c r="H1131" s="984" t="s">
        <v>6680</v>
      </c>
      <c r="I1131" s="984" t="s">
        <v>6681</v>
      </c>
      <c r="J1131" s="436" t="s">
        <v>3079</v>
      </c>
      <c r="K1131" s="987"/>
      <c r="L1131" s="987"/>
      <c r="M1131" s="987"/>
      <c r="N1131" s="987"/>
      <c r="O1131" s="987"/>
      <c r="P1131" s="987"/>
      <c r="Q1131" s="987"/>
      <c r="R1131" s="987"/>
      <c r="S1131" s="987"/>
      <c r="T1131" s="987"/>
      <c r="U1131" s="987"/>
      <c r="V1131" s="987"/>
      <c r="W1131" s="987"/>
      <c r="X1131" s="987"/>
      <c r="Y1131" s="987"/>
      <c r="Z1131" s="987"/>
      <c r="AA1131" s="986"/>
    </row>
    <row r="1132" hidden="1">
      <c r="A1132" s="1028">
        <v>74.0</v>
      </c>
      <c r="B1132" s="1029">
        <v>44167.0</v>
      </c>
      <c r="C1132" s="1030" t="s">
        <v>6682</v>
      </c>
      <c r="D1132" s="1031" t="s">
        <v>506</v>
      </c>
      <c r="E1132" s="436" t="s">
        <v>305</v>
      </c>
      <c r="F1132" s="995">
        <v>1.7242038E7</v>
      </c>
      <c r="G1132" s="436" t="s">
        <v>120</v>
      </c>
      <c r="H1132" s="984" t="s">
        <v>6683</v>
      </c>
      <c r="I1132" s="984" t="s">
        <v>6684</v>
      </c>
      <c r="J1132" s="436" t="s">
        <v>3079</v>
      </c>
      <c r="K1132" s="987"/>
      <c r="L1132" s="987"/>
      <c r="M1132" s="987"/>
      <c r="N1132" s="436" t="s">
        <v>62</v>
      </c>
      <c r="O1132" s="995">
        <v>44329.0</v>
      </c>
      <c r="P1132" s="987"/>
      <c r="Q1132" s="987"/>
      <c r="R1132" s="987"/>
      <c r="S1132" s="987"/>
      <c r="T1132" s="436" t="s">
        <v>62</v>
      </c>
      <c r="U1132" s="995">
        <v>44652.0</v>
      </c>
      <c r="V1132" s="987"/>
      <c r="W1132" s="987"/>
      <c r="X1132" s="987"/>
      <c r="Y1132" s="987"/>
      <c r="Z1132" s="987"/>
      <c r="AA1132" s="986"/>
    </row>
    <row r="1133" hidden="1">
      <c r="A1133" s="995">
        <v>77.0</v>
      </c>
      <c r="B1133" s="1006">
        <v>44181.0</v>
      </c>
      <c r="C1133" s="984" t="s">
        <v>6685</v>
      </c>
      <c r="D1133" s="436" t="s">
        <v>417</v>
      </c>
      <c r="E1133" s="436" t="s">
        <v>281</v>
      </c>
      <c r="F1133" s="436" t="s">
        <v>50</v>
      </c>
      <c r="G1133" s="436" t="s">
        <v>200</v>
      </c>
      <c r="H1133" s="984" t="s">
        <v>6686</v>
      </c>
      <c r="I1133" s="989" t="s">
        <v>6687</v>
      </c>
      <c r="J1133" s="987"/>
      <c r="K1133" s="987"/>
      <c r="L1133" s="987"/>
      <c r="M1133" s="987"/>
      <c r="N1133" s="987"/>
      <c r="O1133" s="987"/>
      <c r="P1133" s="987"/>
      <c r="Q1133" s="987"/>
      <c r="R1133" s="987"/>
      <c r="S1133" s="987"/>
      <c r="T1133" s="987"/>
      <c r="U1133" s="987"/>
      <c r="V1133" s="987"/>
      <c r="W1133" s="987"/>
      <c r="X1133" s="987"/>
      <c r="Y1133" s="987"/>
      <c r="Z1133" s="987"/>
      <c r="AA1133" s="986"/>
    </row>
    <row r="1134" hidden="1">
      <c r="A1134" s="995">
        <v>82.0</v>
      </c>
      <c r="B1134" s="996">
        <v>44242.0</v>
      </c>
      <c r="C1134" s="984" t="s">
        <v>6688</v>
      </c>
      <c r="D1134" s="436" t="s">
        <v>4337</v>
      </c>
      <c r="E1134" s="436" t="s">
        <v>4338</v>
      </c>
      <c r="F1134" s="995">
        <v>1.6640083E7</v>
      </c>
      <c r="G1134" s="436" t="s">
        <v>200</v>
      </c>
      <c r="H1134" s="984" t="s">
        <v>6689</v>
      </c>
      <c r="I1134" s="997" t="s">
        <v>6690</v>
      </c>
      <c r="J1134" s="436" t="s">
        <v>6333</v>
      </c>
      <c r="K1134" s="436" t="s">
        <v>6691</v>
      </c>
      <c r="L1134" s="436" t="s">
        <v>6692</v>
      </c>
      <c r="M1134" s="987"/>
      <c r="N1134" s="987"/>
      <c r="O1134" s="987"/>
      <c r="P1134" s="987"/>
      <c r="Q1134" s="987"/>
      <c r="R1134" s="987"/>
      <c r="S1134" s="987"/>
      <c r="T1134" s="987"/>
      <c r="U1134" s="987"/>
      <c r="V1134" s="987"/>
      <c r="W1134" s="987"/>
      <c r="X1134" s="987"/>
      <c r="Y1134" s="987"/>
      <c r="Z1134" s="987"/>
      <c r="AA1134" s="986"/>
    </row>
    <row r="1135" hidden="1">
      <c r="A1135" s="995">
        <v>86.0</v>
      </c>
      <c r="B1135" s="996">
        <v>44257.0</v>
      </c>
      <c r="C1135" s="984" t="s">
        <v>6693</v>
      </c>
      <c r="D1135" s="436" t="s">
        <v>4136</v>
      </c>
      <c r="E1135" s="436" t="s">
        <v>3978</v>
      </c>
      <c r="F1135" s="995">
        <v>1.369073E7</v>
      </c>
      <c r="G1135" s="984" t="s">
        <v>4591</v>
      </c>
      <c r="H1135" s="997" t="s">
        <v>6694</v>
      </c>
      <c r="I1135" s="984" t="s">
        <v>6695</v>
      </c>
      <c r="J1135" s="436" t="s">
        <v>6696</v>
      </c>
      <c r="K1135" s="436" t="s">
        <v>6697</v>
      </c>
      <c r="L1135" s="436" t="s">
        <v>6698</v>
      </c>
      <c r="M1135" s="987"/>
      <c r="N1135" s="987"/>
      <c r="O1135" s="987"/>
      <c r="P1135" s="987"/>
      <c r="Q1135" s="987"/>
      <c r="R1135" s="987"/>
      <c r="S1135" s="987"/>
      <c r="T1135" s="987"/>
      <c r="U1135" s="987"/>
      <c r="V1135" s="987"/>
      <c r="W1135" s="987"/>
      <c r="X1135" s="987"/>
      <c r="Y1135" s="987"/>
      <c r="Z1135" s="987"/>
      <c r="AA1135" s="986"/>
    </row>
    <row r="1136" hidden="1">
      <c r="A1136" s="995">
        <v>94.0</v>
      </c>
      <c r="B1136" s="988">
        <v>44280.0</v>
      </c>
      <c r="C1136" s="989" t="s">
        <v>4419</v>
      </c>
      <c r="D1136" s="434" t="s">
        <v>2804</v>
      </c>
      <c r="E1136" s="434" t="s">
        <v>305</v>
      </c>
      <c r="F1136" s="1037" t="s">
        <v>6699</v>
      </c>
      <c r="G1136" s="434" t="s">
        <v>103</v>
      </c>
      <c r="H1136" s="989" t="s">
        <v>6700</v>
      </c>
      <c r="I1136" s="989" t="s">
        <v>6701</v>
      </c>
      <c r="J1136" s="987"/>
      <c r="K1136" s="987"/>
      <c r="L1136" s="987"/>
      <c r="M1136" s="987"/>
      <c r="N1136" s="987"/>
      <c r="O1136" s="987"/>
      <c r="P1136" s="987"/>
      <c r="Q1136" s="987"/>
      <c r="R1136" s="987"/>
      <c r="S1136" s="987"/>
      <c r="T1136" s="436" t="s">
        <v>62</v>
      </c>
      <c r="U1136" s="1020">
        <v>45932.0</v>
      </c>
      <c r="V1136" s="987"/>
      <c r="W1136" s="987"/>
      <c r="X1136" s="987"/>
      <c r="Y1136" s="987"/>
      <c r="Z1136" s="987"/>
      <c r="AA1136" s="986"/>
    </row>
    <row r="1137" hidden="1">
      <c r="A1137" s="995">
        <v>96.0</v>
      </c>
      <c r="B1137" s="996">
        <v>44286.0</v>
      </c>
      <c r="C1137" s="984" t="s">
        <v>6702</v>
      </c>
      <c r="D1137" s="436" t="s">
        <v>4095</v>
      </c>
      <c r="E1137" s="436" t="s">
        <v>305</v>
      </c>
      <c r="F1137" s="984" t="s">
        <v>6703</v>
      </c>
      <c r="G1137" s="436" t="s">
        <v>120</v>
      </c>
      <c r="H1137" s="984" t="s">
        <v>6704</v>
      </c>
      <c r="I1137" s="984" t="s">
        <v>6705</v>
      </c>
      <c r="J1137" s="987"/>
      <c r="K1137" s="987"/>
      <c r="L1137" s="987"/>
      <c r="M1137" s="987"/>
      <c r="N1137" s="987"/>
      <c r="O1137" s="987"/>
      <c r="P1137" s="987"/>
      <c r="Q1137" s="987"/>
      <c r="R1137" s="987"/>
      <c r="S1137" s="987"/>
      <c r="T1137" s="987"/>
      <c r="U1137" s="987"/>
      <c r="V1137" s="987"/>
      <c r="W1137" s="987"/>
      <c r="X1137" s="987"/>
      <c r="Y1137" s="987"/>
      <c r="Z1137" s="987"/>
      <c r="AA1137" s="986"/>
    </row>
    <row r="1138" hidden="1">
      <c r="A1138" s="995">
        <v>97.0</v>
      </c>
      <c r="B1138" s="996">
        <v>44292.0</v>
      </c>
      <c r="C1138" s="997" t="s">
        <v>6706</v>
      </c>
      <c r="D1138" s="436" t="s">
        <v>506</v>
      </c>
      <c r="E1138" s="436" t="s">
        <v>305</v>
      </c>
      <c r="F1138" s="995">
        <v>1.7241765E7</v>
      </c>
      <c r="G1138" s="436" t="s">
        <v>120</v>
      </c>
      <c r="H1138" s="984" t="s">
        <v>6707</v>
      </c>
      <c r="I1138" s="997" t="s">
        <v>6708</v>
      </c>
      <c r="J1138" s="436" t="s">
        <v>3079</v>
      </c>
      <c r="K1138" s="987"/>
      <c r="L1138" s="987"/>
      <c r="M1138" s="987"/>
      <c r="N1138" s="987"/>
      <c r="O1138" s="987"/>
      <c r="P1138" s="987"/>
      <c r="Q1138" s="987"/>
      <c r="R1138" s="987"/>
      <c r="S1138" s="987"/>
      <c r="T1138" s="987"/>
      <c r="U1138" s="987"/>
      <c r="V1138" s="987"/>
      <c r="W1138" s="987"/>
      <c r="X1138" s="987"/>
      <c r="Y1138" s="987"/>
      <c r="Z1138" s="987"/>
      <c r="AA1138" s="986"/>
    </row>
    <row r="1139" hidden="1">
      <c r="A1139" s="995">
        <v>104.0</v>
      </c>
      <c r="B1139" s="996">
        <v>44322.0</v>
      </c>
      <c r="C1139" s="984" t="s">
        <v>3311</v>
      </c>
      <c r="D1139" s="436" t="s">
        <v>885</v>
      </c>
      <c r="E1139" s="436" t="s">
        <v>305</v>
      </c>
      <c r="F1139" s="436" t="s">
        <v>50</v>
      </c>
      <c r="G1139" s="436" t="s">
        <v>120</v>
      </c>
      <c r="H1139" s="984" t="s">
        <v>6709</v>
      </c>
      <c r="I1139" s="997" t="s">
        <v>6710</v>
      </c>
      <c r="J1139" s="436" t="s">
        <v>889</v>
      </c>
      <c r="K1139" s="984" t="s">
        <v>6711</v>
      </c>
      <c r="L1139" s="984" t="s">
        <v>6712</v>
      </c>
      <c r="M1139" s="987"/>
      <c r="N1139" s="987"/>
      <c r="O1139" s="987"/>
      <c r="P1139" s="987"/>
      <c r="Q1139" s="987"/>
      <c r="R1139" s="436" t="s">
        <v>62</v>
      </c>
      <c r="S1139" s="995">
        <v>44379.0</v>
      </c>
      <c r="T1139" s="987"/>
      <c r="U1139" s="987"/>
      <c r="V1139" s="436" t="s">
        <v>150</v>
      </c>
      <c r="W1139" s="995">
        <v>44379.0</v>
      </c>
      <c r="X1139" s="987"/>
      <c r="Y1139" s="987"/>
      <c r="Z1139" s="987"/>
      <c r="AA1139" s="986"/>
    </row>
    <row r="1140" hidden="1">
      <c r="A1140" s="995">
        <v>109.0</v>
      </c>
      <c r="B1140" s="996">
        <v>44334.0</v>
      </c>
      <c r="C1140" s="997" t="s">
        <v>6706</v>
      </c>
      <c r="D1140" s="436" t="s">
        <v>506</v>
      </c>
      <c r="E1140" s="436" t="s">
        <v>305</v>
      </c>
      <c r="F1140" s="995">
        <v>1.7241856E7</v>
      </c>
      <c r="G1140" s="436" t="s">
        <v>120</v>
      </c>
      <c r="H1140" s="984" t="s">
        <v>4777</v>
      </c>
      <c r="I1140" s="997" t="s">
        <v>4778</v>
      </c>
      <c r="J1140" s="436" t="s">
        <v>3079</v>
      </c>
      <c r="K1140" s="436" t="s">
        <v>3190</v>
      </c>
      <c r="L1140" s="436" t="s">
        <v>3191</v>
      </c>
      <c r="M1140" s="987"/>
      <c r="N1140" s="987"/>
      <c r="O1140" s="987"/>
      <c r="P1140" s="987"/>
      <c r="Q1140" s="987"/>
      <c r="R1140" s="987"/>
      <c r="S1140" s="987"/>
      <c r="T1140" s="987"/>
      <c r="U1140" s="987"/>
      <c r="V1140" s="987"/>
      <c r="W1140" s="987"/>
      <c r="X1140" s="987"/>
      <c r="Y1140" s="987"/>
      <c r="Z1140" s="987"/>
      <c r="AA1140" s="986"/>
    </row>
    <row r="1141" hidden="1">
      <c r="A1141" s="995">
        <v>116.0</v>
      </c>
      <c r="B1141" s="996">
        <v>44355.0</v>
      </c>
      <c r="C1141" s="984" t="s">
        <v>6713</v>
      </c>
      <c r="D1141" s="436" t="s">
        <v>6714</v>
      </c>
      <c r="E1141" s="436" t="s">
        <v>4000</v>
      </c>
      <c r="F1141" s="436" t="s">
        <v>50</v>
      </c>
      <c r="G1141" s="984" t="s">
        <v>3831</v>
      </c>
      <c r="H1141" s="984" t="s">
        <v>6715</v>
      </c>
      <c r="I1141" s="989" t="s">
        <v>6716</v>
      </c>
      <c r="J1141" s="987"/>
      <c r="K1141" s="987"/>
      <c r="L1141" s="987"/>
      <c r="M1141" s="987"/>
      <c r="N1141" s="987"/>
      <c r="O1141" s="987"/>
      <c r="P1141" s="987"/>
      <c r="Q1141" s="987"/>
      <c r="R1141" s="987"/>
      <c r="S1141" s="987"/>
      <c r="T1141" s="987"/>
      <c r="U1141" s="987"/>
      <c r="V1141" s="987"/>
      <c r="W1141" s="987"/>
      <c r="X1141" s="987"/>
      <c r="Y1141" s="987"/>
      <c r="Z1141" s="987"/>
      <c r="AA1141" s="986"/>
    </row>
    <row r="1142" hidden="1">
      <c r="A1142" s="995">
        <v>125.0</v>
      </c>
      <c r="B1142" s="996">
        <v>44369.0</v>
      </c>
      <c r="C1142" s="984" t="s">
        <v>6717</v>
      </c>
      <c r="D1142" s="436" t="s">
        <v>4034</v>
      </c>
      <c r="E1142" s="436" t="s">
        <v>4035</v>
      </c>
      <c r="F1142" s="436" t="s">
        <v>50</v>
      </c>
      <c r="G1142" s="436" t="s">
        <v>120</v>
      </c>
      <c r="H1142" s="984" t="s">
        <v>6718</v>
      </c>
      <c r="I1142" s="997" t="s">
        <v>6719</v>
      </c>
      <c r="J1142" s="987"/>
      <c r="K1142" s="987"/>
      <c r="L1142" s="987"/>
      <c r="M1142" s="987"/>
      <c r="N1142" s="987"/>
      <c r="O1142" s="987"/>
      <c r="P1142" s="987"/>
      <c r="Q1142" s="987"/>
      <c r="R1142" s="987"/>
      <c r="S1142" s="987"/>
      <c r="T1142" s="987"/>
      <c r="U1142" s="987"/>
      <c r="V1142" s="987"/>
      <c r="W1142" s="987"/>
      <c r="X1142" s="987"/>
      <c r="Y1142" s="987"/>
      <c r="Z1142" s="987"/>
      <c r="AA1142" s="986"/>
    </row>
    <row r="1143" hidden="1">
      <c r="A1143" s="995">
        <v>131.0</v>
      </c>
      <c r="B1143" s="996">
        <v>44379.0</v>
      </c>
      <c r="C1143" s="984" t="s">
        <v>6720</v>
      </c>
      <c r="D1143" s="436" t="s">
        <v>89</v>
      </c>
      <c r="E1143" s="436" t="s">
        <v>269</v>
      </c>
      <c r="F1143" s="984" t="s">
        <v>6721</v>
      </c>
      <c r="G1143" s="436" t="s">
        <v>51</v>
      </c>
      <c r="H1143" s="984" t="s">
        <v>6722</v>
      </c>
      <c r="I1143" s="997" t="s">
        <v>6723</v>
      </c>
      <c r="J1143" s="987"/>
      <c r="K1143" s="987"/>
      <c r="L1143" s="987"/>
      <c r="M1143" s="987"/>
      <c r="N1143" s="987"/>
      <c r="O1143" s="987"/>
      <c r="P1143" s="987"/>
      <c r="Q1143" s="987"/>
      <c r="R1143" s="987"/>
      <c r="S1143" s="987"/>
      <c r="T1143" s="987"/>
      <c r="U1143" s="987"/>
      <c r="V1143" s="987"/>
      <c r="W1143" s="987"/>
      <c r="X1143" s="987"/>
      <c r="Y1143" s="987"/>
      <c r="Z1143" s="987"/>
      <c r="AA1143" s="986"/>
    </row>
    <row r="1144" hidden="1">
      <c r="A1144" s="995">
        <v>141.0</v>
      </c>
      <c r="B1144" s="996">
        <v>44398.0</v>
      </c>
      <c r="C1144" s="984" t="s">
        <v>6724</v>
      </c>
      <c r="D1144" s="436" t="s">
        <v>3326</v>
      </c>
      <c r="E1144" s="436" t="s">
        <v>4117</v>
      </c>
      <c r="F1144" s="995">
        <v>1.3521353E7</v>
      </c>
      <c r="G1144" s="436" t="s">
        <v>51</v>
      </c>
      <c r="H1144" s="984" t="s">
        <v>6725</v>
      </c>
      <c r="I1144" s="989" t="s">
        <v>6726</v>
      </c>
      <c r="J1144" s="436" t="s">
        <v>3329</v>
      </c>
      <c r="K1144" s="436" t="s">
        <v>3133</v>
      </c>
      <c r="L1144" s="436" t="s">
        <v>4806</v>
      </c>
      <c r="M1144" s="987"/>
      <c r="N1144" s="987"/>
      <c r="O1144" s="987"/>
      <c r="P1144" s="987"/>
      <c r="Q1144" s="987"/>
      <c r="R1144" s="987"/>
      <c r="S1144" s="987"/>
      <c r="T1144" s="987"/>
      <c r="U1144" s="987"/>
      <c r="V1144" s="987"/>
      <c r="W1144" s="987"/>
      <c r="X1144" s="987"/>
      <c r="Y1144" s="987"/>
      <c r="Z1144" s="987"/>
      <c r="AA1144" s="986"/>
    </row>
    <row r="1145" hidden="1">
      <c r="A1145" s="995">
        <v>145.0</v>
      </c>
      <c r="B1145" s="996">
        <v>44414.0</v>
      </c>
      <c r="C1145" s="984" t="s">
        <v>6727</v>
      </c>
      <c r="D1145" s="436" t="s">
        <v>6728</v>
      </c>
      <c r="E1145" s="436" t="s">
        <v>305</v>
      </c>
      <c r="F1145" s="436" t="s">
        <v>6729</v>
      </c>
      <c r="G1145" s="436" t="s">
        <v>42</v>
      </c>
      <c r="H1145" s="984" t="s">
        <v>6730</v>
      </c>
      <c r="I1145" s="989" t="s">
        <v>6731</v>
      </c>
      <c r="J1145" s="987"/>
      <c r="K1145" s="436" t="s">
        <v>1868</v>
      </c>
      <c r="L1145" s="987"/>
      <c r="M1145" s="987"/>
      <c r="N1145" s="987"/>
      <c r="O1145" s="987"/>
      <c r="P1145" s="987"/>
      <c r="Q1145" s="987"/>
      <c r="R1145" s="987"/>
      <c r="S1145" s="987"/>
      <c r="T1145" s="987"/>
      <c r="U1145" s="987"/>
      <c r="V1145" s="987"/>
      <c r="W1145" s="987"/>
      <c r="X1145" s="987"/>
      <c r="Y1145" s="987"/>
      <c r="Z1145" s="987"/>
      <c r="AA1145" s="986"/>
    </row>
    <row r="1146" hidden="1">
      <c r="A1146" s="995">
        <v>159.0</v>
      </c>
      <c r="B1146" s="996">
        <v>44453.0</v>
      </c>
      <c r="C1146" s="984" t="s">
        <v>6732</v>
      </c>
      <c r="D1146" s="436" t="s">
        <v>4628</v>
      </c>
      <c r="E1146" s="436" t="s">
        <v>4629</v>
      </c>
      <c r="F1146" s="987"/>
      <c r="G1146" s="436" t="s">
        <v>120</v>
      </c>
      <c r="H1146" s="984" t="s">
        <v>6733</v>
      </c>
      <c r="I1146" s="984" t="s">
        <v>6646</v>
      </c>
      <c r="J1146" s="987"/>
      <c r="K1146" s="987"/>
      <c r="L1146" s="987"/>
      <c r="M1146" s="987"/>
      <c r="N1146" s="987"/>
      <c r="O1146" s="987"/>
      <c r="P1146" s="987"/>
      <c r="Q1146" s="987"/>
      <c r="R1146" s="987"/>
      <c r="S1146" s="987"/>
      <c r="T1146" s="987"/>
      <c r="U1146" s="987"/>
      <c r="V1146" s="987"/>
      <c r="W1146" s="987"/>
      <c r="X1146" s="987"/>
      <c r="Y1146" s="987"/>
      <c r="Z1146" s="987"/>
      <c r="AA1146" s="986"/>
    </row>
    <row r="1147" hidden="1">
      <c r="A1147" s="995">
        <v>165.0</v>
      </c>
      <c r="B1147" s="996">
        <v>44466.0</v>
      </c>
      <c r="C1147" s="984" t="s">
        <v>6734</v>
      </c>
      <c r="D1147" s="436" t="s">
        <v>4126</v>
      </c>
      <c r="E1147" s="436" t="s">
        <v>49</v>
      </c>
      <c r="F1147" s="995">
        <v>1.5420706E7</v>
      </c>
      <c r="G1147" s="436" t="s">
        <v>51</v>
      </c>
      <c r="H1147" s="984" t="s">
        <v>6735</v>
      </c>
      <c r="I1147" s="997" t="s">
        <v>6736</v>
      </c>
      <c r="J1147" s="987"/>
      <c r="K1147" s="987"/>
      <c r="L1147" s="987"/>
      <c r="M1147" s="987"/>
      <c r="N1147" s="987"/>
      <c r="O1147" s="987"/>
      <c r="P1147" s="987"/>
      <c r="Q1147" s="987"/>
      <c r="R1147" s="987"/>
      <c r="S1147" s="987"/>
      <c r="T1147" s="987"/>
      <c r="U1147" s="987"/>
      <c r="V1147" s="987"/>
      <c r="W1147" s="987"/>
      <c r="X1147" s="987"/>
      <c r="Y1147" s="987"/>
      <c r="Z1147" s="987"/>
      <c r="AA1147" s="986"/>
    </row>
    <row r="1148" hidden="1">
      <c r="A1148" s="990">
        <v>189.0</v>
      </c>
      <c r="B1148" s="991">
        <v>44484.0</v>
      </c>
      <c r="C1148" s="989" t="s">
        <v>3969</v>
      </c>
      <c r="D1148" s="434" t="s">
        <v>30</v>
      </c>
      <c r="E1148" s="434" t="s">
        <v>6737</v>
      </c>
      <c r="F1148" s="434" t="s">
        <v>50</v>
      </c>
      <c r="G1148" s="434" t="s">
        <v>32</v>
      </c>
      <c r="H1148" s="989" t="s">
        <v>6738</v>
      </c>
      <c r="I1148" s="993" t="s">
        <v>6739</v>
      </c>
      <c r="J1148" s="436" t="s">
        <v>6740</v>
      </c>
      <c r="K1148" s="436" t="s">
        <v>6741</v>
      </c>
      <c r="L1148" s="436" t="s">
        <v>5474</v>
      </c>
      <c r="M1148" s="987"/>
      <c r="N1148" s="436" t="s">
        <v>174</v>
      </c>
      <c r="O1148" s="995">
        <v>44487.0</v>
      </c>
      <c r="P1148" s="987"/>
      <c r="Q1148" s="987"/>
      <c r="R1148" s="987"/>
      <c r="S1148" s="987"/>
      <c r="T1148" s="987"/>
      <c r="U1148" s="987"/>
      <c r="V1148" s="987"/>
      <c r="W1148" s="987"/>
      <c r="X1148" s="987"/>
      <c r="Y1148" s="987"/>
      <c r="Z1148" s="987"/>
      <c r="AA1148" s="986"/>
    </row>
    <row r="1149" hidden="1">
      <c r="A1149" s="995">
        <v>196.0</v>
      </c>
      <c r="B1149" s="996">
        <v>44474.0</v>
      </c>
      <c r="C1149" s="984" t="s">
        <v>4195</v>
      </c>
      <c r="D1149" s="436" t="s">
        <v>30</v>
      </c>
      <c r="E1149" s="436" t="s">
        <v>31</v>
      </c>
      <c r="F1149" s="436" t="s">
        <v>6742</v>
      </c>
      <c r="G1149" s="436" t="s">
        <v>32</v>
      </c>
      <c r="H1149" s="984" t="s">
        <v>6743</v>
      </c>
      <c r="I1149" s="1022" t="s">
        <v>6744</v>
      </c>
      <c r="J1149" s="436" t="s">
        <v>35</v>
      </c>
      <c r="K1149" s="436" t="s">
        <v>6745</v>
      </c>
      <c r="L1149" s="987"/>
      <c r="M1149" s="987"/>
      <c r="N1149" s="987"/>
      <c r="O1149" s="987"/>
      <c r="P1149" s="987"/>
      <c r="Q1149" s="987"/>
      <c r="R1149" s="987"/>
      <c r="S1149" s="987"/>
      <c r="T1149" s="436" t="s">
        <v>4572</v>
      </c>
      <c r="U1149" s="995">
        <v>44496.0</v>
      </c>
      <c r="V1149" s="987"/>
      <c r="W1149" s="987"/>
      <c r="X1149" s="987"/>
      <c r="Y1149" s="987"/>
      <c r="Z1149" s="987"/>
      <c r="AA1149" s="986"/>
    </row>
    <row r="1150" hidden="1">
      <c r="A1150" s="995">
        <v>197.0</v>
      </c>
      <c r="B1150" s="1006">
        <v>44497.0</v>
      </c>
      <c r="C1150" s="984" t="s">
        <v>6746</v>
      </c>
      <c r="D1150" s="436" t="s">
        <v>6747</v>
      </c>
      <c r="E1150" s="436" t="s">
        <v>6748</v>
      </c>
      <c r="F1150" s="995">
        <v>1.819053E7</v>
      </c>
      <c r="G1150" s="436" t="s">
        <v>120</v>
      </c>
      <c r="H1150" s="984" t="s">
        <v>6749</v>
      </c>
      <c r="I1150" s="984" t="s">
        <v>6750</v>
      </c>
      <c r="J1150" s="436" t="s">
        <v>6751</v>
      </c>
      <c r="K1150" s="436" t="s">
        <v>491</v>
      </c>
      <c r="L1150" s="984" t="s">
        <v>6752</v>
      </c>
      <c r="M1150" s="984" t="s">
        <v>4995</v>
      </c>
      <c r="N1150" s="987"/>
      <c r="O1150" s="987"/>
      <c r="P1150" s="987"/>
      <c r="Q1150" s="987"/>
      <c r="R1150" s="987"/>
      <c r="S1150" s="987"/>
      <c r="T1150" s="987"/>
      <c r="U1150" s="987"/>
      <c r="V1150" s="987"/>
      <c r="W1150" s="987"/>
      <c r="X1150" s="987"/>
      <c r="Y1150" s="987"/>
      <c r="Z1150" s="987"/>
      <c r="AA1150" s="986"/>
    </row>
    <row r="1151" hidden="1">
      <c r="A1151" s="995">
        <v>275.0</v>
      </c>
      <c r="B1151" s="996">
        <v>44589.0</v>
      </c>
      <c r="C1151" s="984" t="s">
        <v>6746</v>
      </c>
      <c r="D1151" s="436" t="s">
        <v>6747</v>
      </c>
      <c r="E1151" s="436" t="s">
        <v>295</v>
      </c>
      <c r="F1151" s="995">
        <v>1.8190529E7</v>
      </c>
      <c r="G1151" s="436" t="s">
        <v>120</v>
      </c>
      <c r="H1151" s="984" t="s">
        <v>6753</v>
      </c>
      <c r="I1151" s="1022" t="s">
        <v>6754</v>
      </c>
      <c r="J1151" s="436" t="s">
        <v>6755</v>
      </c>
      <c r="K1151" s="436" t="s">
        <v>554</v>
      </c>
      <c r="L1151" s="436" t="s">
        <v>5163</v>
      </c>
      <c r="M1151" s="987"/>
      <c r="N1151" s="987"/>
      <c r="O1151" s="987"/>
      <c r="P1151" s="987"/>
      <c r="Q1151" s="987"/>
      <c r="R1151" s="987"/>
      <c r="S1151" s="987"/>
      <c r="T1151" s="987"/>
      <c r="U1151" s="987"/>
      <c r="V1151" s="987"/>
      <c r="W1151" s="987"/>
      <c r="X1151" s="987"/>
      <c r="Y1151" s="987"/>
      <c r="Z1151" s="987"/>
      <c r="AA1151" s="986"/>
    </row>
    <row r="1152" hidden="1">
      <c r="A1152" s="995">
        <v>349.0</v>
      </c>
      <c r="B1152" s="996">
        <v>44733.0</v>
      </c>
      <c r="C1152" s="984" t="s">
        <v>5309</v>
      </c>
      <c r="D1152" s="436" t="s">
        <v>48</v>
      </c>
      <c r="E1152" s="436" t="s">
        <v>49</v>
      </c>
      <c r="F1152" s="436" t="s">
        <v>50</v>
      </c>
      <c r="G1152" s="436" t="s">
        <v>51</v>
      </c>
      <c r="H1152" s="997" t="s">
        <v>52</v>
      </c>
      <c r="I1152" s="984" t="s">
        <v>6756</v>
      </c>
      <c r="J1152" s="436" t="s">
        <v>143</v>
      </c>
      <c r="K1152" s="436" t="s">
        <v>49</v>
      </c>
      <c r="L1152" s="987"/>
      <c r="M1152" s="987"/>
      <c r="N1152" s="987"/>
      <c r="O1152" s="987"/>
      <c r="P1152" s="987"/>
      <c r="Q1152" s="987"/>
      <c r="R1152" s="987"/>
      <c r="S1152" s="987"/>
      <c r="T1152" s="987"/>
      <c r="U1152" s="987"/>
      <c r="V1152" s="987"/>
      <c r="W1152" s="987"/>
      <c r="X1152" s="987"/>
      <c r="Y1152" s="987"/>
      <c r="Z1152" s="987"/>
      <c r="AA1152" s="986"/>
    </row>
    <row r="1153" hidden="1">
      <c r="A1153" s="995">
        <v>350.0</v>
      </c>
      <c r="B1153" s="996">
        <v>44733.0</v>
      </c>
      <c r="C1153" s="984" t="s">
        <v>5309</v>
      </c>
      <c r="D1153" s="436" t="s">
        <v>48</v>
      </c>
      <c r="E1153" s="436" t="s">
        <v>49</v>
      </c>
      <c r="F1153" s="436" t="s">
        <v>50</v>
      </c>
      <c r="G1153" s="436" t="s">
        <v>51</v>
      </c>
      <c r="H1153" s="997" t="s">
        <v>52</v>
      </c>
      <c r="I1153" s="984" t="s">
        <v>6757</v>
      </c>
      <c r="J1153" s="436" t="s">
        <v>143</v>
      </c>
      <c r="K1153" s="987"/>
      <c r="L1153" s="987"/>
      <c r="M1153" s="987"/>
      <c r="N1153" s="987"/>
      <c r="O1153" s="987"/>
      <c r="P1153" s="987"/>
      <c r="Q1153" s="987"/>
      <c r="R1153" s="987"/>
      <c r="S1153" s="987"/>
      <c r="T1153" s="987"/>
      <c r="U1153" s="987"/>
      <c r="V1153" s="987"/>
      <c r="W1153" s="987"/>
      <c r="X1153" s="987"/>
      <c r="Y1153" s="987"/>
      <c r="Z1153" s="987"/>
      <c r="AA1153" s="986"/>
    </row>
    <row r="1154" hidden="1">
      <c r="A1154" s="995">
        <v>351.0</v>
      </c>
      <c r="B1154" s="996">
        <v>44733.0</v>
      </c>
      <c r="C1154" s="984" t="s">
        <v>5309</v>
      </c>
      <c r="D1154" s="436" t="s">
        <v>48</v>
      </c>
      <c r="E1154" s="436" t="s">
        <v>49</v>
      </c>
      <c r="F1154" s="436" t="s">
        <v>50</v>
      </c>
      <c r="G1154" s="436" t="s">
        <v>51</v>
      </c>
      <c r="H1154" s="997" t="s">
        <v>52</v>
      </c>
      <c r="I1154" s="984" t="s">
        <v>6757</v>
      </c>
      <c r="J1154" s="436" t="s">
        <v>143</v>
      </c>
      <c r="K1154" s="987"/>
      <c r="L1154" s="987"/>
      <c r="M1154" s="987"/>
      <c r="N1154" s="987"/>
      <c r="O1154" s="987"/>
      <c r="P1154" s="987"/>
      <c r="Q1154" s="987"/>
      <c r="R1154" s="987"/>
      <c r="S1154" s="987"/>
      <c r="T1154" s="987"/>
      <c r="U1154" s="987"/>
      <c r="V1154" s="987"/>
      <c r="W1154" s="987"/>
      <c r="X1154" s="987"/>
      <c r="Y1154" s="987"/>
      <c r="Z1154" s="987"/>
      <c r="AA1154" s="986"/>
    </row>
    <row r="1155" hidden="1">
      <c r="A1155" s="995">
        <v>352.0</v>
      </c>
      <c r="B1155" s="996">
        <v>44733.0</v>
      </c>
      <c r="C1155" s="984" t="s">
        <v>6758</v>
      </c>
      <c r="D1155" s="436" t="s">
        <v>48</v>
      </c>
      <c r="E1155" s="436" t="s">
        <v>49</v>
      </c>
      <c r="F1155" s="436" t="s">
        <v>50</v>
      </c>
      <c r="G1155" s="436" t="s">
        <v>51</v>
      </c>
      <c r="H1155" s="997" t="s">
        <v>52</v>
      </c>
      <c r="I1155" s="984" t="s">
        <v>6759</v>
      </c>
      <c r="J1155" s="436" t="s">
        <v>143</v>
      </c>
      <c r="K1155" s="987"/>
      <c r="L1155" s="987"/>
      <c r="M1155" s="987"/>
      <c r="N1155" s="987"/>
      <c r="O1155" s="987"/>
      <c r="P1155" s="987"/>
      <c r="Q1155" s="987"/>
      <c r="R1155" s="987"/>
      <c r="S1155" s="987"/>
      <c r="T1155" s="987"/>
      <c r="U1155" s="987"/>
      <c r="V1155" s="987"/>
      <c r="W1155" s="987"/>
      <c r="X1155" s="987"/>
      <c r="Y1155" s="987"/>
      <c r="Z1155" s="987"/>
      <c r="AA1155" s="986"/>
    </row>
    <row r="1156" hidden="1">
      <c r="A1156" s="1028">
        <v>471.0</v>
      </c>
      <c r="B1156" s="1033">
        <v>44914.0</v>
      </c>
      <c r="C1156" s="1030" t="s">
        <v>5417</v>
      </c>
      <c r="D1156" s="1031" t="s">
        <v>89</v>
      </c>
      <c r="E1156" s="436" t="s">
        <v>111</v>
      </c>
      <c r="F1156" s="995">
        <v>1.5830997E7</v>
      </c>
      <c r="G1156" s="436" t="s">
        <v>51</v>
      </c>
      <c r="H1156" s="984" t="s">
        <v>6760</v>
      </c>
      <c r="I1156" s="1003" t="s">
        <v>6761</v>
      </c>
      <c r="J1156" s="436" t="s">
        <v>92</v>
      </c>
      <c r="K1156" s="987"/>
      <c r="L1156" s="987"/>
      <c r="M1156" s="987"/>
      <c r="N1156" s="987"/>
      <c r="O1156" s="987"/>
      <c r="P1156" s="987"/>
      <c r="Q1156" s="987"/>
      <c r="R1156" s="987"/>
      <c r="S1156" s="987"/>
      <c r="T1156" s="987"/>
      <c r="U1156" s="987"/>
      <c r="V1156" s="987"/>
      <c r="W1156" s="987"/>
      <c r="X1156" s="987"/>
      <c r="Y1156" s="987"/>
      <c r="Z1156" s="987"/>
      <c r="AA1156" s="986"/>
    </row>
    <row r="1157" hidden="1">
      <c r="A1157" s="995">
        <v>1117.0</v>
      </c>
      <c r="B1157" s="996">
        <v>43626.0</v>
      </c>
      <c r="C1157" s="984" t="s">
        <v>6762</v>
      </c>
      <c r="D1157" s="436" t="s">
        <v>1537</v>
      </c>
      <c r="E1157" s="987"/>
      <c r="F1157" s="995">
        <v>1.7670111E7</v>
      </c>
      <c r="G1157" s="436" t="s">
        <v>42</v>
      </c>
      <c r="H1157" s="984" t="s">
        <v>6763</v>
      </c>
      <c r="I1157" s="984" t="s">
        <v>6764</v>
      </c>
      <c r="J1157" s="987"/>
      <c r="K1157" s="987"/>
      <c r="L1157" s="987"/>
      <c r="M1157" s="987"/>
      <c r="N1157" s="987"/>
      <c r="O1157" s="987"/>
      <c r="P1157" s="987"/>
      <c r="Q1157" s="987"/>
      <c r="R1157" s="987"/>
      <c r="S1157" s="987"/>
      <c r="T1157" s="987"/>
      <c r="U1157" s="987"/>
      <c r="V1157" s="987"/>
      <c r="W1157" s="987"/>
      <c r="X1157" s="987"/>
      <c r="Y1157" s="987"/>
      <c r="Z1157" s="987"/>
      <c r="AA1157" s="986"/>
    </row>
    <row r="1158" hidden="1">
      <c r="A1158" s="995">
        <v>1118.0</v>
      </c>
      <c r="B1158" s="436" t="s">
        <v>6765</v>
      </c>
      <c r="C1158" s="984" t="s">
        <v>6762</v>
      </c>
      <c r="D1158" s="436" t="s">
        <v>1537</v>
      </c>
      <c r="E1158" s="987"/>
      <c r="F1158" s="995">
        <v>1.7670081E7</v>
      </c>
      <c r="G1158" s="436" t="s">
        <v>42</v>
      </c>
      <c r="H1158" s="984" t="s">
        <v>6766</v>
      </c>
      <c r="I1158" s="984" t="s">
        <v>6764</v>
      </c>
      <c r="J1158" s="987"/>
      <c r="K1158" s="987"/>
      <c r="L1158" s="987"/>
      <c r="M1158" s="987"/>
      <c r="N1158" s="987"/>
      <c r="O1158" s="987"/>
      <c r="P1158" s="987"/>
      <c r="Q1158" s="987"/>
      <c r="R1158" s="987"/>
      <c r="S1158" s="987"/>
      <c r="T1158" s="987"/>
      <c r="U1158" s="987"/>
      <c r="V1158" s="987"/>
      <c r="W1158" s="987"/>
      <c r="X1158" s="987"/>
      <c r="Y1158" s="987"/>
      <c r="Z1158" s="987"/>
      <c r="AA1158" s="986"/>
    </row>
    <row r="1159" hidden="1">
      <c r="A1159" s="995">
        <v>805.0</v>
      </c>
      <c r="B1159" s="1006">
        <v>45247.0</v>
      </c>
      <c r="C1159" s="984" t="s">
        <v>6767</v>
      </c>
      <c r="D1159" s="436" t="s">
        <v>326</v>
      </c>
      <c r="E1159" s="436" t="s">
        <v>3277</v>
      </c>
      <c r="F1159" s="436" t="s">
        <v>296</v>
      </c>
      <c r="G1159" s="436" t="s">
        <v>42</v>
      </c>
      <c r="H1159" s="984" t="s">
        <v>6768</v>
      </c>
      <c r="I1159" s="984" t="s">
        <v>6769</v>
      </c>
      <c r="J1159" s="436" t="s">
        <v>427</v>
      </c>
      <c r="K1159" s="436" t="s">
        <v>6770</v>
      </c>
      <c r="L1159" s="436" t="s">
        <v>6771</v>
      </c>
      <c r="M1159" s="987"/>
      <c r="N1159" s="987"/>
      <c r="O1159" s="987"/>
      <c r="P1159" s="987"/>
      <c r="Q1159" s="987"/>
      <c r="R1159" s="987"/>
      <c r="S1159" s="987"/>
      <c r="T1159" s="987"/>
      <c r="U1159" s="987"/>
      <c r="V1159" s="987"/>
      <c r="W1159" s="987"/>
      <c r="X1159" s="987"/>
      <c r="Y1159" s="987"/>
      <c r="Z1159" s="987"/>
      <c r="AA1159" s="986"/>
    </row>
    <row r="1160" hidden="1">
      <c r="A1160" s="995">
        <v>1208.0</v>
      </c>
      <c r="B1160" s="1006">
        <v>44894.0</v>
      </c>
      <c r="C1160" s="984" t="s">
        <v>6772</v>
      </c>
      <c r="D1160" s="436" t="s">
        <v>1101</v>
      </c>
      <c r="E1160" s="436" t="s">
        <v>2361</v>
      </c>
      <c r="F1160" s="436" t="s">
        <v>50</v>
      </c>
      <c r="G1160" s="436" t="s">
        <v>570</v>
      </c>
      <c r="H1160" s="984" t="s">
        <v>6773</v>
      </c>
      <c r="I1160" s="1022" t="s">
        <v>6774</v>
      </c>
      <c r="J1160" s="436" t="s">
        <v>1661</v>
      </c>
      <c r="K1160" s="998"/>
      <c r="L1160" s="987"/>
      <c r="M1160" s="987"/>
      <c r="N1160" s="987"/>
      <c r="O1160" s="987"/>
      <c r="P1160" s="987"/>
      <c r="Q1160" s="987"/>
      <c r="R1160" s="987"/>
      <c r="S1160" s="987"/>
      <c r="T1160" s="987"/>
      <c r="U1160" s="987"/>
      <c r="V1160" s="987"/>
      <c r="W1160" s="987"/>
      <c r="X1160" s="987"/>
      <c r="Y1160" s="987"/>
      <c r="Z1160" s="987"/>
      <c r="AA1160" s="986"/>
    </row>
    <row r="1161" hidden="1">
      <c r="A1161" s="995">
        <v>358.0</v>
      </c>
      <c r="B1161" s="996">
        <v>44756.0</v>
      </c>
      <c r="C1161" s="984" t="s">
        <v>5319</v>
      </c>
      <c r="D1161" s="436" t="s">
        <v>309</v>
      </c>
      <c r="E1161" s="436" t="s">
        <v>49</v>
      </c>
      <c r="F1161" s="995">
        <v>1.8030431E7</v>
      </c>
      <c r="G1161" s="436" t="s">
        <v>103</v>
      </c>
      <c r="H1161" s="984" t="s">
        <v>6775</v>
      </c>
      <c r="I1161" s="985" t="s">
        <v>6776</v>
      </c>
      <c r="J1161" s="436" t="s">
        <v>3088</v>
      </c>
      <c r="K1161" s="987"/>
      <c r="L1161" s="987"/>
      <c r="M1161" s="987"/>
      <c r="N1161" s="987"/>
      <c r="O1161" s="987"/>
      <c r="P1161" s="987"/>
      <c r="Q1161" s="987"/>
      <c r="R1161" s="987"/>
      <c r="S1161" s="987"/>
      <c r="T1161" s="987"/>
      <c r="U1161" s="987"/>
      <c r="V1161" s="987"/>
      <c r="W1161" s="987"/>
      <c r="X1161" s="987"/>
      <c r="Y1161" s="987"/>
      <c r="Z1161" s="987"/>
      <c r="AA1161" s="986"/>
    </row>
    <row r="1162" hidden="1">
      <c r="A1162" s="995">
        <v>365.0</v>
      </c>
      <c r="B1162" s="996">
        <v>44768.0</v>
      </c>
      <c r="C1162" s="984" t="s">
        <v>5319</v>
      </c>
      <c r="D1162" s="436" t="s">
        <v>309</v>
      </c>
      <c r="E1162" s="436" t="s">
        <v>49</v>
      </c>
      <c r="F1162" s="436" t="s">
        <v>50</v>
      </c>
      <c r="G1162" s="436" t="s">
        <v>103</v>
      </c>
      <c r="H1162" s="984" t="s">
        <v>4650</v>
      </c>
      <c r="I1162" s="1022" t="s">
        <v>6777</v>
      </c>
      <c r="J1162" s="436" t="s">
        <v>3088</v>
      </c>
      <c r="K1162" s="436" t="s">
        <v>1977</v>
      </c>
      <c r="L1162" s="436" t="s">
        <v>737</v>
      </c>
      <c r="M1162" s="987"/>
      <c r="N1162" s="987"/>
      <c r="O1162" s="987"/>
      <c r="P1162" s="987"/>
      <c r="Q1162" s="987"/>
      <c r="R1162" s="987"/>
      <c r="S1162" s="987"/>
      <c r="T1162" s="987"/>
      <c r="U1162" s="987"/>
      <c r="V1162" s="987"/>
      <c r="W1162" s="987"/>
      <c r="X1162" s="987"/>
      <c r="Y1162" s="987"/>
      <c r="Z1162" s="987"/>
      <c r="AA1162" s="986"/>
    </row>
    <row r="1163" hidden="1">
      <c r="A1163" s="995">
        <v>366.0</v>
      </c>
      <c r="B1163" s="996">
        <v>44770.0</v>
      </c>
      <c r="C1163" s="984" t="s">
        <v>5319</v>
      </c>
      <c r="D1163" s="436" t="s">
        <v>309</v>
      </c>
      <c r="E1163" s="436" t="s">
        <v>49</v>
      </c>
      <c r="F1163" s="995">
        <v>1.8030438E7</v>
      </c>
      <c r="G1163" s="436" t="s">
        <v>103</v>
      </c>
      <c r="H1163" s="984" t="s">
        <v>6778</v>
      </c>
      <c r="I1163" s="985" t="s">
        <v>6779</v>
      </c>
      <c r="J1163" s="436" t="s">
        <v>3088</v>
      </c>
      <c r="K1163" s="436" t="s">
        <v>6780</v>
      </c>
      <c r="L1163" s="436" t="s">
        <v>6781</v>
      </c>
      <c r="M1163" s="987"/>
      <c r="N1163" s="987"/>
      <c r="O1163" s="987"/>
      <c r="P1163" s="987"/>
      <c r="Q1163" s="987"/>
      <c r="R1163" s="987"/>
      <c r="S1163" s="987"/>
      <c r="T1163" s="987"/>
      <c r="U1163" s="987"/>
      <c r="V1163" s="987"/>
      <c r="W1163" s="987"/>
      <c r="X1163" s="987"/>
      <c r="Y1163" s="987"/>
      <c r="Z1163" s="987"/>
      <c r="AA1163" s="986"/>
    </row>
    <row r="1164" hidden="1">
      <c r="A1164" s="995">
        <v>1217.0</v>
      </c>
      <c r="B1164" s="996">
        <v>45506.0</v>
      </c>
      <c r="C1164" s="984" t="s">
        <v>5319</v>
      </c>
      <c r="D1164" s="436" t="s">
        <v>309</v>
      </c>
      <c r="E1164" s="436" t="s">
        <v>49</v>
      </c>
      <c r="F1164" s="995">
        <v>1.8030452E7</v>
      </c>
      <c r="G1164" s="436" t="s">
        <v>103</v>
      </c>
      <c r="H1164" s="984" t="s">
        <v>6782</v>
      </c>
      <c r="I1164" s="985" t="s">
        <v>6783</v>
      </c>
      <c r="J1164" s="987"/>
      <c r="K1164" s="998"/>
      <c r="L1164" s="1038"/>
      <c r="M1164" s="987"/>
      <c r="N1164" s="987"/>
      <c r="O1164" s="987"/>
      <c r="P1164" s="987"/>
      <c r="Q1164" s="987"/>
      <c r="R1164" s="987"/>
      <c r="S1164" s="987"/>
      <c r="T1164" s="987"/>
      <c r="U1164" s="987"/>
      <c r="V1164" s="987"/>
      <c r="W1164" s="987"/>
      <c r="X1164" s="987"/>
      <c r="Y1164" s="987"/>
      <c r="Z1164" s="987"/>
      <c r="AA1164" s="986"/>
    </row>
    <row r="1165" hidden="1">
      <c r="A1165" s="1028">
        <v>377.0</v>
      </c>
      <c r="B1165" s="1029">
        <v>44789.0</v>
      </c>
      <c r="C1165" s="1030" t="s">
        <v>6784</v>
      </c>
      <c r="D1165" s="1031" t="s">
        <v>239</v>
      </c>
      <c r="E1165" s="436" t="s">
        <v>559</v>
      </c>
      <c r="F1165" s="995">
        <v>1.7190844E7</v>
      </c>
      <c r="G1165" s="436" t="s">
        <v>103</v>
      </c>
      <c r="H1165" s="984" t="s">
        <v>5339</v>
      </c>
      <c r="I1165" s="984" t="s">
        <v>6785</v>
      </c>
      <c r="J1165" s="436" t="s">
        <v>243</v>
      </c>
      <c r="K1165" s="436" t="s">
        <v>5341</v>
      </c>
      <c r="L1165" s="436" t="s">
        <v>5342</v>
      </c>
      <c r="M1165" s="987"/>
      <c r="N1165" s="987"/>
      <c r="O1165" s="987"/>
      <c r="P1165" s="987"/>
      <c r="Q1165" s="987"/>
      <c r="R1165" s="987"/>
      <c r="S1165" s="987"/>
      <c r="T1165" s="987"/>
      <c r="U1165" s="987"/>
      <c r="V1165" s="987"/>
      <c r="W1165" s="987"/>
      <c r="X1165" s="987"/>
      <c r="Y1165" s="987"/>
      <c r="Z1165" s="987"/>
      <c r="AA1165" s="986"/>
    </row>
    <row r="1166" hidden="1">
      <c r="A1166" s="995">
        <v>619.0</v>
      </c>
      <c r="B1166" s="996">
        <v>45110.0</v>
      </c>
      <c r="C1166" s="984" t="s">
        <v>6415</v>
      </c>
      <c r="D1166" s="436" t="s">
        <v>374</v>
      </c>
      <c r="E1166" s="436" t="s">
        <v>6786</v>
      </c>
      <c r="F1166" s="436" t="s">
        <v>50</v>
      </c>
      <c r="G1166" s="436" t="s">
        <v>103</v>
      </c>
      <c r="H1166" s="984" t="s">
        <v>6787</v>
      </c>
      <c r="I1166" s="984" t="s">
        <v>6788</v>
      </c>
      <c r="J1166" s="436" t="s">
        <v>6789</v>
      </c>
      <c r="K1166" s="436" t="s">
        <v>5008</v>
      </c>
      <c r="L1166" s="987"/>
      <c r="M1166" s="987"/>
      <c r="N1166" s="987"/>
      <c r="O1166" s="987"/>
      <c r="P1166" s="987"/>
      <c r="Q1166" s="987"/>
      <c r="R1166" s="987"/>
      <c r="S1166" s="987"/>
      <c r="T1166" s="987"/>
      <c r="U1166" s="987"/>
      <c r="V1166" s="987"/>
      <c r="W1166" s="987"/>
      <c r="X1166" s="987"/>
      <c r="Y1166" s="987"/>
      <c r="Z1166" s="987"/>
      <c r="AA1166" s="986"/>
    </row>
    <row r="1167" hidden="1">
      <c r="A1167" s="995">
        <v>1084.0</v>
      </c>
      <c r="B1167" s="996">
        <v>45390.0</v>
      </c>
      <c r="C1167" s="984" t="s">
        <v>6790</v>
      </c>
      <c r="D1167" s="436" t="s">
        <v>6791</v>
      </c>
      <c r="E1167" s="436" t="s">
        <v>160</v>
      </c>
      <c r="F1167" s="995">
        <v>1.668003E7</v>
      </c>
      <c r="G1167" s="436" t="s">
        <v>120</v>
      </c>
      <c r="H1167" s="984" t="s">
        <v>6792</v>
      </c>
      <c r="I1167" s="1022" t="s">
        <v>6793</v>
      </c>
      <c r="J1167" s="987"/>
      <c r="K1167" s="987"/>
      <c r="L1167" s="987"/>
      <c r="M1167" s="987"/>
      <c r="N1167" s="987"/>
      <c r="O1167" s="987"/>
      <c r="P1167" s="987"/>
      <c r="Q1167" s="987"/>
      <c r="R1167" s="987"/>
      <c r="S1167" s="987"/>
      <c r="T1167" s="987"/>
      <c r="U1167" s="987"/>
      <c r="V1167" s="987"/>
      <c r="W1167" s="987"/>
      <c r="X1167" s="987"/>
      <c r="Y1167" s="987"/>
      <c r="Z1167" s="987"/>
      <c r="AA1167" s="986"/>
    </row>
    <row r="1168" hidden="1">
      <c r="A1168" s="995">
        <v>461.0</v>
      </c>
      <c r="B1168" s="1006">
        <v>44894.0</v>
      </c>
      <c r="C1168" s="984" t="s">
        <v>5528</v>
      </c>
      <c r="D1168" s="436" t="s">
        <v>220</v>
      </c>
      <c r="E1168" s="436" t="s">
        <v>160</v>
      </c>
      <c r="F1168" s="436" t="s">
        <v>50</v>
      </c>
      <c r="G1168" s="436" t="s">
        <v>120</v>
      </c>
      <c r="H1168" s="984" t="s">
        <v>6794</v>
      </c>
      <c r="I1168" s="984" t="s">
        <v>6795</v>
      </c>
      <c r="J1168" s="436" t="s">
        <v>223</v>
      </c>
      <c r="K1168" s="987"/>
      <c r="L1168" s="987"/>
      <c r="M1168" s="987"/>
      <c r="N1168" s="987"/>
      <c r="O1168" s="987"/>
      <c r="P1168" s="987"/>
      <c r="Q1168" s="987"/>
      <c r="R1168" s="987"/>
      <c r="S1168" s="987"/>
      <c r="T1168" s="987"/>
      <c r="U1168" s="987"/>
      <c r="V1168" s="987"/>
      <c r="W1168" s="987"/>
      <c r="X1168" s="987"/>
      <c r="Y1168" s="987"/>
      <c r="Z1168" s="987"/>
      <c r="AA1168" s="986"/>
    </row>
    <row r="1169" hidden="1">
      <c r="A1169" s="995">
        <v>467.0</v>
      </c>
      <c r="B1169" s="996">
        <v>44900.0</v>
      </c>
      <c r="C1169" s="984" t="s">
        <v>5528</v>
      </c>
      <c r="D1169" s="436" t="s">
        <v>220</v>
      </c>
      <c r="E1169" s="436" t="s">
        <v>160</v>
      </c>
      <c r="F1169" s="436" t="s">
        <v>50</v>
      </c>
      <c r="G1169" s="436" t="s">
        <v>120</v>
      </c>
      <c r="H1169" s="984" t="s">
        <v>6796</v>
      </c>
      <c r="I1169" s="984" t="s">
        <v>6797</v>
      </c>
      <c r="J1169" s="987"/>
      <c r="K1169" s="987"/>
      <c r="L1169" s="987"/>
      <c r="M1169" s="987"/>
      <c r="N1169" s="987"/>
      <c r="O1169" s="987"/>
      <c r="P1169" s="987"/>
      <c r="Q1169" s="987"/>
      <c r="R1169" s="987"/>
      <c r="S1169" s="987"/>
      <c r="T1169" s="987"/>
      <c r="U1169" s="987"/>
      <c r="V1169" s="987"/>
      <c r="W1169" s="987"/>
      <c r="X1169" s="987"/>
      <c r="Y1169" s="987"/>
      <c r="Z1169" s="987"/>
      <c r="AA1169" s="986"/>
    </row>
    <row r="1170" hidden="1">
      <c r="A1170" s="995">
        <v>484.0</v>
      </c>
      <c r="B1170" s="996">
        <v>44938.0</v>
      </c>
      <c r="C1170" s="984" t="s">
        <v>5528</v>
      </c>
      <c r="D1170" s="436" t="s">
        <v>220</v>
      </c>
      <c r="E1170" s="436" t="s">
        <v>160</v>
      </c>
      <c r="F1170" s="436" t="s">
        <v>50</v>
      </c>
      <c r="G1170" s="436" t="s">
        <v>120</v>
      </c>
      <c r="H1170" s="984" t="s">
        <v>6798</v>
      </c>
      <c r="I1170" s="984" t="s">
        <v>6799</v>
      </c>
      <c r="J1170" s="987"/>
      <c r="K1170" s="987"/>
      <c r="L1170" s="987"/>
      <c r="M1170" s="987"/>
      <c r="N1170" s="987"/>
      <c r="O1170" s="987"/>
      <c r="P1170" s="987"/>
      <c r="Q1170" s="987"/>
      <c r="R1170" s="987"/>
      <c r="S1170" s="987"/>
      <c r="T1170" s="987"/>
      <c r="U1170" s="987"/>
      <c r="V1170" s="987"/>
      <c r="W1170" s="987"/>
      <c r="X1170" s="987"/>
      <c r="Y1170" s="987"/>
      <c r="Z1170" s="987"/>
      <c r="AA1170" s="986"/>
    </row>
    <row r="1171" hidden="1">
      <c r="A1171" s="995">
        <v>485.0</v>
      </c>
      <c r="B1171" s="996">
        <v>44942.0</v>
      </c>
      <c r="C1171" s="984" t="s">
        <v>5528</v>
      </c>
      <c r="D1171" s="436" t="s">
        <v>220</v>
      </c>
      <c r="E1171" s="436" t="s">
        <v>160</v>
      </c>
      <c r="F1171" s="436" t="s">
        <v>50</v>
      </c>
      <c r="G1171" s="436" t="s">
        <v>120</v>
      </c>
      <c r="H1171" s="984" t="s">
        <v>6800</v>
      </c>
      <c r="I1171" s="984" t="s">
        <v>6795</v>
      </c>
      <c r="J1171" s="987"/>
      <c r="K1171" s="987"/>
      <c r="L1171" s="987"/>
      <c r="M1171" s="987"/>
      <c r="N1171" s="987"/>
      <c r="O1171" s="987"/>
      <c r="P1171" s="987"/>
      <c r="Q1171" s="987"/>
      <c r="R1171" s="987"/>
      <c r="S1171" s="987"/>
      <c r="T1171" s="987"/>
      <c r="U1171" s="987"/>
      <c r="V1171" s="987"/>
      <c r="W1171" s="987"/>
      <c r="X1171" s="987"/>
      <c r="Y1171" s="987"/>
      <c r="Z1171" s="987"/>
      <c r="AA1171" s="986"/>
    </row>
    <row r="1172" hidden="1">
      <c r="A1172" s="995">
        <v>667.0</v>
      </c>
      <c r="B1172" s="996">
        <v>45170.0</v>
      </c>
      <c r="C1172" s="984" t="s">
        <v>6801</v>
      </c>
      <c r="D1172" s="436" t="s">
        <v>1411</v>
      </c>
      <c r="E1172" s="436" t="s">
        <v>49</v>
      </c>
      <c r="F1172" s="436" t="s">
        <v>50</v>
      </c>
      <c r="G1172" s="436" t="s">
        <v>32</v>
      </c>
      <c r="H1172" s="997" t="s">
        <v>6802</v>
      </c>
      <c r="I1172" s="984" t="s">
        <v>6803</v>
      </c>
      <c r="J1172" s="987"/>
      <c r="K1172" s="987"/>
      <c r="L1172" s="987"/>
      <c r="M1172" s="987"/>
      <c r="N1172" s="987"/>
      <c r="O1172" s="987"/>
      <c r="P1172" s="987"/>
      <c r="Q1172" s="987"/>
      <c r="R1172" s="987"/>
      <c r="S1172" s="987"/>
      <c r="T1172" s="987"/>
      <c r="U1172" s="987"/>
      <c r="V1172" s="987"/>
      <c r="W1172" s="987"/>
      <c r="X1172" s="987"/>
      <c r="Y1172" s="987"/>
      <c r="Z1172" s="987"/>
      <c r="AA1172" s="986"/>
    </row>
    <row r="1173" hidden="1">
      <c r="A1173" s="995">
        <v>276.0</v>
      </c>
      <c r="B1173" s="996">
        <v>44586.0</v>
      </c>
      <c r="C1173" s="984" t="s">
        <v>5280</v>
      </c>
      <c r="D1173" s="436" t="s">
        <v>2964</v>
      </c>
      <c r="E1173" s="436" t="s">
        <v>4519</v>
      </c>
      <c r="F1173" s="995">
        <v>1.794018E7</v>
      </c>
      <c r="G1173" s="436" t="s">
        <v>32</v>
      </c>
      <c r="H1173" s="984" t="s">
        <v>6804</v>
      </c>
      <c r="I1173" s="984" t="s">
        <v>6805</v>
      </c>
      <c r="J1173" s="436" t="s">
        <v>2967</v>
      </c>
      <c r="K1173" s="436" t="s">
        <v>5318</v>
      </c>
      <c r="L1173" s="436" t="s">
        <v>280</v>
      </c>
      <c r="M1173" s="987"/>
      <c r="N1173" s="987"/>
      <c r="O1173" s="987"/>
      <c r="P1173" s="987"/>
      <c r="Q1173" s="987"/>
      <c r="R1173" s="987"/>
      <c r="S1173" s="987"/>
      <c r="T1173" s="987"/>
      <c r="U1173" s="987"/>
      <c r="V1173" s="987"/>
      <c r="W1173" s="987"/>
      <c r="X1173" s="987"/>
      <c r="Y1173" s="987"/>
      <c r="Z1173" s="987"/>
      <c r="AA1173" s="986"/>
    </row>
    <row r="1174" hidden="1">
      <c r="A1174" s="995">
        <v>303.0</v>
      </c>
      <c r="B1174" s="996">
        <v>44629.0</v>
      </c>
      <c r="C1174" s="984" t="s">
        <v>5280</v>
      </c>
      <c r="D1174" s="436" t="s">
        <v>2964</v>
      </c>
      <c r="E1174" s="436" t="s">
        <v>5553</v>
      </c>
      <c r="F1174" s="995">
        <v>1.7940199E7</v>
      </c>
      <c r="G1174" s="436" t="s">
        <v>200</v>
      </c>
      <c r="H1174" s="984" t="s">
        <v>6806</v>
      </c>
      <c r="I1174" s="1022" t="s">
        <v>6807</v>
      </c>
      <c r="J1174" s="436" t="s">
        <v>2967</v>
      </c>
      <c r="K1174" s="436" t="s">
        <v>1288</v>
      </c>
      <c r="L1174" s="436" t="s">
        <v>280</v>
      </c>
      <c r="M1174" s="987"/>
      <c r="N1174" s="987"/>
      <c r="O1174" s="987"/>
      <c r="P1174" s="987"/>
      <c r="Q1174" s="987"/>
      <c r="R1174" s="987"/>
      <c r="S1174" s="987"/>
      <c r="T1174" s="987"/>
      <c r="U1174" s="987"/>
      <c r="V1174" s="987"/>
      <c r="W1174" s="987"/>
      <c r="X1174" s="987"/>
      <c r="Y1174" s="987"/>
      <c r="Z1174" s="987"/>
      <c r="AA1174" s="986"/>
    </row>
    <row r="1175" hidden="1">
      <c r="A1175" s="995">
        <v>310.0</v>
      </c>
      <c r="B1175" s="996">
        <v>44642.0</v>
      </c>
      <c r="C1175" s="984" t="s">
        <v>5280</v>
      </c>
      <c r="D1175" s="436" t="s">
        <v>2964</v>
      </c>
      <c r="E1175" s="436" t="s">
        <v>5553</v>
      </c>
      <c r="F1175" s="995">
        <v>1.7940198E7</v>
      </c>
      <c r="G1175" s="436" t="s">
        <v>200</v>
      </c>
      <c r="H1175" s="984" t="s">
        <v>6808</v>
      </c>
      <c r="I1175" s="1022" t="s">
        <v>6809</v>
      </c>
      <c r="J1175" s="436" t="s">
        <v>2967</v>
      </c>
      <c r="K1175" s="436" t="s">
        <v>5800</v>
      </c>
      <c r="L1175" s="436" t="s">
        <v>280</v>
      </c>
      <c r="M1175" s="987"/>
      <c r="N1175" s="987"/>
      <c r="O1175" s="987"/>
      <c r="P1175" s="987"/>
      <c r="Q1175" s="987"/>
      <c r="R1175" s="987"/>
      <c r="S1175" s="987"/>
      <c r="T1175" s="987"/>
      <c r="U1175" s="987"/>
      <c r="V1175" s="987"/>
      <c r="W1175" s="987"/>
      <c r="X1175" s="987"/>
      <c r="Y1175" s="987"/>
      <c r="Z1175" s="987"/>
      <c r="AA1175" s="986"/>
    </row>
    <row r="1176" hidden="1">
      <c r="A1176" s="995">
        <v>331.0</v>
      </c>
      <c r="B1176" s="996">
        <v>44588.0</v>
      </c>
      <c r="C1176" s="984" t="s">
        <v>5280</v>
      </c>
      <c r="D1176" s="436" t="s">
        <v>2964</v>
      </c>
      <c r="E1176" s="436" t="s">
        <v>1467</v>
      </c>
      <c r="F1176" s="995">
        <v>1.79402E7</v>
      </c>
      <c r="G1176" s="436" t="s">
        <v>200</v>
      </c>
      <c r="H1176" s="984" t="s">
        <v>6810</v>
      </c>
      <c r="I1176" s="984" t="s">
        <v>6811</v>
      </c>
      <c r="J1176" s="436" t="s">
        <v>2971</v>
      </c>
      <c r="K1176" s="436" t="s">
        <v>6812</v>
      </c>
      <c r="L1176" s="436" t="s">
        <v>6813</v>
      </c>
      <c r="M1176" s="436" t="s">
        <v>6814</v>
      </c>
      <c r="N1176" s="987"/>
      <c r="O1176" s="987"/>
      <c r="P1176" s="987"/>
      <c r="Q1176" s="987"/>
      <c r="R1176" s="987"/>
      <c r="S1176" s="987"/>
      <c r="T1176" s="987"/>
      <c r="U1176" s="987"/>
      <c r="V1176" s="987"/>
      <c r="W1176" s="987"/>
      <c r="X1176" s="987"/>
      <c r="Y1176" s="987"/>
      <c r="Z1176" s="987"/>
      <c r="AA1176" s="986"/>
    </row>
    <row r="1177" hidden="1">
      <c r="A1177" s="995">
        <v>580.0</v>
      </c>
      <c r="B1177" s="996">
        <v>45057.0</v>
      </c>
      <c r="C1177" s="984" t="s">
        <v>6815</v>
      </c>
      <c r="D1177" s="436" t="s">
        <v>1059</v>
      </c>
      <c r="E1177" s="436" t="s">
        <v>1060</v>
      </c>
      <c r="F1177" s="436" t="s">
        <v>50</v>
      </c>
      <c r="G1177" s="436" t="s">
        <v>135</v>
      </c>
      <c r="H1177" s="984" t="s">
        <v>6816</v>
      </c>
      <c r="I1177" s="984" t="s">
        <v>6817</v>
      </c>
      <c r="J1177" s="436" t="s">
        <v>1063</v>
      </c>
      <c r="K1177" s="987"/>
      <c r="L1177" s="987"/>
      <c r="M1177" s="987"/>
      <c r="N1177" s="987"/>
      <c r="O1177" s="987"/>
      <c r="P1177" s="987"/>
      <c r="Q1177" s="987"/>
      <c r="R1177" s="987"/>
      <c r="S1177" s="987"/>
      <c r="T1177" s="987"/>
      <c r="U1177" s="987"/>
      <c r="V1177" s="987"/>
      <c r="W1177" s="987"/>
      <c r="X1177" s="987"/>
      <c r="Y1177" s="987"/>
      <c r="Z1177" s="987"/>
      <c r="AA1177" s="986"/>
    </row>
    <row r="1178" hidden="1">
      <c r="A1178" s="995">
        <v>284.0</v>
      </c>
      <c r="B1178" s="996">
        <v>44600.0</v>
      </c>
      <c r="C1178" s="984" t="s">
        <v>5175</v>
      </c>
      <c r="D1178" s="436" t="s">
        <v>506</v>
      </c>
      <c r="E1178" s="436" t="s">
        <v>49</v>
      </c>
      <c r="F1178" s="436" t="s">
        <v>50</v>
      </c>
      <c r="G1178" s="436" t="s">
        <v>120</v>
      </c>
      <c r="H1178" s="984" t="s">
        <v>6818</v>
      </c>
      <c r="I1178" s="984" t="s">
        <v>6817</v>
      </c>
      <c r="J1178" s="436" t="s">
        <v>3079</v>
      </c>
      <c r="K1178" s="987"/>
      <c r="L1178" s="987"/>
      <c r="M1178" s="987"/>
      <c r="N1178" s="987"/>
      <c r="O1178" s="987"/>
      <c r="P1178" s="987"/>
      <c r="Q1178" s="987"/>
      <c r="R1178" s="987"/>
      <c r="S1178" s="987"/>
      <c r="T1178" s="987"/>
      <c r="U1178" s="987"/>
      <c r="V1178" s="987"/>
      <c r="W1178" s="987"/>
      <c r="X1178" s="987"/>
      <c r="Y1178" s="987"/>
      <c r="Z1178" s="987"/>
      <c r="AA1178" s="986"/>
    </row>
    <row r="1179" hidden="1">
      <c r="A1179" s="995">
        <v>291.0</v>
      </c>
      <c r="B1179" s="996">
        <v>44609.0</v>
      </c>
      <c r="C1179" s="984" t="s">
        <v>5175</v>
      </c>
      <c r="D1179" s="436" t="s">
        <v>506</v>
      </c>
      <c r="E1179" s="436" t="s">
        <v>49</v>
      </c>
      <c r="F1179" s="436" t="s">
        <v>6819</v>
      </c>
      <c r="G1179" s="436" t="s">
        <v>200</v>
      </c>
      <c r="H1179" s="984" t="s">
        <v>5176</v>
      </c>
      <c r="I1179" s="1022" t="s">
        <v>6820</v>
      </c>
      <c r="J1179" s="436" t="s">
        <v>3079</v>
      </c>
      <c r="K1179" s="436" t="s">
        <v>812</v>
      </c>
      <c r="L1179" s="436" t="s">
        <v>610</v>
      </c>
      <c r="M1179" s="987"/>
      <c r="N1179" s="987"/>
      <c r="O1179" s="987"/>
      <c r="P1179" s="987"/>
      <c r="Q1179" s="987"/>
      <c r="R1179" s="987"/>
      <c r="S1179" s="987"/>
      <c r="T1179" s="987"/>
      <c r="U1179" s="987"/>
      <c r="V1179" s="987"/>
      <c r="W1179" s="987"/>
      <c r="X1179" s="987"/>
      <c r="Y1179" s="987"/>
      <c r="Z1179" s="987"/>
      <c r="AA1179" s="986"/>
    </row>
    <row r="1180" hidden="1">
      <c r="A1180" s="995">
        <v>296.0</v>
      </c>
      <c r="B1180" s="1010">
        <v>44620.0</v>
      </c>
      <c r="C1180" s="997" t="s">
        <v>5175</v>
      </c>
      <c r="D1180" s="1011" t="s">
        <v>506</v>
      </c>
      <c r="E1180" s="1011" t="s">
        <v>49</v>
      </c>
      <c r="F1180" s="1011" t="s">
        <v>50</v>
      </c>
      <c r="G1180" s="1011" t="s">
        <v>200</v>
      </c>
      <c r="H1180" s="997" t="s">
        <v>5183</v>
      </c>
      <c r="I1180" s="997" t="s">
        <v>6821</v>
      </c>
      <c r="J1180" s="436" t="s">
        <v>3079</v>
      </c>
      <c r="K1180" s="436" t="s">
        <v>812</v>
      </c>
      <c r="L1180" s="436" t="s">
        <v>610</v>
      </c>
      <c r="M1180" s="987"/>
      <c r="N1180" s="987"/>
      <c r="O1180" s="987"/>
      <c r="P1180" s="987"/>
      <c r="Q1180" s="987"/>
      <c r="R1180" s="987"/>
      <c r="S1180" s="987"/>
      <c r="T1180" s="987"/>
      <c r="U1180" s="987"/>
      <c r="V1180" s="987"/>
      <c r="W1180" s="987"/>
      <c r="X1180" s="987"/>
      <c r="Y1180" s="987"/>
      <c r="Z1180" s="987"/>
      <c r="AA1180" s="986"/>
    </row>
    <row r="1181" hidden="1">
      <c r="A1181" s="995">
        <v>297.0</v>
      </c>
      <c r="B1181" s="1010">
        <v>44621.0</v>
      </c>
      <c r="C1181" s="997" t="s">
        <v>5175</v>
      </c>
      <c r="D1181" s="1011" t="s">
        <v>506</v>
      </c>
      <c r="E1181" s="1011" t="s">
        <v>49</v>
      </c>
      <c r="F1181" s="1011" t="s">
        <v>50</v>
      </c>
      <c r="G1181" s="1011" t="s">
        <v>200</v>
      </c>
      <c r="H1181" s="997" t="s">
        <v>5183</v>
      </c>
      <c r="I1181" s="1001" t="s">
        <v>6822</v>
      </c>
      <c r="J1181" s="436" t="s">
        <v>3079</v>
      </c>
      <c r="K1181" s="436" t="s">
        <v>812</v>
      </c>
      <c r="L1181" s="436" t="s">
        <v>610</v>
      </c>
      <c r="M1181" s="987"/>
      <c r="N1181" s="987"/>
      <c r="O1181" s="987"/>
      <c r="P1181" s="987"/>
      <c r="Q1181" s="987"/>
      <c r="R1181" s="987"/>
      <c r="S1181" s="987"/>
      <c r="T1181" s="987"/>
      <c r="U1181" s="987"/>
      <c r="V1181" s="987"/>
      <c r="W1181" s="987"/>
      <c r="X1181" s="987"/>
      <c r="Y1181" s="987"/>
      <c r="Z1181" s="987"/>
      <c r="AA1181" s="986"/>
    </row>
    <row r="1182" hidden="1">
      <c r="A1182" s="995">
        <v>300.0</v>
      </c>
      <c r="B1182" s="996">
        <v>44624.0</v>
      </c>
      <c r="C1182" s="984" t="s">
        <v>5175</v>
      </c>
      <c r="D1182" s="436" t="s">
        <v>506</v>
      </c>
      <c r="E1182" s="436" t="s">
        <v>49</v>
      </c>
      <c r="F1182" s="436" t="s">
        <v>50</v>
      </c>
      <c r="G1182" s="436" t="s">
        <v>200</v>
      </c>
      <c r="H1182" s="984" t="s">
        <v>6823</v>
      </c>
      <c r="I1182" s="984" t="s">
        <v>6824</v>
      </c>
      <c r="J1182" s="436" t="s">
        <v>4856</v>
      </c>
      <c r="K1182" s="436" t="s">
        <v>6825</v>
      </c>
      <c r="L1182" s="987"/>
      <c r="M1182" s="987"/>
      <c r="N1182" s="987"/>
      <c r="O1182" s="987"/>
      <c r="P1182" s="987"/>
      <c r="Q1182" s="987"/>
      <c r="R1182" s="987"/>
      <c r="S1182" s="987"/>
      <c r="T1182" s="987"/>
      <c r="U1182" s="987"/>
      <c r="V1182" s="987"/>
      <c r="W1182" s="987"/>
      <c r="X1182" s="987"/>
      <c r="Y1182" s="987"/>
      <c r="Z1182" s="987"/>
      <c r="AA1182" s="986"/>
    </row>
    <row r="1183" hidden="1">
      <c r="A1183" s="995">
        <v>306.0</v>
      </c>
      <c r="B1183" s="996">
        <v>44630.0</v>
      </c>
      <c r="C1183" s="984" t="s">
        <v>5175</v>
      </c>
      <c r="D1183" s="436" t="s">
        <v>506</v>
      </c>
      <c r="E1183" s="436" t="s">
        <v>49</v>
      </c>
      <c r="F1183" s="995">
        <v>1.7242034E7</v>
      </c>
      <c r="G1183" s="436" t="s">
        <v>200</v>
      </c>
      <c r="H1183" s="984" t="s">
        <v>6826</v>
      </c>
      <c r="I1183" s="984" t="s">
        <v>6827</v>
      </c>
      <c r="J1183" s="436" t="s">
        <v>3079</v>
      </c>
      <c r="K1183" s="436" t="s">
        <v>3710</v>
      </c>
      <c r="L1183" s="436" t="s">
        <v>3711</v>
      </c>
      <c r="M1183" s="987"/>
      <c r="N1183" s="987"/>
      <c r="O1183" s="987"/>
      <c r="P1183" s="987"/>
      <c r="Q1183" s="987"/>
      <c r="R1183" s="987"/>
      <c r="S1183" s="987"/>
      <c r="T1183" s="987"/>
      <c r="U1183" s="987"/>
      <c r="V1183" s="987"/>
      <c r="W1183" s="987"/>
      <c r="X1183" s="987"/>
      <c r="Y1183" s="987"/>
      <c r="Z1183" s="987"/>
      <c r="AA1183" s="986"/>
    </row>
    <row r="1184" hidden="1">
      <c r="A1184" s="995">
        <v>422.0</v>
      </c>
      <c r="B1184" s="1006">
        <v>44865.0</v>
      </c>
      <c r="C1184" s="984" t="s">
        <v>5462</v>
      </c>
      <c r="D1184" s="436" t="s">
        <v>506</v>
      </c>
      <c r="E1184" s="436" t="s">
        <v>160</v>
      </c>
      <c r="F1184" s="436" t="s">
        <v>50</v>
      </c>
      <c r="G1184" s="436" t="s">
        <v>200</v>
      </c>
      <c r="H1184" s="1022" t="s">
        <v>6828</v>
      </c>
      <c r="I1184" s="984" t="s">
        <v>6829</v>
      </c>
      <c r="J1184" s="436" t="s">
        <v>6830</v>
      </c>
      <c r="K1184" s="436" t="s">
        <v>6831</v>
      </c>
      <c r="L1184" s="436" t="s">
        <v>3463</v>
      </c>
      <c r="M1184" s="987"/>
      <c r="N1184" s="987"/>
      <c r="O1184" s="987"/>
      <c r="P1184" s="987"/>
      <c r="Q1184" s="987"/>
      <c r="R1184" s="987"/>
      <c r="S1184" s="987"/>
      <c r="T1184" s="987"/>
      <c r="U1184" s="987"/>
      <c r="V1184" s="987"/>
      <c r="W1184" s="987"/>
      <c r="X1184" s="987"/>
      <c r="Y1184" s="987"/>
      <c r="Z1184" s="987"/>
      <c r="AA1184" s="986"/>
    </row>
    <row r="1185" hidden="1">
      <c r="A1185" s="995">
        <v>430.0</v>
      </c>
      <c r="B1185" s="1006">
        <v>44875.0</v>
      </c>
      <c r="C1185" s="984" t="s">
        <v>5462</v>
      </c>
      <c r="D1185" s="436" t="s">
        <v>506</v>
      </c>
      <c r="E1185" s="436" t="s">
        <v>49</v>
      </c>
      <c r="F1185" s="995">
        <v>1.7242132E7</v>
      </c>
      <c r="G1185" s="436" t="s">
        <v>200</v>
      </c>
      <c r="H1185" s="984" t="s">
        <v>6832</v>
      </c>
      <c r="I1185" s="985" t="s">
        <v>6833</v>
      </c>
      <c r="J1185" s="436" t="s">
        <v>3079</v>
      </c>
      <c r="K1185" s="436" t="s">
        <v>6834</v>
      </c>
      <c r="L1185" s="436" t="s">
        <v>3711</v>
      </c>
      <c r="M1185" s="987"/>
      <c r="N1185" s="987"/>
      <c r="O1185" s="987"/>
      <c r="P1185" s="987"/>
      <c r="Q1185" s="987"/>
      <c r="R1185" s="987"/>
      <c r="S1185" s="987"/>
      <c r="T1185" s="987"/>
      <c r="U1185" s="987"/>
      <c r="V1185" s="987"/>
      <c r="W1185" s="987"/>
      <c r="X1185" s="987"/>
      <c r="Y1185" s="987"/>
      <c r="Z1185" s="987"/>
      <c r="AA1185" s="986"/>
    </row>
    <row r="1186" hidden="1">
      <c r="A1186" s="1028">
        <v>431.0</v>
      </c>
      <c r="B1186" s="1033">
        <v>44855.0</v>
      </c>
      <c r="C1186" s="1030" t="s">
        <v>5462</v>
      </c>
      <c r="D1186" s="1031" t="s">
        <v>506</v>
      </c>
      <c r="E1186" s="436" t="s">
        <v>49</v>
      </c>
      <c r="F1186" s="995">
        <v>1.7242092E7</v>
      </c>
      <c r="G1186" s="436" t="s">
        <v>32</v>
      </c>
      <c r="H1186" s="984" t="s">
        <v>6835</v>
      </c>
      <c r="I1186" s="984" t="s">
        <v>6836</v>
      </c>
      <c r="J1186" s="436" t="s">
        <v>3079</v>
      </c>
      <c r="K1186" s="987"/>
      <c r="L1186" s="987"/>
      <c r="M1186" s="987"/>
      <c r="N1186" s="987"/>
      <c r="O1186" s="987"/>
      <c r="P1186" s="987"/>
      <c r="Q1186" s="987"/>
      <c r="R1186" s="987"/>
      <c r="S1186" s="987"/>
      <c r="T1186" s="987"/>
      <c r="U1186" s="987"/>
      <c r="V1186" s="987"/>
      <c r="W1186" s="987"/>
      <c r="X1186" s="987"/>
      <c r="Y1186" s="987"/>
      <c r="Z1186" s="987"/>
      <c r="AA1186" s="986"/>
    </row>
    <row r="1187" hidden="1">
      <c r="A1187" s="995">
        <v>455.0</v>
      </c>
      <c r="B1187" s="1006">
        <v>44882.0</v>
      </c>
      <c r="C1187" s="984" t="s">
        <v>5462</v>
      </c>
      <c r="D1187" s="436" t="s">
        <v>506</v>
      </c>
      <c r="E1187" s="436" t="s">
        <v>49</v>
      </c>
      <c r="F1187" s="995">
        <v>1.7242115E7</v>
      </c>
      <c r="G1187" s="436" t="s">
        <v>200</v>
      </c>
      <c r="H1187" s="984" t="s">
        <v>6837</v>
      </c>
      <c r="I1187" s="984" t="s">
        <v>6838</v>
      </c>
      <c r="J1187" s="436" t="s">
        <v>3079</v>
      </c>
      <c r="K1187" s="436" t="s">
        <v>965</v>
      </c>
      <c r="L1187" s="436" t="s">
        <v>1234</v>
      </c>
      <c r="M1187" s="987"/>
      <c r="N1187" s="987"/>
      <c r="O1187" s="987"/>
      <c r="P1187" s="987"/>
      <c r="Q1187" s="987"/>
      <c r="R1187" s="987"/>
      <c r="S1187" s="987"/>
      <c r="T1187" s="987"/>
      <c r="U1187" s="987"/>
      <c r="V1187" s="987"/>
      <c r="W1187" s="987"/>
      <c r="X1187" s="987"/>
      <c r="Y1187" s="987"/>
      <c r="Z1187" s="987"/>
      <c r="AA1187" s="986"/>
    </row>
    <row r="1188" hidden="1">
      <c r="A1188" s="995">
        <v>591.0</v>
      </c>
      <c r="B1188" s="996">
        <v>45083.0</v>
      </c>
      <c r="C1188" s="984" t="s">
        <v>6839</v>
      </c>
      <c r="D1188" s="436" t="s">
        <v>4076</v>
      </c>
      <c r="E1188" s="436" t="s">
        <v>6840</v>
      </c>
      <c r="F1188" s="995">
        <v>1.7261409E7</v>
      </c>
      <c r="G1188" s="436" t="s">
        <v>32</v>
      </c>
      <c r="H1188" s="984" t="s">
        <v>6841</v>
      </c>
      <c r="I1188" s="984" t="s">
        <v>6842</v>
      </c>
      <c r="J1188" s="987"/>
      <c r="K1188" s="987"/>
      <c r="L1188" s="987"/>
      <c r="M1188" s="987"/>
      <c r="N1188" s="987"/>
      <c r="O1188" s="987"/>
      <c r="P1188" s="987"/>
      <c r="Q1188" s="987"/>
      <c r="R1188" s="987"/>
      <c r="S1188" s="987"/>
      <c r="T1188" s="987"/>
      <c r="U1188" s="987"/>
      <c r="V1188" s="987"/>
      <c r="W1188" s="987"/>
      <c r="X1188" s="987"/>
      <c r="Y1188" s="987"/>
      <c r="Z1188" s="987"/>
      <c r="AA1188" s="986"/>
    </row>
    <row r="1189" hidden="1">
      <c r="A1189" s="995">
        <v>592.0</v>
      </c>
      <c r="B1189" s="996">
        <v>45083.0</v>
      </c>
      <c r="C1189" s="984" t="s">
        <v>6839</v>
      </c>
      <c r="D1189" s="436" t="s">
        <v>4076</v>
      </c>
      <c r="E1189" s="436" t="s">
        <v>6840</v>
      </c>
      <c r="F1189" s="995">
        <v>1.7261413E7</v>
      </c>
      <c r="G1189" s="436" t="s">
        <v>32</v>
      </c>
      <c r="H1189" s="984" t="s">
        <v>6843</v>
      </c>
      <c r="I1189" s="984" t="s">
        <v>6842</v>
      </c>
      <c r="J1189" s="987"/>
      <c r="K1189" s="987"/>
      <c r="L1189" s="987"/>
      <c r="M1189" s="987"/>
      <c r="N1189" s="987"/>
      <c r="O1189" s="987"/>
      <c r="P1189" s="987"/>
      <c r="Q1189" s="987"/>
      <c r="R1189" s="987"/>
      <c r="S1189" s="987"/>
      <c r="T1189" s="987"/>
      <c r="U1189" s="987"/>
      <c r="V1189" s="987"/>
      <c r="W1189" s="987"/>
      <c r="X1189" s="987"/>
      <c r="Y1189" s="987"/>
      <c r="Z1189" s="987"/>
      <c r="AA1189" s="986"/>
    </row>
    <row r="1190" hidden="1">
      <c r="A1190" s="995">
        <v>613.0</v>
      </c>
      <c r="B1190" s="996">
        <v>45091.0</v>
      </c>
      <c r="C1190" s="984" t="s">
        <v>6839</v>
      </c>
      <c r="D1190" s="436" t="s">
        <v>4076</v>
      </c>
      <c r="E1190" s="436" t="s">
        <v>6840</v>
      </c>
      <c r="F1190" s="436" t="s">
        <v>50</v>
      </c>
      <c r="G1190" s="436" t="s">
        <v>200</v>
      </c>
      <c r="H1190" s="984" t="s">
        <v>6841</v>
      </c>
      <c r="I1190" s="989" t="s">
        <v>6844</v>
      </c>
      <c r="J1190" s="436" t="s">
        <v>6845</v>
      </c>
      <c r="K1190" s="436" t="s">
        <v>812</v>
      </c>
      <c r="L1190" s="436" t="s">
        <v>610</v>
      </c>
      <c r="M1190" s="987"/>
      <c r="N1190" s="987"/>
      <c r="O1190" s="987"/>
      <c r="P1190" s="987"/>
      <c r="Q1190" s="987"/>
      <c r="R1190" s="987"/>
      <c r="S1190" s="987"/>
      <c r="T1190" s="987"/>
      <c r="U1190" s="987"/>
      <c r="V1190" s="987"/>
      <c r="W1190" s="987"/>
      <c r="X1190" s="987"/>
      <c r="Y1190" s="987"/>
      <c r="Z1190" s="987"/>
      <c r="AA1190" s="986"/>
    </row>
    <row r="1191" hidden="1">
      <c r="A1191" s="995">
        <v>615.0</v>
      </c>
      <c r="B1191" s="996">
        <v>45104.0</v>
      </c>
      <c r="C1191" s="984" t="s">
        <v>6846</v>
      </c>
      <c r="D1191" s="436" t="s">
        <v>4076</v>
      </c>
      <c r="E1191" s="436" t="s">
        <v>6840</v>
      </c>
      <c r="F1191" s="995">
        <v>1.7261458E7</v>
      </c>
      <c r="G1191" s="436" t="s">
        <v>200</v>
      </c>
      <c r="H1191" s="984" t="s">
        <v>6847</v>
      </c>
      <c r="I1191" s="984" t="s">
        <v>6848</v>
      </c>
      <c r="J1191" s="436" t="s">
        <v>6845</v>
      </c>
      <c r="K1191" s="436" t="s">
        <v>3641</v>
      </c>
      <c r="L1191" s="436" t="s">
        <v>3246</v>
      </c>
      <c r="M1191" s="987"/>
      <c r="N1191" s="987"/>
      <c r="O1191" s="987"/>
      <c r="P1191" s="987"/>
      <c r="Q1191" s="987"/>
      <c r="R1191" s="987"/>
      <c r="S1191" s="987"/>
      <c r="T1191" s="987"/>
      <c r="U1191" s="987"/>
      <c r="V1191" s="987"/>
      <c r="W1191" s="987"/>
      <c r="X1191" s="987"/>
      <c r="Y1191" s="987"/>
      <c r="Z1191" s="987"/>
      <c r="AA1191" s="986"/>
    </row>
    <row r="1192" hidden="1">
      <c r="A1192" s="995">
        <v>501.0</v>
      </c>
      <c r="B1192" s="996">
        <v>44984.0</v>
      </c>
      <c r="C1192" s="984" t="s">
        <v>5450</v>
      </c>
      <c r="D1192" s="436" t="s">
        <v>4836</v>
      </c>
      <c r="E1192" s="436" t="s">
        <v>4837</v>
      </c>
      <c r="F1192" s="995">
        <v>1.7650195E7</v>
      </c>
      <c r="G1192" s="436" t="s">
        <v>200</v>
      </c>
      <c r="H1192" s="984" t="s">
        <v>6849</v>
      </c>
      <c r="I1192" s="984" t="s">
        <v>6850</v>
      </c>
      <c r="J1192" s="436" t="s">
        <v>1117</v>
      </c>
      <c r="K1192" s="987"/>
      <c r="L1192" s="987"/>
      <c r="M1192" s="987"/>
      <c r="N1192" s="987"/>
      <c r="O1192" s="987"/>
      <c r="P1192" s="987"/>
      <c r="Q1192" s="987"/>
      <c r="R1192" s="987"/>
      <c r="S1192" s="987"/>
      <c r="T1192" s="987"/>
      <c r="U1192" s="987"/>
      <c r="V1192" s="987"/>
      <c r="W1192" s="987"/>
      <c r="X1192" s="987"/>
      <c r="Y1192" s="987"/>
      <c r="Z1192" s="987"/>
      <c r="AA1192" s="986"/>
    </row>
    <row r="1193" hidden="1">
      <c r="A1193" s="995">
        <v>393.0</v>
      </c>
      <c r="B1193" s="996">
        <v>44820.0</v>
      </c>
      <c r="C1193" s="984" t="s">
        <v>6851</v>
      </c>
      <c r="D1193" s="436" t="s">
        <v>6852</v>
      </c>
      <c r="E1193" s="436" t="s">
        <v>6853</v>
      </c>
      <c r="F1193" s="995">
        <v>1.845006E7</v>
      </c>
      <c r="G1193" s="436" t="s">
        <v>200</v>
      </c>
      <c r="H1193" s="984" t="s">
        <v>5543</v>
      </c>
      <c r="I1193" s="984" t="s">
        <v>6803</v>
      </c>
      <c r="J1193" s="987"/>
      <c r="K1193" s="987"/>
      <c r="L1193" s="987"/>
      <c r="M1193" s="987"/>
      <c r="N1193" s="987"/>
      <c r="O1193" s="987"/>
      <c r="P1193" s="987"/>
      <c r="Q1193" s="987"/>
      <c r="R1193" s="987"/>
      <c r="S1193" s="987"/>
      <c r="T1193" s="987"/>
      <c r="U1193" s="987"/>
      <c r="V1193" s="987"/>
      <c r="W1193" s="987"/>
      <c r="X1193" s="987"/>
      <c r="Y1193" s="987"/>
      <c r="Z1193" s="987"/>
      <c r="AA1193" s="986"/>
    </row>
    <row r="1194" hidden="1">
      <c r="A1194" s="995">
        <v>926.0</v>
      </c>
      <c r="B1194" s="996">
        <v>45329.0</v>
      </c>
      <c r="C1194" s="984" t="s">
        <v>6854</v>
      </c>
      <c r="D1194" s="436" t="s">
        <v>6855</v>
      </c>
      <c r="E1194" s="436" t="s">
        <v>6853</v>
      </c>
      <c r="F1194" s="995">
        <v>1.845008E7</v>
      </c>
      <c r="G1194" s="436" t="s">
        <v>200</v>
      </c>
      <c r="H1194" s="984" t="s">
        <v>6856</v>
      </c>
      <c r="I1194" s="984" t="s">
        <v>6857</v>
      </c>
      <c r="J1194" s="987"/>
      <c r="K1194" s="987"/>
      <c r="L1194" s="987"/>
      <c r="M1194" s="987"/>
      <c r="N1194" s="987"/>
      <c r="O1194" s="987"/>
      <c r="P1194" s="987"/>
      <c r="Q1194" s="987"/>
      <c r="R1194" s="987"/>
      <c r="S1194" s="987"/>
      <c r="T1194" s="987"/>
      <c r="U1194" s="987"/>
      <c r="V1194" s="987"/>
      <c r="W1194" s="987"/>
      <c r="X1194" s="987"/>
      <c r="Y1194" s="987"/>
      <c r="Z1194" s="987"/>
      <c r="AA1194" s="986"/>
    </row>
    <row r="1195" hidden="1">
      <c r="A1195" s="995">
        <v>633.0</v>
      </c>
      <c r="B1195" s="996">
        <v>45121.0</v>
      </c>
      <c r="C1195" s="984" t="s">
        <v>5638</v>
      </c>
      <c r="D1195" s="436" t="s">
        <v>2530</v>
      </c>
      <c r="E1195" s="436" t="s">
        <v>721</v>
      </c>
      <c r="F1195" s="995">
        <v>1.861095E7</v>
      </c>
      <c r="G1195" s="436" t="s">
        <v>32</v>
      </c>
      <c r="H1195" s="984" t="s">
        <v>6858</v>
      </c>
      <c r="I1195" s="984" t="s">
        <v>6859</v>
      </c>
      <c r="J1195" s="436" t="s">
        <v>2533</v>
      </c>
      <c r="K1195" s="987"/>
      <c r="L1195" s="987"/>
      <c r="M1195" s="987"/>
      <c r="N1195" s="987"/>
      <c r="O1195" s="987"/>
      <c r="P1195" s="987"/>
      <c r="Q1195" s="987"/>
      <c r="R1195" s="987"/>
      <c r="S1195" s="987"/>
      <c r="T1195" s="987"/>
      <c r="U1195" s="987"/>
      <c r="V1195" s="987"/>
      <c r="W1195" s="987"/>
      <c r="X1195" s="987"/>
      <c r="Y1195" s="987"/>
      <c r="Z1195" s="987"/>
      <c r="AA1195" s="986"/>
    </row>
    <row r="1196" hidden="1">
      <c r="A1196" s="995">
        <v>574.0</v>
      </c>
      <c r="B1196" s="996">
        <v>45044.0</v>
      </c>
      <c r="C1196" s="984" t="s">
        <v>6860</v>
      </c>
      <c r="D1196" s="436" t="s">
        <v>393</v>
      </c>
      <c r="E1196" s="436" t="s">
        <v>6861</v>
      </c>
      <c r="F1196" s="995">
        <v>1.8810348E7</v>
      </c>
      <c r="G1196" s="436" t="s">
        <v>200</v>
      </c>
      <c r="H1196" s="984" t="s">
        <v>5543</v>
      </c>
      <c r="I1196" s="1022" t="s">
        <v>6862</v>
      </c>
      <c r="J1196" s="436" t="s">
        <v>398</v>
      </c>
      <c r="K1196" s="436" t="s">
        <v>4974</v>
      </c>
      <c r="L1196" s="436" t="s">
        <v>6863</v>
      </c>
      <c r="M1196" s="987"/>
      <c r="N1196" s="987"/>
      <c r="O1196" s="987"/>
      <c r="P1196" s="987"/>
      <c r="Q1196" s="987"/>
      <c r="R1196" s="987"/>
      <c r="S1196" s="987"/>
      <c r="T1196" s="987"/>
      <c r="U1196" s="987"/>
      <c r="V1196" s="987"/>
      <c r="W1196" s="987"/>
      <c r="X1196" s="987"/>
      <c r="Y1196" s="987"/>
      <c r="Z1196" s="987"/>
      <c r="AA1196" s="986"/>
    </row>
    <row r="1197" hidden="1">
      <c r="A1197" s="995">
        <v>496.0</v>
      </c>
      <c r="B1197" s="996">
        <v>44994.0</v>
      </c>
      <c r="C1197" s="984" t="s">
        <v>6864</v>
      </c>
      <c r="D1197" s="436" t="s">
        <v>4268</v>
      </c>
      <c r="E1197" s="987"/>
      <c r="F1197" s="995">
        <v>1.4850795E7</v>
      </c>
      <c r="G1197" s="436" t="s">
        <v>51</v>
      </c>
      <c r="H1197" s="984" t="s">
        <v>6865</v>
      </c>
      <c r="I1197" s="984" t="s">
        <v>6866</v>
      </c>
      <c r="J1197" s="987"/>
      <c r="K1197" s="987"/>
      <c r="L1197" s="987"/>
      <c r="M1197" s="987"/>
      <c r="N1197" s="987"/>
      <c r="O1197" s="987"/>
      <c r="P1197" s="987"/>
      <c r="Q1197" s="987"/>
      <c r="R1197" s="987"/>
      <c r="S1197" s="987"/>
      <c r="T1197" s="987"/>
      <c r="U1197" s="987"/>
      <c r="V1197" s="987"/>
      <c r="W1197" s="987"/>
      <c r="X1197" s="987"/>
      <c r="Y1197" s="987"/>
      <c r="Z1197" s="987"/>
      <c r="AA1197" s="986"/>
    </row>
    <row r="1198" hidden="1">
      <c r="A1198" s="995">
        <v>229.0</v>
      </c>
      <c r="B1198" s="996">
        <v>44056.0</v>
      </c>
      <c r="C1198" s="997" t="s">
        <v>6867</v>
      </c>
      <c r="D1198" s="436" t="s">
        <v>506</v>
      </c>
      <c r="E1198" s="436" t="s">
        <v>49</v>
      </c>
      <c r="F1198" s="995">
        <v>1.724151E7</v>
      </c>
      <c r="G1198" s="436" t="s">
        <v>120</v>
      </c>
      <c r="H1198" s="984" t="s">
        <v>6868</v>
      </c>
      <c r="I1198" s="1001" t="s">
        <v>6869</v>
      </c>
      <c r="J1198" s="436" t="s">
        <v>3079</v>
      </c>
      <c r="K1198" s="436" t="s">
        <v>3190</v>
      </c>
      <c r="L1198" s="436" t="s">
        <v>3191</v>
      </c>
      <c r="M1198" s="987"/>
      <c r="N1198" s="987"/>
      <c r="O1198" s="987"/>
      <c r="P1198" s="987"/>
      <c r="Q1198" s="987"/>
      <c r="R1198" s="436" t="s">
        <v>2327</v>
      </c>
      <c r="S1198" s="995">
        <v>44526.0</v>
      </c>
      <c r="T1198" s="987"/>
      <c r="U1198" s="987"/>
      <c r="V1198" s="987"/>
      <c r="W1198" s="987"/>
      <c r="X1198" s="987"/>
      <c r="Y1198" s="987"/>
      <c r="Z1198" s="987"/>
      <c r="AA1198" s="986"/>
    </row>
    <row r="1199" hidden="1">
      <c r="A1199" s="995">
        <v>248.0</v>
      </c>
      <c r="B1199" s="996">
        <v>44440.0</v>
      </c>
      <c r="C1199" s="984" t="s">
        <v>6870</v>
      </c>
      <c r="D1199" s="436" t="s">
        <v>417</v>
      </c>
      <c r="E1199" s="436" t="s">
        <v>281</v>
      </c>
      <c r="F1199" s="995">
        <v>1.63404E7</v>
      </c>
      <c r="G1199" s="436" t="s">
        <v>200</v>
      </c>
      <c r="H1199" s="984" t="s">
        <v>6871</v>
      </c>
      <c r="I1199" s="993" t="s">
        <v>6872</v>
      </c>
      <c r="J1199" s="436" t="s">
        <v>265</v>
      </c>
      <c r="K1199" s="436" t="s">
        <v>6043</v>
      </c>
      <c r="L1199" s="436" t="s">
        <v>267</v>
      </c>
      <c r="M1199" s="987"/>
      <c r="N1199" s="987"/>
      <c r="O1199" s="987"/>
      <c r="P1199" s="987"/>
      <c r="Q1199" s="987"/>
      <c r="R1199" s="987"/>
      <c r="S1199" s="987"/>
      <c r="T1199" s="987"/>
      <c r="U1199" s="987"/>
      <c r="V1199" s="987"/>
      <c r="W1199" s="987"/>
      <c r="X1199" s="987"/>
      <c r="Y1199" s="987"/>
      <c r="Z1199" s="987"/>
      <c r="AA1199" s="986"/>
    </row>
    <row r="1200" hidden="1">
      <c r="A1200" s="995">
        <v>282.0</v>
      </c>
      <c r="B1200" s="996">
        <v>44596.0</v>
      </c>
      <c r="C1200" s="984" t="s">
        <v>6873</v>
      </c>
      <c r="D1200" s="436" t="s">
        <v>411</v>
      </c>
      <c r="E1200" s="436" t="s">
        <v>49</v>
      </c>
      <c r="F1200" s="995">
        <v>1.8030395E7</v>
      </c>
      <c r="G1200" s="436" t="s">
        <v>103</v>
      </c>
      <c r="H1200" s="984" t="s">
        <v>6874</v>
      </c>
      <c r="I1200" s="985" t="s">
        <v>6875</v>
      </c>
      <c r="J1200" s="987"/>
      <c r="K1200" s="987"/>
      <c r="L1200" s="987"/>
      <c r="M1200" s="987"/>
      <c r="N1200" s="987"/>
      <c r="O1200" s="987"/>
      <c r="P1200" s="987"/>
      <c r="Q1200" s="987"/>
      <c r="R1200" s="987"/>
      <c r="S1200" s="987"/>
      <c r="T1200" s="987"/>
      <c r="U1200" s="987"/>
      <c r="V1200" s="987"/>
      <c r="W1200" s="987"/>
      <c r="X1200" s="987"/>
      <c r="Y1200" s="987"/>
      <c r="Z1200" s="987"/>
      <c r="AA1200" s="986"/>
    </row>
    <row r="1201" hidden="1">
      <c r="A1201" s="995">
        <v>283.0</v>
      </c>
      <c r="B1201" s="1010">
        <v>44599.0</v>
      </c>
      <c r="C1201" s="997" t="s">
        <v>6876</v>
      </c>
      <c r="D1201" s="1011" t="s">
        <v>367</v>
      </c>
      <c r="E1201" s="1011" t="s">
        <v>49</v>
      </c>
      <c r="F1201" s="1011" t="s">
        <v>50</v>
      </c>
      <c r="G1201" s="1011" t="s">
        <v>120</v>
      </c>
      <c r="H1201" s="997" t="s">
        <v>6877</v>
      </c>
      <c r="I1201" s="997" t="s">
        <v>6878</v>
      </c>
      <c r="J1201" s="436" t="s">
        <v>123</v>
      </c>
      <c r="K1201" s="436" t="s">
        <v>6879</v>
      </c>
      <c r="L1201" s="436" t="s">
        <v>4919</v>
      </c>
      <c r="M1201" s="987"/>
      <c r="N1201" s="987"/>
      <c r="O1201" s="987"/>
      <c r="P1201" s="987"/>
      <c r="Q1201" s="987"/>
      <c r="R1201" s="987"/>
      <c r="S1201" s="987"/>
      <c r="T1201" s="987"/>
      <c r="U1201" s="987"/>
      <c r="V1201" s="987"/>
      <c r="W1201" s="987"/>
      <c r="X1201" s="987"/>
      <c r="Y1201" s="987"/>
      <c r="Z1201" s="987"/>
      <c r="AA1201" s="986"/>
    </row>
    <row r="1202" hidden="1">
      <c r="A1202" s="995">
        <v>320.0</v>
      </c>
      <c r="B1202" s="996">
        <v>44683.0</v>
      </c>
      <c r="C1202" s="984" t="s">
        <v>6479</v>
      </c>
      <c r="D1202" s="436" t="s">
        <v>101</v>
      </c>
      <c r="E1202" s="436" t="s">
        <v>1028</v>
      </c>
      <c r="F1202" s="436" t="s">
        <v>50</v>
      </c>
      <c r="G1202" s="436" t="s">
        <v>103</v>
      </c>
      <c r="H1202" s="997" t="s">
        <v>6880</v>
      </c>
      <c r="I1202" s="1022" t="s">
        <v>6881</v>
      </c>
      <c r="J1202" s="436" t="s">
        <v>1031</v>
      </c>
      <c r="K1202" s="436" t="s">
        <v>6882</v>
      </c>
      <c r="L1202" s="436" t="s">
        <v>4581</v>
      </c>
      <c r="M1202" s="987"/>
      <c r="N1202" s="987"/>
      <c r="O1202" s="987"/>
      <c r="P1202" s="987"/>
      <c r="Q1202" s="987"/>
      <c r="R1202" s="436" t="s">
        <v>62</v>
      </c>
      <c r="S1202" s="987"/>
      <c r="T1202" s="987"/>
      <c r="U1202" s="987"/>
      <c r="V1202" s="987"/>
      <c r="W1202" s="987"/>
      <c r="X1202" s="987"/>
      <c r="Y1202" s="987"/>
      <c r="Z1202" s="987"/>
      <c r="AA1202" s="986"/>
    </row>
    <row r="1203" hidden="1">
      <c r="A1203" s="995">
        <v>326.0</v>
      </c>
      <c r="B1203" s="996">
        <v>44705.0</v>
      </c>
      <c r="C1203" s="984" t="s">
        <v>6883</v>
      </c>
      <c r="D1203" s="436" t="s">
        <v>2639</v>
      </c>
      <c r="E1203" s="436" t="s">
        <v>702</v>
      </c>
      <c r="F1203" s="436" t="s">
        <v>50</v>
      </c>
      <c r="G1203" s="436" t="s">
        <v>32</v>
      </c>
      <c r="H1203" s="984" t="s">
        <v>6884</v>
      </c>
      <c r="I1203" s="984" t="s">
        <v>6885</v>
      </c>
      <c r="J1203" s="436" t="s">
        <v>415</v>
      </c>
      <c r="K1203" s="987"/>
      <c r="L1203" s="987"/>
      <c r="M1203" s="987"/>
      <c r="N1203" s="987"/>
      <c r="O1203" s="987"/>
      <c r="P1203" s="987"/>
      <c r="Q1203" s="987"/>
      <c r="R1203" s="987"/>
      <c r="S1203" s="987"/>
      <c r="T1203" s="987"/>
      <c r="U1203" s="987"/>
      <c r="V1203" s="987"/>
      <c r="W1203" s="987"/>
      <c r="X1203" s="987"/>
      <c r="Y1203" s="987"/>
      <c r="Z1203" s="987"/>
      <c r="AA1203" s="986"/>
    </row>
    <row r="1204" hidden="1">
      <c r="A1204" s="995">
        <v>381.0</v>
      </c>
      <c r="B1204" s="996">
        <v>44798.0</v>
      </c>
      <c r="C1204" s="984" t="s">
        <v>6886</v>
      </c>
      <c r="D1204" s="436" t="s">
        <v>2585</v>
      </c>
      <c r="E1204" s="436" t="s">
        <v>6887</v>
      </c>
      <c r="F1204" s="987"/>
      <c r="G1204" s="436" t="s">
        <v>135</v>
      </c>
      <c r="H1204" s="984" t="s">
        <v>6888</v>
      </c>
      <c r="I1204" s="989" t="s">
        <v>6889</v>
      </c>
      <c r="J1204" s="436" t="s">
        <v>6890</v>
      </c>
      <c r="K1204" s="987"/>
      <c r="L1204" s="436" t="s">
        <v>6891</v>
      </c>
      <c r="M1204" s="987"/>
      <c r="N1204" s="987"/>
      <c r="O1204" s="987"/>
      <c r="P1204" s="987"/>
      <c r="Q1204" s="987"/>
      <c r="R1204" s="987"/>
      <c r="S1204" s="987"/>
      <c r="T1204" s="987"/>
      <c r="U1204" s="987"/>
      <c r="V1204" s="987"/>
      <c r="W1204" s="987"/>
      <c r="X1204" s="987"/>
      <c r="Y1204" s="987"/>
      <c r="Z1204" s="987"/>
      <c r="AA1204" s="986"/>
    </row>
    <row r="1205" hidden="1">
      <c r="A1205" s="995">
        <v>382.0</v>
      </c>
      <c r="B1205" s="996">
        <v>44799.0</v>
      </c>
      <c r="C1205" s="984" t="s">
        <v>6892</v>
      </c>
      <c r="D1205" s="436" t="s">
        <v>3809</v>
      </c>
      <c r="E1205" s="436" t="s">
        <v>3810</v>
      </c>
      <c r="F1205" s="995">
        <v>1.358266E7</v>
      </c>
      <c r="G1205" s="436" t="s">
        <v>200</v>
      </c>
      <c r="H1205" s="984" t="s">
        <v>6893</v>
      </c>
      <c r="I1205" s="993" t="s">
        <v>6894</v>
      </c>
      <c r="J1205" s="436" t="s">
        <v>4890</v>
      </c>
      <c r="K1205" s="436" t="s">
        <v>6895</v>
      </c>
      <c r="L1205" s="436" t="s">
        <v>5082</v>
      </c>
      <c r="M1205" s="987"/>
      <c r="N1205" s="987"/>
      <c r="O1205" s="987"/>
      <c r="P1205" s="987"/>
      <c r="Q1205" s="987"/>
      <c r="R1205" s="987"/>
      <c r="S1205" s="987"/>
      <c r="T1205" s="987"/>
      <c r="U1205" s="987"/>
      <c r="V1205" s="987"/>
      <c r="W1205" s="987"/>
      <c r="X1205" s="987"/>
      <c r="Y1205" s="987"/>
      <c r="Z1205" s="987"/>
      <c r="AA1205" s="986"/>
    </row>
    <row r="1206" hidden="1">
      <c r="A1206" s="995">
        <v>390.0</v>
      </c>
      <c r="B1206" s="996">
        <v>44819.0</v>
      </c>
      <c r="C1206" s="984" t="s">
        <v>6896</v>
      </c>
      <c r="D1206" s="436" t="s">
        <v>1394</v>
      </c>
      <c r="E1206" s="436" t="s">
        <v>49</v>
      </c>
      <c r="F1206" s="436" t="s">
        <v>50</v>
      </c>
      <c r="G1206" s="436" t="s">
        <v>262</v>
      </c>
      <c r="H1206" s="984" t="s">
        <v>6897</v>
      </c>
      <c r="I1206" s="993" t="s">
        <v>6898</v>
      </c>
      <c r="J1206" s="436" t="s">
        <v>1397</v>
      </c>
      <c r="K1206" s="436" t="s">
        <v>6899</v>
      </c>
      <c r="L1206" s="987"/>
      <c r="M1206" s="987"/>
      <c r="N1206" s="987"/>
      <c r="O1206" s="987"/>
      <c r="P1206" s="987"/>
      <c r="Q1206" s="987"/>
      <c r="R1206" s="987"/>
      <c r="S1206" s="987"/>
      <c r="T1206" s="987"/>
      <c r="U1206" s="987"/>
      <c r="V1206" s="987"/>
      <c r="W1206" s="987"/>
      <c r="X1206" s="987"/>
      <c r="Y1206" s="987"/>
      <c r="Z1206" s="987"/>
      <c r="AA1206" s="986"/>
    </row>
    <row r="1207" hidden="1">
      <c r="A1207" s="995">
        <v>391.0</v>
      </c>
      <c r="B1207" s="1010">
        <v>44819.0</v>
      </c>
      <c r="C1207" s="997" t="s">
        <v>6900</v>
      </c>
      <c r="D1207" s="1011" t="s">
        <v>1394</v>
      </c>
      <c r="E1207" s="1011" t="s">
        <v>49</v>
      </c>
      <c r="F1207" s="1011" t="s">
        <v>50</v>
      </c>
      <c r="G1207" s="1011" t="s">
        <v>262</v>
      </c>
      <c r="H1207" s="997" t="s">
        <v>6897</v>
      </c>
      <c r="I1207" s="997" t="s">
        <v>6901</v>
      </c>
      <c r="J1207" s="436" t="s">
        <v>1397</v>
      </c>
      <c r="K1207" s="436" t="s">
        <v>6899</v>
      </c>
      <c r="L1207" s="987"/>
      <c r="M1207" s="987"/>
      <c r="N1207" s="987"/>
      <c r="O1207" s="987"/>
      <c r="P1207" s="987"/>
      <c r="Q1207" s="987"/>
      <c r="R1207" s="987"/>
      <c r="S1207" s="987"/>
      <c r="T1207" s="987"/>
      <c r="U1207" s="987"/>
      <c r="V1207" s="987"/>
      <c r="W1207" s="987"/>
      <c r="X1207" s="987"/>
      <c r="Y1207" s="987"/>
      <c r="Z1207" s="987"/>
      <c r="AA1207" s="986"/>
    </row>
    <row r="1208" hidden="1">
      <c r="A1208" s="995">
        <v>406.0</v>
      </c>
      <c r="B1208" s="988">
        <v>44841.0</v>
      </c>
      <c r="C1208" s="989" t="s">
        <v>5531</v>
      </c>
      <c r="D1208" s="434" t="s">
        <v>48</v>
      </c>
      <c r="E1208" s="434" t="s">
        <v>49</v>
      </c>
      <c r="F1208" s="990">
        <v>1.4691973E7</v>
      </c>
      <c r="G1208" s="434" t="s">
        <v>51</v>
      </c>
      <c r="H1208" s="989" t="s">
        <v>6902</v>
      </c>
      <c r="I1208" s="993" t="s">
        <v>6903</v>
      </c>
      <c r="J1208" s="436" t="s">
        <v>143</v>
      </c>
      <c r="K1208" s="436" t="s">
        <v>6904</v>
      </c>
      <c r="L1208" s="436" t="s">
        <v>946</v>
      </c>
      <c r="M1208" s="987"/>
      <c r="N1208" s="987"/>
      <c r="O1208" s="987"/>
      <c r="P1208" s="987"/>
      <c r="Q1208" s="987"/>
      <c r="R1208" s="987"/>
      <c r="S1208" s="987"/>
      <c r="T1208" s="436" t="s">
        <v>62</v>
      </c>
      <c r="U1208" s="1020">
        <v>45931.0</v>
      </c>
      <c r="V1208" s="987"/>
      <c r="W1208" s="987"/>
      <c r="X1208" s="987"/>
      <c r="Y1208" s="987"/>
      <c r="Z1208" s="987"/>
      <c r="AA1208" s="986"/>
    </row>
    <row r="1209" hidden="1">
      <c r="A1209" s="995">
        <v>458.0</v>
      </c>
      <c r="B1209" s="1006">
        <v>44893.0</v>
      </c>
      <c r="C1209" s="984" t="s">
        <v>6905</v>
      </c>
      <c r="D1209" s="436" t="s">
        <v>367</v>
      </c>
      <c r="E1209" s="436" t="s">
        <v>383</v>
      </c>
      <c r="F1209" s="436" t="s">
        <v>50</v>
      </c>
      <c r="G1209" s="436" t="s">
        <v>120</v>
      </c>
      <c r="H1209" s="984" t="s">
        <v>6906</v>
      </c>
      <c r="I1209" s="989" t="s">
        <v>6907</v>
      </c>
      <c r="J1209" s="987"/>
      <c r="K1209" s="987"/>
      <c r="L1209" s="987"/>
      <c r="M1209" s="987"/>
      <c r="N1209" s="987"/>
      <c r="O1209" s="987"/>
      <c r="P1209" s="987"/>
      <c r="Q1209" s="987"/>
      <c r="R1209" s="987"/>
      <c r="S1209" s="987"/>
      <c r="T1209" s="987"/>
      <c r="U1209" s="987"/>
      <c r="V1209" s="987"/>
      <c r="W1209" s="987"/>
      <c r="X1209" s="987"/>
      <c r="Y1209" s="987"/>
      <c r="Z1209" s="987"/>
      <c r="AA1209" s="986"/>
    </row>
    <row r="1210" hidden="1">
      <c r="A1210" s="995">
        <v>459.0</v>
      </c>
      <c r="B1210" s="1006">
        <v>44893.0</v>
      </c>
      <c r="C1210" s="984" t="s">
        <v>6905</v>
      </c>
      <c r="D1210" s="436" t="s">
        <v>367</v>
      </c>
      <c r="E1210" s="436" t="s">
        <v>383</v>
      </c>
      <c r="F1210" s="436" t="s">
        <v>50</v>
      </c>
      <c r="G1210" s="436" t="s">
        <v>120</v>
      </c>
      <c r="H1210" s="984" t="s">
        <v>6908</v>
      </c>
      <c r="I1210" s="989" t="s">
        <v>6907</v>
      </c>
      <c r="J1210" s="987"/>
      <c r="K1210" s="987"/>
      <c r="L1210" s="987"/>
      <c r="M1210" s="987"/>
      <c r="N1210" s="987"/>
      <c r="O1210" s="987"/>
      <c r="P1210" s="987"/>
      <c r="Q1210" s="987"/>
      <c r="R1210" s="987"/>
      <c r="S1210" s="987"/>
      <c r="T1210" s="987"/>
      <c r="U1210" s="987"/>
      <c r="V1210" s="987"/>
      <c r="W1210" s="987"/>
      <c r="X1210" s="987"/>
      <c r="Y1210" s="987"/>
      <c r="Z1210" s="987"/>
      <c r="AA1210" s="986"/>
    </row>
    <row r="1211" hidden="1">
      <c r="A1211" s="995">
        <v>482.0</v>
      </c>
      <c r="B1211" s="1006">
        <v>44922.0</v>
      </c>
      <c r="C1211" s="989" t="s">
        <v>6909</v>
      </c>
      <c r="D1211" s="434" t="s">
        <v>67</v>
      </c>
      <c r="E1211" s="434" t="s">
        <v>2536</v>
      </c>
      <c r="F1211" s="434" t="s">
        <v>50</v>
      </c>
      <c r="G1211" s="434" t="s">
        <v>42</v>
      </c>
      <c r="H1211" s="989" t="s">
        <v>6910</v>
      </c>
      <c r="I1211" s="989" t="s">
        <v>6911</v>
      </c>
      <c r="J1211" s="987"/>
      <c r="K1211" s="987"/>
      <c r="L1211" s="987"/>
      <c r="M1211" s="987"/>
      <c r="N1211" s="987"/>
      <c r="O1211" s="987"/>
      <c r="P1211" s="987"/>
      <c r="Q1211" s="987"/>
      <c r="R1211" s="987"/>
      <c r="S1211" s="987"/>
      <c r="T1211" s="987"/>
      <c r="U1211" s="987"/>
      <c r="V1211" s="987"/>
      <c r="W1211" s="987"/>
      <c r="X1211" s="987"/>
      <c r="Y1211" s="987"/>
      <c r="Z1211" s="987"/>
      <c r="AA1211" s="986"/>
    </row>
    <row r="1212" hidden="1">
      <c r="A1212" s="995">
        <v>489.0</v>
      </c>
      <c r="B1212" s="996">
        <v>44956.0</v>
      </c>
      <c r="C1212" s="989" t="s">
        <v>6909</v>
      </c>
      <c r="D1212" s="434" t="s">
        <v>67</v>
      </c>
      <c r="E1212" s="434" t="s">
        <v>49</v>
      </c>
      <c r="F1212" s="434" t="s">
        <v>50</v>
      </c>
      <c r="G1212" s="434" t="s">
        <v>200</v>
      </c>
      <c r="H1212" s="989" t="s">
        <v>6912</v>
      </c>
      <c r="I1212" s="989" t="s">
        <v>6913</v>
      </c>
      <c r="J1212" s="436" t="s">
        <v>6914</v>
      </c>
      <c r="K1212" s="436" t="s">
        <v>495</v>
      </c>
      <c r="L1212" s="436" t="s">
        <v>3218</v>
      </c>
      <c r="M1212" s="987"/>
      <c r="N1212" s="987"/>
      <c r="O1212" s="987"/>
      <c r="P1212" s="987"/>
      <c r="Q1212" s="987"/>
      <c r="R1212" s="987"/>
      <c r="S1212" s="987"/>
      <c r="T1212" s="987"/>
      <c r="U1212" s="987"/>
      <c r="V1212" s="987"/>
      <c r="W1212" s="987"/>
      <c r="X1212" s="987"/>
      <c r="Y1212" s="987"/>
      <c r="Z1212" s="987"/>
      <c r="AA1212" s="986"/>
    </row>
    <row r="1213" hidden="1">
      <c r="A1213" s="995">
        <v>494.0</v>
      </c>
      <c r="B1213" s="996">
        <v>44964.0</v>
      </c>
      <c r="C1213" s="984" t="s">
        <v>6915</v>
      </c>
      <c r="D1213" s="436" t="s">
        <v>2804</v>
      </c>
      <c r="E1213" s="436" t="s">
        <v>2218</v>
      </c>
      <c r="F1213" s="436" t="s">
        <v>50</v>
      </c>
      <c r="G1213" s="436" t="s">
        <v>103</v>
      </c>
      <c r="H1213" s="984" t="s">
        <v>6916</v>
      </c>
      <c r="I1213" s="989" t="s">
        <v>6917</v>
      </c>
      <c r="J1213" s="436" t="s">
        <v>6918</v>
      </c>
      <c r="K1213" s="436" t="s">
        <v>6919</v>
      </c>
      <c r="L1213" s="436" t="s">
        <v>1669</v>
      </c>
      <c r="M1213" s="987"/>
      <c r="N1213" s="987"/>
      <c r="O1213" s="987"/>
      <c r="P1213" s="987"/>
      <c r="Q1213" s="987"/>
      <c r="R1213" s="987"/>
      <c r="S1213" s="987"/>
      <c r="T1213" s="987"/>
      <c r="U1213" s="987"/>
      <c r="V1213" s="987"/>
      <c r="W1213" s="987"/>
      <c r="X1213" s="987"/>
      <c r="Y1213" s="987"/>
      <c r="Z1213" s="987"/>
      <c r="AA1213" s="986"/>
    </row>
    <row r="1214" hidden="1">
      <c r="A1214" s="995">
        <v>528.0</v>
      </c>
      <c r="B1214" s="984" t="s">
        <v>6920</v>
      </c>
      <c r="C1214" s="984" t="s">
        <v>6921</v>
      </c>
      <c r="D1214" s="436" t="s">
        <v>133</v>
      </c>
      <c r="E1214" s="436" t="s">
        <v>134</v>
      </c>
      <c r="F1214" s="995">
        <v>1.4962002E7</v>
      </c>
      <c r="G1214" s="436" t="s">
        <v>135</v>
      </c>
      <c r="H1214" s="984" t="s">
        <v>6922</v>
      </c>
      <c r="I1214" s="997" t="s">
        <v>6923</v>
      </c>
      <c r="J1214" s="436" t="s">
        <v>5472</v>
      </c>
      <c r="K1214" s="984" t="s">
        <v>5595</v>
      </c>
      <c r="L1214" s="987"/>
      <c r="M1214" s="987"/>
      <c r="N1214" s="987"/>
      <c r="O1214" s="987"/>
      <c r="P1214" s="987"/>
      <c r="Q1214" s="987"/>
      <c r="R1214" s="987"/>
      <c r="S1214" s="987"/>
      <c r="T1214" s="987"/>
      <c r="U1214" s="987"/>
      <c r="V1214" s="987"/>
      <c r="W1214" s="987"/>
      <c r="X1214" s="987"/>
      <c r="Y1214" s="987"/>
      <c r="Z1214" s="987"/>
      <c r="AA1214" s="986"/>
    </row>
    <row r="1215" hidden="1">
      <c r="A1215" s="995">
        <v>541.0</v>
      </c>
      <c r="B1215" s="996">
        <v>45013.0</v>
      </c>
      <c r="C1215" s="984" t="s">
        <v>6924</v>
      </c>
      <c r="D1215" s="436" t="s">
        <v>1737</v>
      </c>
      <c r="E1215" s="987"/>
      <c r="F1215" s="987"/>
      <c r="G1215" s="436" t="s">
        <v>348</v>
      </c>
      <c r="H1215" s="984" t="s">
        <v>6925</v>
      </c>
      <c r="I1215" s="984" t="s">
        <v>6926</v>
      </c>
      <c r="J1215" s="987"/>
      <c r="K1215" s="987"/>
      <c r="L1215" s="987"/>
      <c r="M1215" s="987"/>
      <c r="N1215" s="987"/>
      <c r="O1215" s="987"/>
      <c r="P1215" s="987"/>
      <c r="Q1215" s="987"/>
      <c r="R1215" s="987"/>
      <c r="S1215" s="987"/>
      <c r="T1215" s="987"/>
      <c r="U1215" s="987"/>
      <c r="V1215" s="987"/>
      <c r="W1215" s="987"/>
      <c r="X1215" s="987"/>
      <c r="Y1215" s="987"/>
      <c r="Z1215" s="987"/>
      <c r="AA1215" s="986"/>
    </row>
    <row r="1216" hidden="1">
      <c r="A1216" s="995">
        <v>542.0</v>
      </c>
      <c r="B1216" s="996">
        <v>45014.0</v>
      </c>
      <c r="C1216" s="984" t="s">
        <v>6927</v>
      </c>
      <c r="D1216" s="436" t="s">
        <v>1386</v>
      </c>
      <c r="E1216" s="436" t="s">
        <v>300</v>
      </c>
      <c r="F1216" s="995">
        <v>1.5800274E7</v>
      </c>
      <c r="G1216" s="436" t="s">
        <v>200</v>
      </c>
      <c r="H1216" s="984" t="s">
        <v>6928</v>
      </c>
      <c r="I1216" s="984" t="s">
        <v>6929</v>
      </c>
      <c r="J1216" s="436" t="s">
        <v>1999</v>
      </c>
      <c r="K1216" s="436" t="s">
        <v>4998</v>
      </c>
      <c r="L1216" s="436" t="s">
        <v>6930</v>
      </c>
      <c r="M1216" s="987"/>
      <c r="N1216" s="987"/>
      <c r="O1216" s="987"/>
      <c r="P1216" s="987"/>
      <c r="Q1216" s="987"/>
      <c r="R1216" s="987"/>
      <c r="S1216" s="987"/>
      <c r="T1216" s="987"/>
      <c r="U1216" s="987"/>
      <c r="V1216" s="987"/>
      <c r="W1216" s="987"/>
      <c r="X1216" s="987"/>
      <c r="Y1216" s="987"/>
      <c r="Z1216" s="987"/>
      <c r="AA1216" s="986"/>
    </row>
    <row r="1217" hidden="1">
      <c r="A1217" s="995">
        <v>561.0</v>
      </c>
      <c r="B1217" s="996">
        <v>45035.0</v>
      </c>
      <c r="C1217" s="984" t="s">
        <v>6931</v>
      </c>
      <c r="D1217" s="436" t="s">
        <v>3809</v>
      </c>
      <c r="E1217" s="436" t="s">
        <v>6932</v>
      </c>
      <c r="F1217" s="995">
        <v>1.3582744E7</v>
      </c>
      <c r="G1217" s="436" t="s">
        <v>200</v>
      </c>
      <c r="H1217" s="984" t="s">
        <v>6933</v>
      </c>
      <c r="I1217" s="1022" t="s">
        <v>6934</v>
      </c>
      <c r="J1217" s="436" t="s">
        <v>4890</v>
      </c>
      <c r="K1217" s="436" t="s">
        <v>138</v>
      </c>
      <c r="L1217" s="436" t="s">
        <v>5082</v>
      </c>
      <c r="M1217" s="987"/>
      <c r="N1217" s="987"/>
      <c r="O1217" s="987"/>
      <c r="P1217" s="987"/>
      <c r="Q1217" s="987"/>
      <c r="R1217" s="987"/>
      <c r="S1217" s="987"/>
      <c r="T1217" s="987"/>
      <c r="U1217" s="987"/>
      <c r="V1217" s="987"/>
      <c r="W1217" s="987"/>
      <c r="X1217" s="987"/>
      <c r="Y1217" s="987"/>
      <c r="Z1217" s="987"/>
      <c r="AA1217" s="986"/>
    </row>
    <row r="1218" hidden="1">
      <c r="A1218" s="990">
        <v>581.0</v>
      </c>
      <c r="B1218" s="988">
        <v>45061.0</v>
      </c>
      <c r="C1218" s="989" t="s">
        <v>5561</v>
      </c>
      <c r="D1218" s="434" t="s">
        <v>720</v>
      </c>
      <c r="E1218" s="434" t="s">
        <v>721</v>
      </c>
      <c r="F1218" s="990">
        <v>1.885008E7</v>
      </c>
      <c r="G1218" s="434" t="s">
        <v>32</v>
      </c>
      <c r="H1218" s="989" t="s">
        <v>6935</v>
      </c>
      <c r="I1218" s="989" t="s">
        <v>6936</v>
      </c>
      <c r="J1218" s="987"/>
      <c r="K1218" s="987"/>
      <c r="L1218" s="987"/>
      <c r="M1218" s="987"/>
      <c r="N1218" s="987"/>
      <c r="O1218" s="987"/>
      <c r="P1218" s="987"/>
      <c r="Q1218" s="987"/>
      <c r="R1218" s="987"/>
      <c r="S1218" s="987"/>
      <c r="T1218" s="987"/>
      <c r="U1218" s="987"/>
      <c r="V1218" s="987"/>
      <c r="W1218" s="987"/>
      <c r="X1218" s="987"/>
      <c r="Y1218" s="987"/>
      <c r="Z1218" s="987"/>
      <c r="AA1218" s="986"/>
    </row>
    <row r="1219" hidden="1">
      <c r="A1219" s="995">
        <v>612.0</v>
      </c>
      <c r="B1219" s="996">
        <v>45103.0</v>
      </c>
      <c r="C1219" s="984" t="s">
        <v>6937</v>
      </c>
      <c r="D1219" s="436" t="s">
        <v>2639</v>
      </c>
      <c r="E1219" s="436" t="s">
        <v>50</v>
      </c>
      <c r="F1219" s="995">
        <v>1.8010122E7</v>
      </c>
      <c r="G1219" s="436" t="s">
        <v>32</v>
      </c>
      <c r="H1219" s="984" t="s">
        <v>6938</v>
      </c>
      <c r="I1219" s="989" t="s">
        <v>6939</v>
      </c>
      <c r="J1219" s="987"/>
      <c r="K1219" s="987"/>
      <c r="L1219" s="987"/>
      <c r="M1219" s="987"/>
      <c r="N1219" s="987"/>
      <c r="O1219" s="987"/>
      <c r="P1219" s="987"/>
      <c r="Q1219" s="987"/>
      <c r="R1219" s="987"/>
      <c r="S1219" s="987"/>
      <c r="T1219" s="987"/>
      <c r="U1219" s="987"/>
      <c r="V1219" s="987"/>
      <c r="W1219" s="987"/>
      <c r="X1219" s="987"/>
      <c r="Y1219" s="987"/>
      <c r="Z1219" s="987"/>
      <c r="AA1219" s="986"/>
    </row>
    <row r="1220" hidden="1">
      <c r="A1220" s="995">
        <v>634.0</v>
      </c>
      <c r="B1220" s="996">
        <v>45125.0</v>
      </c>
      <c r="C1220" s="984" t="s">
        <v>6931</v>
      </c>
      <c r="D1220" s="436" t="s">
        <v>3809</v>
      </c>
      <c r="E1220" s="436" t="s">
        <v>6940</v>
      </c>
      <c r="F1220" s="436">
        <v>-1.3582787E7</v>
      </c>
      <c r="G1220" s="436" t="s">
        <v>200</v>
      </c>
      <c r="H1220" s="984" t="s">
        <v>6941</v>
      </c>
      <c r="I1220" s="984" t="s">
        <v>6942</v>
      </c>
      <c r="J1220" s="436" t="s">
        <v>4890</v>
      </c>
      <c r="K1220" s="987"/>
      <c r="L1220" s="987"/>
      <c r="M1220" s="987"/>
      <c r="N1220" s="987"/>
      <c r="O1220" s="987"/>
      <c r="P1220" s="987"/>
      <c r="Q1220" s="987"/>
      <c r="R1220" s="987"/>
      <c r="S1220" s="987"/>
      <c r="T1220" s="987"/>
      <c r="U1220" s="987"/>
      <c r="V1220" s="987"/>
      <c r="W1220" s="987"/>
      <c r="X1220" s="987"/>
      <c r="Y1220" s="987"/>
      <c r="Z1220" s="987"/>
      <c r="AA1220" s="986"/>
    </row>
    <row r="1221" hidden="1">
      <c r="A1221" s="995">
        <v>659.0</v>
      </c>
      <c r="B1221" s="988">
        <v>45159.0</v>
      </c>
      <c r="C1221" s="989" t="s">
        <v>6943</v>
      </c>
      <c r="D1221" s="434" t="s">
        <v>714</v>
      </c>
      <c r="E1221" s="434" t="s">
        <v>49</v>
      </c>
      <c r="F1221" s="990">
        <v>1.923005E7</v>
      </c>
      <c r="G1221" s="434" t="s">
        <v>103</v>
      </c>
      <c r="H1221" s="989" t="s">
        <v>6944</v>
      </c>
      <c r="I1221" s="989" t="s">
        <v>6945</v>
      </c>
      <c r="J1221" s="436" t="s">
        <v>377</v>
      </c>
      <c r="K1221" s="987"/>
      <c r="L1221" s="987"/>
      <c r="M1221" s="987"/>
      <c r="N1221" s="436" t="s">
        <v>62</v>
      </c>
      <c r="O1221" s="1020">
        <v>45895.0</v>
      </c>
      <c r="P1221" s="987"/>
      <c r="Q1221" s="987"/>
      <c r="R1221" s="987"/>
      <c r="S1221" s="987"/>
      <c r="T1221" s="436" t="s">
        <v>62</v>
      </c>
      <c r="U1221" s="1020">
        <v>45898.0</v>
      </c>
      <c r="V1221" s="987"/>
      <c r="W1221" s="987"/>
      <c r="X1221" s="987"/>
      <c r="Y1221" s="987"/>
      <c r="Z1221" s="987"/>
      <c r="AA1221" s="986"/>
    </row>
    <row r="1222" hidden="1">
      <c r="A1222" s="995">
        <v>670.0</v>
      </c>
      <c r="B1222" s="988">
        <v>45175.0</v>
      </c>
      <c r="C1222" s="989" t="s">
        <v>6946</v>
      </c>
      <c r="D1222" s="434" t="s">
        <v>67</v>
      </c>
      <c r="E1222" s="434" t="s">
        <v>41</v>
      </c>
      <c r="F1222" s="992"/>
      <c r="G1222" s="434" t="s">
        <v>200</v>
      </c>
      <c r="H1222" s="989" t="s">
        <v>6947</v>
      </c>
      <c r="I1222" s="989" t="s">
        <v>6948</v>
      </c>
      <c r="J1222" s="436" t="s">
        <v>45</v>
      </c>
      <c r="K1222" s="436" t="s">
        <v>6949</v>
      </c>
      <c r="L1222" s="987"/>
      <c r="M1222" s="987"/>
      <c r="N1222" s="987"/>
      <c r="O1222" s="987"/>
      <c r="P1222" s="987"/>
      <c r="Q1222" s="987"/>
      <c r="R1222" s="987"/>
      <c r="S1222" s="987"/>
      <c r="T1222" s="987"/>
      <c r="U1222" s="987"/>
      <c r="V1222" s="987"/>
      <c r="W1222" s="987"/>
      <c r="X1222" s="987"/>
      <c r="Y1222" s="987"/>
      <c r="Z1222" s="987"/>
      <c r="AA1222" s="986"/>
    </row>
    <row r="1223" hidden="1">
      <c r="A1223" s="995">
        <v>671.0</v>
      </c>
      <c r="B1223" s="988">
        <v>45175.0</v>
      </c>
      <c r="C1223" s="989" t="s">
        <v>6946</v>
      </c>
      <c r="D1223" s="434" t="s">
        <v>67</v>
      </c>
      <c r="E1223" s="434" t="s">
        <v>41</v>
      </c>
      <c r="F1223" s="992"/>
      <c r="G1223" s="434" t="s">
        <v>200</v>
      </c>
      <c r="H1223" s="989" t="s">
        <v>6950</v>
      </c>
      <c r="I1223" s="989" t="s">
        <v>6951</v>
      </c>
      <c r="J1223" s="987"/>
      <c r="K1223" s="987"/>
      <c r="L1223" s="987"/>
      <c r="M1223" s="987"/>
      <c r="N1223" s="987"/>
      <c r="O1223" s="987"/>
      <c r="P1223" s="987"/>
      <c r="Q1223" s="987"/>
      <c r="R1223" s="987"/>
      <c r="S1223" s="987"/>
      <c r="T1223" s="987"/>
      <c r="U1223" s="987"/>
      <c r="V1223" s="987"/>
      <c r="W1223" s="987"/>
      <c r="X1223" s="987"/>
      <c r="Y1223" s="987"/>
      <c r="Z1223" s="987"/>
      <c r="AA1223" s="986"/>
    </row>
    <row r="1224" hidden="1">
      <c r="A1224" s="995">
        <v>680.0</v>
      </c>
      <c r="B1224" s="996">
        <v>45146.0</v>
      </c>
      <c r="C1224" s="984" t="s">
        <v>6952</v>
      </c>
      <c r="D1224" s="436" t="s">
        <v>67</v>
      </c>
      <c r="E1224" s="436" t="s">
        <v>41</v>
      </c>
      <c r="F1224" s="995">
        <v>1.9050085E7</v>
      </c>
      <c r="G1224" s="436" t="s">
        <v>42</v>
      </c>
      <c r="H1224" s="984" t="s">
        <v>6953</v>
      </c>
      <c r="I1224" s="985" t="s">
        <v>6954</v>
      </c>
      <c r="J1224" s="436" t="s">
        <v>45</v>
      </c>
      <c r="K1224" s="987"/>
      <c r="L1224" s="987"/>
      <c r="M1224" s="987"/>
      <c r="N1224" s="987"/>
      <c r="O1224" s="987"/>
      <c r="P1224" s="987"/>
      <c r="Q1224" s="987"/>
      <c r="R1224" s="987"/>
      <c r="S1224" s="987"/>
      <c r="T1224" s="987"/>
      <c r="U1224" s="987"/>
      <c r="V1224" s="987"/>
      <c r="W1224" s="987"/>
      <c r="X1224" s="987"/>
      <c r="Y1224" s="987"/>
      <c r="Z1224" s="987"/>
      <c r="AA1224" s="986"/>
    </row>
    <row r="1225" hidden="1">
      <c r="A1225" s="995">
        <v>681.0</v>
      </c>
      <c r="B1225" s="988">
        <v>45178.0</v>
      </c>
      <c r="C1225" s="989" t="s">
        <v>6946</v>
      </c>
      <c r="D1225" s="434" t="s">
        <v>67</v>
      </c>
      <c r="E1225" s="434" t="s">
        <v>41</v>
      </c>
      <c r="F1225" s="990">
        <v>1.9050138E7</v>
      </c>
      <c r="G1225" s="434" t="s">
        <v>42</v>
      </c>
      <c r="H1225" s="989" t="s">
        <v>6955</v>
      </c>
      <c r="I1225" s="989" t="s">
        <v>6956</v>
      </c>
      <c r="J1225" s="987"/>
      <c r="K1225" s="987"/>
      <c r="L1225" s="987"/>
      <c r="M1225" s="987"/>
      <c r="N1225" s="987"/>
      <c r="O1225" s="987"/>
      <c r="P1225" s="987"/>
      <c r="Q1225" s="987"/>
      <c r="R1225" s="987"/>
      <c r="S1225" s="987"/>
      <c r="T1225" s="987"/>
      <c r="U1225" s="987"/>
      <c r="V1225" s="987"/>
      <c r="W1225" s="987"/>
      <c r="X1225" s="987"/>
      <c r="Y1225" s="987"/>
      <c r="Z1225" s="987"/>
      <c r="AA1225" s="986"/>
    </row>
    <row r="1226" hidden="1">
      <c r="A1226" s="995">
        <v>682.0</v>
      </c>
      <c r="B1226" s="988">
        <v>45180.0</v>
      </c>
      <c r="C1226" s="989" t="s">
        <v>6946</v>
      </c>
      <c r="D1226" s="434" t="s">
        <v>67</v>
      </c>
      <c r="E1226" s="434" t="s">
        <v>41</v>
      </c>
      <c r="F1226" s="434" t="s">
        <v>50</v>
      </c>
      <c r="G1226" s="434" t="s">
        <v>42</v>
      </c>
      <c r="H1226" s="989" t="s">
        <v>6950</v>
      </c>
      <c r="I1226" s="989" t="s">
        <v>6951</v>
      </c>
      <c r="J1226" s="987"/>
      <c r="K1226" s="987"/>
      <c r="L1226" s="987"/>
      <c r="M1226" s="987"/>
      <c r="N1226" s="987"/>
      <c r="O1226" s="987"/>
      <c r="P1226" s="987"/>
      <c r="Q1226" s="987"/>
      <c r="R1226" s="987"/>
      <c r="S1226" s="987"/>
      <c r="T1226" s="987"/>
      <c r="U1226" s="987"/>
      <c r="V1226" s="987"/>
      <c r="W1226" s="987"/>
      <c r="X1226" s="987"/>
      <c r="Y1226" s="987"/>
      <c r="Z1226" s="987"/>
      <c r="AA1226" s="986"/>
    </row>
    <row r="1227" hidden="1">
      <c r="A1227" s="995">
        <v>683.0</v>
      </c>
      <c r="B1227" s="988">
        <v>45176.0</v>
      </c>
      <c r="C1227" s="989" t="s">
        <v>6946</v>
      </c>
      <c r="D1227" s="434" t="s">
        <v>67</v>
      </c>
      <c r="E1227" s="434" t="s">
        <v>49</v>
      </c>
      <c r="F1227" s="434" t="s">
        <v>50</v>
      </c>
      <c r="G1227" s="434" t="s">
        <v>42</v>
      </c>
      <c r="H1227" s="989" t="s">
        <v>6957</v>
      </c>
      <c r="I1227" s="989" t="s">
        <v>6958</v>
      </c>
      <c r="J1227" s="987"/>
      <c r="K1227" s="987"/>
      <c r="L1227" s="987"/>
      <c r="M1227" s="987"/>
      <c r="N1227" s="987"/>
      <c r="O1227" s="987"/>
      <c r="P1227" s="987"/>
      <c r="Q1227" s="987"/>
      <c r="R1227" s="987"/>
      <c r="S1227" s="987"/>
      <c r="T1227" s="987"/>
      <c r="U1227" s="987"/>
      <c r="V1227" s="987"/>
      <c r="W1227" s="987"/>
      <c r="X1227" s="987"/>
      <c r="Y1227" s="987"/>
      <c r="Z1227" s="987"/>
      <c r="AA1227" s="986"/>
    </row>
    <row r="1228" hidden="1">
      <c r="A1228" s="995">
        <v>687.0</v>
      </c>
      <c r="B1228" s="988">
        <v>45188.0</v>
      </c>
      <c r="C1228" s="989" t="s">
        <v>1960</v>
      </c>
      <c r="D1228" s="434" t="s">
        <v>89</v>
      </c>
      <c r="E1228" s="434" t="s">
        <v>41</v>
      </c>
      <c r="F1228" s="990">
        <v>1.5831109E7</v>
      </c>
      <c r="G1228" s="434" t="s">
        <v>51</v>
      </c>
      <c r="H1228" s="989" t="s">
        <v>6959</v>
      </c>
      <c r="I1228" s="993" t="s">
        <v>6960</v>
      </c>
      <c r="J1228" s="436" t="s">
        <v>92</v>
      </c>
      <c r="K1228" s="987"/>
      <c r="L1228" s="987"/>
      <c r="M1228" s="987"/>
      <c r="N1228" s="987"/>
      <c r="O1228" s="987"/>
      <c r="P1228" s="987"/>
      <c r="Q1228" s="987"/>
      <c r="R1228" s="987"/>
      <c r="S1228" s="987"/>
      <c r="T1228" s="436" t="s">
        <v>62</v>
      </c>
      <c r="U1228" s="995">
        <v>45440.0</v>
      </c>
      <c r="V1228" s="987"/>
      <c r="W1228" s="987"/>
      <c r="X1228" s="987"/>
      <c r="Y1228" s="987"/>
      <c r="Z1228" s="987"/>
      <c r="AA1228" s="986"/>
    </row>
    <row r="1229" hidden="1">
      <c r="A1229" s="995">
        <v>688.0</v>
      </c>
      <c r="B1229" s="988">
        <v>45188.0</v>
      </c>
      <c r="C1229" s="989" t="s">
        <v>6946</v>
      </c>
      <c r="D1229" s="434" t="s">
        <v>67</v>
      </c>
      <c r="E1229" s="434" t="s">
        <v>41</v>
      </c>
      <c r="F1229" s="434" t="s">
        <v>50</v>
      </c>
      <c r="G1229" s="434" t="s">
        <v>42</v>
      </c>
      <c r="H1229" s="989" t="s">
        <v>6961</v>
      </c>
      <c r="I1229" s="989" t="s">
        <v>6962</v>
      </c>
      <c r="J1229" s="436" t="s">
        <v>45</v>
      </c>
      <c r="K1229" s="436" t="s">
        <v>6963</v>
      </c>
      <c r="L1229" s="595" t="s">
        <v>737</v>
      </c>
      <c r="M1229" s="987"/>
      <c r="N1229" s="987"/>
      <c r="O1229" s="987"/>
      <c r="P1229" s="987"/>
      <c r="Q1229" s="987"/>
      <c r="R1229" s="987"/>
      <c r="S1229" s="987"/>
      <c r="T1229" s="987"/>
      <c r="U1229" s="987"/>
      <c r="V1229" s="987"/>
      <c r="W1229" s="987"/>
      <c r="X1229" s="987"/>
      <c r="Y1229" s="987"/>
      <c r="Z1229" s="987"/>
      <c r="AA1229" s="986"/>
    </row>
    <row r="1230" hidden="1">
      <c r="A1230" s="995">
        <v>698.0</v>
      </c>
      <c r="B1230" s="996">
        <v>45184.0</v>
      </c>
      <c r="C1230" s="984" t="s">
        <v>6498</v>
      </c>
      <c r="D1230" s="436" t="s">
        <v>101</v>
      </c>
      <c r="E1230" s="436" t="s">
        <v>702</v>
      </c>
      <c r="F1230" s="436" t="s">
        <v>50</v>
      </c>
      <c r="G1230" s="436" t="s">
        <v>103</v>
      </c>
      <c r="H1230" s="997" t="s">
        <v>6964</v>
      </c>
      <c r="I1230" s="993" t="s">
        <v>6965</v>
      </c>
      <c r="J1230" s="436" t="s">
        <v>6966</v>
      </c>
      <c r="K1230" s="436" t="s">
        <v>6967</v>
      </c>
      <c r="L1230" s="436" t="s">
        <v>6968</v>
      </c>
      <c r="M1230" s="987"/>
      <c r="N1230" s="987"/>
      <c r="O1230" s="987"/>
      <c r="P1230" s="987"/>
      <c r="Q1230" s="987"/>
      <c r="R1230" s="987"/>
      <c r="S1230" s="987"/>
      <c r="T1230" s="987"/>
      <c r="U1230" s="987"/>
      <c r="V1230" s="987"/>
      <c r="W1230" s="987"/>
      <c r="X1230" s="987"/>
      <c r="Y1230" s="987"/>
      <c r="Z1230" s="987"/>
      <c r="AA1230" s="986"/>
    </row>
    <row r="1231" hidden="1">
      <c r="A1231" s="995">
        <v>718.0</v>
      </c>
      <c r="B1231" s="996">
        <v>45203.0</v>
      </c>
      <c r="C1231" s="984" t="s">
        <v>6969</v>
      </c>
      <c r="D1231" s="436" t="s">
        <v>3021</v>
      </c>
      <c r="E1231" s="436" t="s">
        <v>2337</v>
      </c>
      <c r="F1231" s="436" t="s">
        <v>50</v>
      </c>
      <c r="G1231" s="436" t="s">
        <v>200</v>
      </c>
      <c r="H1231" s="984" t="s">
        <v>6970</v>
      </c>
      <c r="I1231" s="1022" t="s">
        <v>6971</v>
      </c>
      <c r="J1231" s="436" t="s">
        <v>2340</v>
      </c>
      <c r="K1231" s="436" t="s">
        <v>6972</v>
      </c>
      <c r="L1231" s="436" t="s">
        <v>6973</v>
      </c>
      <c r="M1231" s="987"/>
      <c r="N1231" s="987"/>
      <c r="O1231" s="987"/>
      <c r="P1231" s="987"/>
      <c r="Q1231" s="987"/>
      <c r="R1231" s="987"/>
      <c r="S1231" s="987"/>
      <c r="T1231" s="987"/>
      <c r="U1231" s="987"/>
      <c r="V1231" s="987"/>
      <c r="W1231" s="987"/>
      <c r="X1231" s="987"/>
      <c r="Y1231" s="987"/>
      <c r="Z1231" s="987"/>
      <c r="AA1231" s="986"/>
    </row>
    <row r="1232" hidden="1">
      <c r="A1232" s="995">
        <v>731.0</v>
      </c>
      <c r="B1232" s="1006">
        <v>45210.0</v>
      </c>
      <c r="C1232" s="984" t="s">
        <v>6974</v>
      </c>
      <c r="D1232" s="436" t="s">
        <v>2179</v>
      </c>
      <c r="E1232" s="436" t="s">
        <v>49</v>
      </c>
      <c r="F1232" s="995">
        <v>1.5820295E7</v>
      </c>
      <c r="G1232" s="436" t="s">
        <v>51</v>
      </c>
      <c r="H1232" s="984" t="s">
        <v>6975</v>
      </c>
      <c r="I1232" s="985" t="s">
        <v>6976</v>
      </c>
      <c r="J1232" s="987"/>
      <c r="K1232" s="987"/>
      <c r="L1232" s="987"/>
      <c r="M1232" s="987"/>
      <c r="N1232" s="987"/>
      <c r="O1232" s="987"/>
      <c r="P1232" s="987"/>
      <c r="Q1232" s="987"/>
      <c r="R1232" s="987"/>
      <c r="S1232" s="987"/>
      <c r="T1232" s="987"/>
      <c r="U1232" s="987"/>
      <c r="V1232" s="987"/>
      <c r="W1232" s="987"/>
      <c r="X1232" s="987"/>
      <c r="Y1232" s="987"/>
      <c r="Z1232" s="987"/>
      <c r="AA1232" s="986"/>
    </row>
    <row r="1233" hidden="1">
      <c r="A1233" s="995">
        <v>837.0</v>
      </c>
      <c r="B1233" s="988">
        <v>45232.0</v>
      </c>
      <c r="C1233" s="989" t="s">
        <v>39</v>
      </c>
      <c r="D1233" s="434" t="s">
        <v>40</v>
      </c>
      <c r="E1233" s="434" t="s">
        <v>2536</v>
      </c>
      <c r="F1233" s="990">
        <v>1890020.0</v>
      </c>
      <c r="G1233" s="434" t="s">
        <v>42</v>
      </c>
      <c r="H1233" s="989" t="s">
        <v>6977</v>
      </c>
      <c r="I1233" s="993" t="s">
        <v>6978</v>
      </c>
      <c r="J1233" s="436" t="s">
        <v>45</v>
      </c>
      <c r="K1233" s="436" t="s">
        <v>164</v>
      </c>
      <c r="L1233" s="436" t="s">
        <v>6979</v>
      </c>
      <c r="M1233" s="987"/>
      <c r="N1233" s="987"/>
      <c r="O1233" s="987"/>
      <c r="P1233" s="987"/>
      <c r="Q1233" s="987"/>
      <c r="R1233" s="987"/>
      <c r="S1233" s="987"/>
      <c r="T1233" s="987"/>
      <c r="U1233" s="987"/>
      <c r="V1233" s="987"/>
      <c r="W1233" s="987"/>
      <c r="X1233" s="987"/>
      <c r="Y1233" s="987"/>
      <c r="Z1233" s="987"/>
      <c r="AA1233" s="986"/>
    </row>
    <row r="1234" hidden="1">
      <c r="A1234" s="995">
        <v>841.0</v>
      </c>
      <c r="B1234" s="991">
        <v>45212.0</v>
      </c>
      <c r="C1234" s="989" t="s">
        <v>5825</v>
      </c>
      <c r="D1234" s="434" t="s">
        <v>89</v>
      </c>
      <c r="E1234" s="434" t="s">
        <v>111</v>
      </c>
      <c r="F1234" s="990">
        <v>1.5831067E7</v>
      </c>
      <c r="G1234" s="434" t="s">
        <v>51</v>
      </c>
      <c r="H1234" s="989" t="s">
        <v>6980</v>
      </c>
      <c r="I1234" s="989" t="s">
        <v>6981</v>
      </c>
      <c r="J1234" s="436" t="s">
        <v>92</v>
      </c>
      <c r="K1234" s="987"/>
      <c r="L1234" s="987"/>
      <c r="M1234" s="987"/>
      <c r="N1234" s="436" t="s">
        <v>62</v>
      </c>
      <c r="O1234" s="1020">
        <v>45839.0</v>
      </c>
      <c r="P1234" s="987"/>
      <c r="Q1234" s="987"/>
      <c r="R1234" s="987"/>
      <c r="S1234" s="987"/>
      <c r="T1234" s="436" t="s">
        <v>62</v>
      </c>
      <c r="U1234" s="1020">
        <v>45839.0</v>
      </c>
      <c r="V1234" s="987"/>
      <c r="W1234" s="987"/>
      <c r="X1234" s="987"/>
      <c r="Y1234" s="987"/>
      <c r="Z1234" s="987"/>
      <c r="AA1234" s="986"/>
    </row>
    <row r="1235" hidden="1">
      <c r="A1235" s="990">
        <v>870.0</v>
      </c>
      <c r="B1235" s="991">
        <v>45287.0</v>
      </c>
      <c r="C1235" s="989" t="s">
        <v>2367</v>
      </c>
      <c r="D1235" s="434" t="s">
        <v>714</v>
      </c>
      <c r="E1235" s="434" t="s">
        <v>49</v>
      </c>
      <c r="F1235" s="434" t="s">
        <v>50</v>
      </c>
      <c r="G1235" s="434" t="s">
        <v>103</v>
      </c>
      <c r="H1235" s="989" t="s">
        <v>6982</v>
      </c>
      <c r="I1235" s="989" t="s">
        <v>6983</v>
      </c>
      <c r="J1235" s="1039" t="s">
        <v>377</v>
      </c>
      <c r="K1235" s="436" t="s">
        <v>378</v>
      </c>
      <c r="L1235" s="436" t="s">
        <v>1162</v>
      </c>
      <c r="M1235" s="987"/>
      <c r="N1235" s="987"/>
      <c r="O1235" s="987"/>
      <c r="P1235" s="987"/>
      <c r="Q1235" s="987"/>
      <c r="R1235" s="436" t="s">
        <v>2327</v>
      </c>
      <c r="S1235" s="1020">
        <v>45864.0</v>
      </c>
      <c r="T1235" s="987"/>
      <c r="U1235" s="987"/>
      <c r="V1235" s="987"/>
      <c r="W1235" s="987"/>
      <c r="X1235" s="987"/>
      <c r="Y1235" s="987"/>
      <c r="Z1235" s="987"/>
      <c r="AA1235" s="986"/>
    </row>
    <row r="1236" hidden="1">
      <c r="A1236" s="990">
        <v>865.0</v>
      </c>
      <c r="B1236" s="991">
        <v>45250.0</v>
      </c>
      <c r="C1236" s="989" t="s">
        <v>6440</v>
      </c>
      <c r="D1236" s="434" t="s">
        <v>6984</v>
      </c>
      <c r="E1236" s="434" t="s">
        <v>49</v>
      </c>
      <c r="F1236" s="990">
        <v>1.9240051E7</v>
      </c>
      <c r="G1236" s="434" t="s">
        <v>103</v>
      </c>
      <c r="H1236" s="989" t="s">
        <v>6985</v>
      </c>
      <c r="I1236" s="989" t="s">
        <v>6986</v>
      </c>
      <c r="J1236" s="436" t="s">
        <v>377</v>
      </c>
      <c r="K1236" s="436" t="s">
        <v>378</v>
      </c>
      <c r="L1236" s="436" t="s">
        <v>1162</v>
      </c>
      <c r="M1236" s="987"/>
      <c r="N1236" s="987"/>
      <c r="O1236" s="987"/>
      <c r="P1236" s="987"/>
      <c r="Q1236" s="1040" t="s">
        <v>62</v>
      </c>
      <c r="R1236" s="1041">
        <v>46008.0</v>
      </c>
      <c r="S1236" s="987"/>
      <c r="T1236" s="987"/>
      <c r="U1236" s="987"/>
      <c r="V1236" s="987"/>
      <c r="W1236" s="987"/>
      <c r="X1236" s="987"/>
      <c r="Y1236" s="987"/>
      <c r="Z1236" s="987"/>
      <c r="AA1236" s="986"/>
    </row>
    <row r="1237" hidden="1">
      <c r="A1237" s="995">
        <v>866.0</v>
      </c>
      <c r="B1237" s="996">
        <v>45266.0</v>
      </c>
      <c r="C1237" s="984" t="s">
        <v>6440</v>
      </c>
      <c r="D1237" s="436" t="s">
        <v>374</v>
      </c>
      <c r="E1237" s="436" t="s">
        <v>49</v>
      </c>
      <c r="F1237" s="436" t="s">
        <v>50</v>
      </c>
      <c r="G1237" s="436" t="s">
        <v>103</v>
      </c>
      <c r="H1237" s="984" t="s">
        <v>6987</v>
      </c>
      <c r="I1237" s="984" t="s">
        <v>6988</v>
      </c>
      <c r="J1237" s="436" t="s">
        <v>377</v>
      </c>
      <c r="K1237" s="436" t="s">
        <v>378</v>
      </c>
      <c r="L1237" s="436" t="s">
        <v>1162</v>
      </c>
      <c r="M1237" s="987"/>
      <c r="N1237" s="987"/>
      <c r="O1237" s="987"/>
      <c r="P1237" s="987"/>
      <c r="Q1237" s="987"/>
      <c r="R1237" s="987"/>
      <c r="S1237" s="987"/>
      <c r="T1237" s="987"/>
      <c r="U1237" s="987"/>
      <c r="V1237" s="987"/>
      <c r="W1237" s="987"/>
      <c r="X1237" s="987"/>
      <c r="Y1237" s="987"/>
      <c r="Z1237" s="987"/>
      <c r="AA1237" s="986"/>
    </row>
    <row r="1238" hidden="1">
      <c r="A1238" s="995">
        <v>882.0</v>
      </c>
      <c r="B1238" s="996">
        <v>45307.0</v>
      </c>
      <c r="C1238" s="984" t="s">
        <v>6989</v>
      </c>
      <c r="D1238" s="436" t="s">
        <v>1011</v>
      </c>
      <c r="E1238" s="436" t="s">
        <v>1459</v>
      </c>
      <c r="F1238" s="436" t="s">
        <v>50</v>
      </c>
      <c r="G1238" s="436" t="s">
        <v>32</v>
      </c>
      <c r="H1238" s="984" t="s">
        <v>6990</v>
      </c>
      <c r="I1238" s="1022" t="s">
        <v>6991</v>
      </c>
      <c r="J1238" s="436" t="s">
        <v>2615</v>
      </c>
      <c r="K1238" s="436" t="s">
        <v>5008</v>
      </c>
      <c r="L1238" s="987"/>
      <c r="M1238" s="987"/>
      <c r="N1238" s="987"/>
      <c r="O1238" s="987"/>
      <c r="P1238" s="987"/>
      <c r="Q1238" s="987"/>
      <c r="R1238" s="987"/>
      <c r="S1238" s="987"/>
      <c r="T1238" s="987"/>
      <c r="U1238" s="987"/>
      <c r="V1238" s="987"/>
      <c r="W1238" s="987"/>
      <c r="X1238" s="987"/>
      <c r="Y1238" s="987"/>
      <c r="Z1238" s="987"/>
      <c r="AA1238" s="986"/>
    </row>
    <row r="1239" hidden="1">
      <c r="A1239" s="995">
        <v>886.0</v>
      </c>
      <c r="B1239" s="996">
        <v>45309.0</v>
      </c>
      <c r="C1239" s="984" t="s">
        <v>6992</v>
      </c>
      <c r="D1239" s="436" t="s">
        <v>918</v>
      </c>
      <c r="E1239" s="436" t="s">
        <v>261</v>
      </c>
      <c r="F1239" s="995">
        <v>1.6351483E7</v>
      </c>
      <c r="G1239" s="436" t="s">
        <v>32</v>
      </c>
      <c r="H1239" s="984" t="s">
        <v>6993</v>
      </c>
      <c r="I1239" s="1022" t="s">
        <v>6994</v>
      </c>
      <c r="J1239" s="436" t="s">
        <v>278</v>
      </c>
      <c r="K1239" s="436" t="s">
        <v>6995</v>
      </c>
      <c r="L1239" s="436" t="s">
        <v>280</v>
      </c>
      <c r="M1239" s="987"/>
      <c r="N1239" s="987"/>
      <c r="O1239" s="987"/>
      <c r="P1239" s="987"/>
      <c r="Q1239" s="987"/>
      <c r="R1239" s="987"/>
      <c r="S1239" s="987"/>
      <c r="T1239" s="987"/>
      <c r="U1239" s="987"/>
      <c r="V1239" s="987"/>
      <c r="W1239" s="987"/>
      <c r="X1239" s="987"/>
      <c r="Y1239" s="987"/>
      <c r="Z1239" s="987"/>
      <c r="AA1239" s="986"/>
    </row>
    <row r="1240" hidden="1">
      <c r="A1240" s="990">
        <v>888.0</v>
      </c>
      <c r="B1240" s="988">
        <v>45310.0</v>
      </c>
      <c r="C1240" s="989" t="s">
        <v>6468</v>
      </c>
      <c r="D1240" s="434" t="s">
        <v>802</v>
      </c>
      <c r="E1240" s="992"/>
      <c r="F1240" s="990">
        <v>1.927004E7</v>
      </c>
      <c r="G1240" s="434" t="s">
        <v>103</v>
      </c>
      <c r="H1240" s="989" t="s">
        <v>6996</v>
      </c>
      <c r="I1240" s="993" t="s">
        <v>6997</v>
      </c>
      <c r="J1240" s="987"/>
      <c r="K1240" s="987"/>
      <c r="L1240" s="987"/>
      <c r="M1240" s="987"/>
      <c r="N1240" s="436" t="s">
        <v>62</v>
      </c>
      <c r="O1240" s="987"/>
      <c r="P1240" s="987"/>
      <c r="Q1240" s="987"/>
      <c r="R1240" s="987"/>
      <c r="S1240" s="987"/>
      <c r="T1240" s="987"/>
      <c r="U1240" s="987"/>
      <c r="V1240" s="987"/>
      <c r="W1240" s="987"/>
      <c r="X1240" s="987"/>
      <c r="Y1240" s="987"/>
      <c r="Z1240" s="987"/>
      <c r="AA1240" s="986"/>
    </row>
    <row r="1241" hidden="1">
      <c r="A1241" s="995">
        <v>891.0</v>
      </c>
      <c r="B1241" s="996">
        <v>45315.0</v>
      </c>
      <c r="C1241" s="984" t="s">
        <v>6998</v>
      </c>
      <c r="D1241" s="436" t="s">
        <v>3021</v>
      </c>
      <c r="E1241" s="436" t="s">
        <v>6132</v>
      </c>
      <c r="F1241" s="995">
        <v>1.5340283E7</v>
      </c>
      <c r="G1241" s="436" t="s">
        <v>200</v>
      </c>
      <c r="H1241" s="984" t="s">
        <v>6999</v>
      </c>
      <c r="I1241" s="1022" t="s">
        <v>7000</v>
      </c>
      <c r="J1241" s="436" t="s">
        <v>2340</v>
      </c>
      <c r="K1241" s="436" t="s">
        <v>7001</v>
      </c>
      <c r="L1241" s="436" t="s">
        <v>2944</v>
      </c>
      <c r="M1241" s="987"/>
      <c r="N1241" s="987"/>
      <c r="O1241" s="987"/>
      <c r="P1241" s="987"/>
      <c r="Q1241" s="987"/>
      <c r="R1241" s="987"/>
      <c r="S1241" s="987"/>
      <c r="T1241" s="987"/>
      <c r="U1241" s="987"/>
      <c r="V1241" s="987"/>
      <c r="W1241" s="987"/>
      <c r="X1241" s="987"/>
      <c r="Y1241" s="987"/>
      <c r="Z1241" s="987"/>
      <c r="AA1241" s="986"/>
    </row>
    <row r="1242" hidden="1">
      <c r="A1242" s="990">
        <v>892.0</v>
      </c>
      <c r="B1242" s="988">
        <v>45314.0</v>
      </c>
      <c r="C1242" s="989" t="s">
        <v>2367</v>
      </c>
      <c r="D1242" s="434" t="s">
        <v>714</v>
      </c>
      <c r="E1242" s="434" t="s">
        <v>49</v>
      </c>
      <c r="F1242" s="434" t="s">
        <v>50</v>
      </c>
      <c r="G1242" s="434" t="s">
        <v>103</v>
      </c>
      <c r="H1242" s="989" t="s">
        <v>7002</v>
      </c>
      <c r="I1242" s="989" t="s">
        <v>7003</v>
      </c>
      <c r="J1242" s="1039" t="s">
        <v>377</v>
      </c>
      <c r="K1242" s="436" t="s">
        <v>378</v>
      </c>
      <c r="L1242" s="436" t="s">
        <v>1162</v>
      </c>
      <c r="M1242" s="987"/>
      <c r="N1242" s="987"/>
      <c r="O1242" s="987"/>
      <c r="P1242" s="987"/>
      <c r="Q1242" s="987"/>
      <c r="R1242" s="436" t="s">
        <v>2327</v>
      </c>
      <c r="S1242" s="1020">
        <v>45864.0</v>
      </c>
      <c r="T1242" s="987"/>
      <c r="U1242" s="987"/>
      <c r="V1242" s="987"/>
      <c r="W1242" s="987"/>
      <c r="X1242" s="987"/>
      <c r="Y1242" s="987"/>
      <c r="Z1242" s="987"/>
      <c r="AA1242" s="986"/>
    </row>
    <row r="1243" hidden="1">
      <c r="A1243" s="990">
        <v>893.0</v>
      </c>
      <c r="B1243" s="988">
        <v>45314.0</v>
      </c>
      <c r="C1243" s="989" t="s">
        <v>2367</v>
      </c>
      <c r="D1243" s="434" t="s">
        <v>714</v>
      </c>
      <c r="E1243" s="434" t="s">
        <v>49</v>
      </c>
      <c r="F1243" s="434" t="s">
        <v>50</v>
      </c>
      <c r="G1243" s="434" t="s">
        <v>103</v>
      </c>
      <c r="H1243" s="989" t="s">
        <v>7004</v>
      </c>
      <c r="I1243" s="989" t="s">
        <v>7005</v>
      </c>
      <c r="J1243" s="1039" t="s">
        <v>377</v>
      </c>
      <c r="K1243" s="436" t="s">
        <v>378</v>
      </c>
      <c r="L1243" s="436" t="s">
        <v>1162</v>
      </c>
      <c r="M1243" s="987"/>
      <c r="N1243" s="987"/>
      <c r="O1243" s="987"/>
      <c r="P1243" s="987"/>
      <c r="Q1243" s="987"/>
      <c r="R1243" s="436" t="s">
        <v>150</v>
      </c>
      <c r="S1243" s="987"/>
      <c r="T1243" s="987"/>
      <c r="U1243" s="987"/>
      <c r="V1243" s="987"/>
      <c r="W1243" s="987"/>
      <c r="X1243" s="987"/>
      <c r="Y1243" s="987"/>
      <c r="Z1243" s="987"/>
      <c r="AA1243" s="986"/>
    </row>
    <row r="1244" hidden="1">
      <c r="A1244" s="990">
        <v>894.0</v>
      </c>
      <c r="B1244" s="988">
        <v>45314.0</v>
      </c>
      <c r="C1244" s="989" t="s">
        <v>2367</v>
      </c>
      <c r="D1244" s="434" t="s">
        <v>714</v>
      </c>
      <c r="E1244" s="434" t="s">
        <v>49</v>
      </c>
      <c r="F1244" s="434" t="s">
        <v>50</v>
      </c>
      <c r="G1244" s="434" t="s">
        <v>103</v>
      </c>
      <c r="H1244" s="989" t="s">
        <v>7006</v>
      </c>
      <c r="I1244" s="993" t="s">
        <v>7007</v>
      </c>
      <c r="J1244" s="1039" t="s">
        <v>377</v>
      </c>
      <c r="K1244" s="436" t="s">
        <v>378</v>
      </c>
      <c r="L1244" s="436" t="s">
        <v>1162</v>
      </c>
      <c r="M1244" s="987"/>
      <c r="N1244" s="987"/>
      <c r="O1244" s="987"/>
      <c r="P1244" s="987"/>
      <c r="Q1244" s="987"/>
      <c r="R1244" s="436" t="s">
        <v>150</v>
      </c>
      <c r="S1244" s="1020">
        <v>45878.0</v>
      </c>
      <c r="T1244" s="987"/>
      <c r="U1244" s="987"/>
      <c r="V1244" s="987"/>
      <c r="W1244" s="987"/>
      <c r="X1244" s="987"/>
      <c r="Y1244" s="987"/>
      <c r="Z1244" s="987"/>
      <c r="AA1244" s="986"/>
    </row>
    <row r="1245" hidden="1">
      <c r="A1245" s="990">
        <v>895.0</v>
      </c>
      <c r="B1245" s="988">
        <v>45314.0</v>
      </c>
      <c r="C1245" s="989" t="s">
        <v>2367</v>
      </c>
      <c r="D1245" s="434" t="s">
        <v>714</v>
      </c>
      <c r="E1245" s="434" t="s">
        <v>49</v>
      </c>
      <c r="F1245" s="434" t="s">
        <v>50</v>
      </c>
      <c r="G1245" s="434" t="s">
        <v>103</v>
      </c>
      <c r="H1245" s="989" t="s">
        <v>7008</v>
      </c>
      <c r="I1245" s="993" t="s">
        <v>7007</v>
      </c>
      <c r="J1245" s="1039" t="s">
        <v>377</v>
      </c>
      <c r="K1245" s="436" t="s">
        <v>378</v>
      </c>
      <c r="L1245" s="436" t="s">
        <v>1162</v>
      </c>
      <c r="M1245" s="987"/>
      <c r="N1245" s="987"/>
      <c r="O1245" s="987"/>
      <c r="P1245" s="987"/>
      <c r="Q1245" s="987"/>
      <c r="R1245" s="436" t="s">
        <v>150</v>
      </c>
      <c r="S1245" s="1020">
        <v>45878.0</v>
      </c>
      <c r="T1245" s="987"/>
      <c r="U1245" s="987"/>
      <c r="V1245" s="987"/>
      <c r="W1245" s="987"/>
      <c r="X1245" s="987"/>
      <c r="Y1245" s="987"/>
      <c r="Z1245" s="987"/>
      <c r="AA1245" s="986"/>
    </row>
    <row r="1246" hidden="1">
      <c r="A1246" s="990">
        <v>896.0</v>
      </c>
      <c r="B1246" s="988">
        <v>45314.0</v>
      </c>
      <c r="C1246" s="989" t="s">
        <v>2367</v>
      </c>
      <c r="D1246" s="434" t="s">
        <v>714</v>
      </c>
      <c r="E1246" s="434" t="s">
        <v>49</v>
      </c>
      <c r="F1246" s="434" t="s">
        <v>50</v>
      </c>
      <c r="G1246" s="434" t="s">
        <v>103</v>
      </c>
      <c r="H1246" s="989" t="s">
        <v>3063</v>
      </c>
      <c r="I1246" s="989" t="s">
        <v>7007</v>
      </c>
      <c r="J1246" s="1039" t="s">
        <v>377</v>
      </c>
      <c r="K1246" s="436" t="s">
        <v>378</v>
      </c>
      <c r="L1246" s="436" t="s">
        <v>1162</v>
      </c>
      <c r="M1246" s="987"/>
      <c r="N1246" s="987"/>
      <c r="O1246" s="987"/>
      <c r="P1246" s="987"/>
      <c r="Q1246" s="987"/>
      <c r="R1246" s="436" t="s">
        <v>150</v>
      </c>
      <c r="S1246" s="1020">
        <v>45878.0</v>
      </c>
      <c r="T1246" s="987"/>
      <c r="U1246" s="987"/>
      <c r="V1246" s="987"/>
      <c r="W1246" s="987"/>
      <c r="X1246" s="987"/>
      <c r="Y1246" s="987"/>
      <c r="Z1246" s="987"/>
      <c r="AA1246" s="986"/>
    </row>
    <row r="1247" hidden="1">
      <c r="A1247" s="995">
        <v>882.0</v>
      </c>
      <c r="B1247" s="996">
        <v>45307.0</v>
      </c>
      <c r="C1247" s="984" t="s">
        <v>6989</v>
      </c>
      <c r="D1247" s="436" t="s">
        <v>1011</v>
      </c>
      <c r="E1247" s="436" t="s">
        <v>1459</v>
      </c>
      <c r="F1247" s="436" t="s">
        <v>50</v>
      </c>
      <c r="G1247" s="436" t="s">
        <v>32</v>
      </c>
      <c r="H1247" s="984" t="s">
        <v>6990</v>
      </c>
      <c r="I1247" s="1022" t="s">
        <v>6991</v>
      </c>
      <c r="J1247" s="436" t="s">
        <v>2615</v>
      </c>
      <c r="K1247" s="436" t="s">
        <v>5008</v>
      </c>
      <c r="L1247" s="987"/>
      <c r="M1247" s="987"/>
      <c r="N1247" s="987"/>
      <c r="O1247" s="987"/>
      <c r="P1247" s="987"/>
      <c r="Q1247" s="987"/>
      <c r="R1247" s="987"/>
      <c r="S1247" s="987"/>
      <c r="T1247" s="987"/>
      <c r="U1247" s="987"/>
      <c r="V1247" s="987"/>
      <c r="W1247" s="987"/>
      <c r="X1247" s="987"/>
      <c r="Y1247" s="987"/>
      <c r="Z1247" s="987"/>
      <c r="AA1247" s="986"/>
    </row>
    <row r="1248" hidden="1">
      <c r="A1248" s="990">
        <v>899.0</v>
      </c>
      <c r="B1248" s="988">
        <v>45314.0</v>
      </c>
      <c r="C1248" s="989" t="s">
        <v>2367</v>
      </c>
      <c r="D1248" s="434" t="s">
        <v>714</v>
      </c>
      <c r="E1248" s="434" t="s">
        <v>49</v>
      </c>
      <c r="F1248" s="434" t="s">
        <v>50</v>
      </c>
      <c r="G1248" s="434" t="s">
        <v>103</v>
      </c>
      <c r="H1248" s="989" t="s">
        <v>7009</v>
      </c>
      <c r="I1248" s="989" t="s">
        <v>7010</v>
      </c>
      <c r="J1248" s="1039" t="s">
        <v>377</v>
      </c>
      <c r="K1248" s="436" t="s">
        <v>378</v>
      </c>
      <c r="L1248" s="436" t="s">
        <v>1162</v>
      </c>
      <c r="M1248" s="987"/>
      <c r="N1248" s="987"/>
      <c r="O1248" s="987"/>
      <c r="P1248" s="987"/>
      <c r="Q1248" s="987"/>
      <c r="R1248" s="436" t="s">
        <v>150</v>
      </c>
      <c r="S1248" s="987"/>
      <c r="T1248" s="987"/>
      <c r="U1248" s="987"/>
      <c r="V1248" s="987"/>
      <c r="W1248" s="987"/>
      <c r="X1248" s="987"/>
      <c r="Y1248" s="987"/>
      <c r="Z1248" s="987"/>
      <c r="AA1248" s="986"/>
    </row>
    <row r="1249" hidden="1">
      <c r="A1249" s="995">
        <v>927.0</v>
      </c>
      <c r="B1249" s="988">
        <v>45336.0</v>
      </c>
      <c r="C1249" s="989" t="s">
        <v>6116</v>
      </c>
      <c r="D1249" s="434" t="s">
        <v>1059</v>
      </c>
      <c r="E1249" s="434" t="s">
        <v>1060</v>
      </c>
      <c r="F1249" s="434" t="s">
        <v>50</v>
      </c>
      <c r="G1249" s="434" t="s">
        <v>135</v>
      </c>
      <c r="H1249" s="989" t="s">
        <v>6218</v>
      </c>
      <c r="I1249" s="993" t="s">
        <v>7011</v>
      </c>
      <c r="J1249" s="436" t="s">
        <v>1063</v>
      </c>
      <c r="K1249" s="436" t="s">
        <v>1064</v>
      </c>
      <c r="L1249" s="436" t="s">
        <v>1065</v>
      </c>
      <c r="M1249" s="987"/>
      <c r="N1249" s="436" t="s">
        <v>62</v>
      </c>
      <c r="O1249" s="987"/>
      <c r="P1249" s="987"/>
      <c r="Q1249" s="987"/>
      <c r="R1249" s="987"/>
      <c r="S1249" s="987"/>
      <c r="T1249" s="987"/>
      <c r="U1249" s="987"/>
      <c r="V1249" s="987"/>
      <c r="W1249" s="987"/>
      <c r="X1249" s="987"/>
      <c r="Y1249" s="987"/>
      <c r="Z1249" s="987"/>
      <c r="AA1249" s="986"/>
    </row>
    <row r="1250" hidden="1">
      <c r="A1250" s="995">
        <v>928.0</v>
      </c>
      <c r="B1250" s="996">
        <v>45336.0</v>
      </c>
      <c r="C1250" s="989" t="s">
        <v>6164</v>
      </c>
      <c r="D1250" s="434" t="s">
        <v>918</v>
      </c>
      <c r="E1250" s="434" t="s">
        <v>3043</v>
      </c>
      <c r="F1250" s="434" t="s">
        <v>50</v>
      </c>
      <c r="G1250" s="434" t="s">
        <v>32</v>
      </c>
      <c r="H1250" s="989" t="s">
        <v>7012</v>
      </c>
      <c r="I1250" s="993" t="s">
        <v>7013</v>
      </c>
      <c r="J1250" s="436" t="s">
        <v>284</v>
      </c>
      <c r="K1250" s="436" t="s">
        <v>7014</v>
      </c>
      <c r="L1250" s="436" t="s">
        <v>2852</v>
      </c>
      <c r="M1250" s="987"/>
      <c r="N1250" s="987"/>
      <c r="O1250" s="987"/>
      <c r="P1250" s="987"/>
      <c r="Q1250" s="987"/>
      <c r="R1250" s="987"/>
      <c r="S1250" s="987"/>
      <c r="T1250" s="987"/>
      <c r="U1250" s="987"/>
      <c r="V1250" s="987"/>
      <c r="W1250" s="987"/>
      <c r="X1250" s="987"/>
      <c r="Y1250" s="987"/>
      <c r="Z1250" s="987"/>
      <c r="AA1250" s="986"/>
    </row>
    <row r="1251" hidden="1">
      <c r="A1251" s="995">
        <v>938.0</v>
      </c>
      <c r="B1251" s="996">
        <v>45343.0</v>
      </c>
      <c r="C1251" s="984" t="s">
        <v>7015</v>
      </c>
      <c r="D1251" s="436" t="s">
        <v>212</v>
      </c>
      <c r="E1251" s="436" t="s">
        <v>383</v>
      </c>
      <c r="F1251" s="436" t="s">
        <v>50</v>
      </c>
      <c r="G1251" s="436" t="s">
        <v>32</v>
      </c>
      <c r="H1251" s="984" t="s">
        <v>7016</v>
      </c>
      <c r="I1251" s="984" t="s">
        <v>7017</v>
      </c>
      <c r="J1251" s="987"/>
      <c r="K1251" s="987"/>
      <c r="L1251" s="987"/>
      <c r="M1251" s="987"/>
      <c r="N1251" s="987"/>
      <c r="O1251" s="987"/>
      <c r="P1251" s="987"/>
      <c r="Q1251" s="987"/>
      <c r="R1251" s="987"/>
      <c r="S1251" s="987"/>
      <c r="T1251" s="987"/>
      <c r="U1251" s="987"/>
      <c r="V1251" s="987"/>
      <c r="W1251" s="987"/>
      <c r="X1251" s="987"/>
      <c r="Y1251" s="987"/>
      <c r="Z1251" s="987"/>
      <c r="AA1251" s="986"/>
    </row>
    <row r="1252" hidden="1">
      <c r="A1252" s="995">
        <v>941.0</v>
      </c>
      <c r="B1252" s="988">
        <v>45344.0</v>
      </c>
      <c r="C1252" s="989" t="s">
        <v>7018</v>
      </c>
      <c r="D1252" s="434" t="s">
        <v>7019</v>
      </c>
      <c r="E1252" s="434" t="s">
        <v>847</v>
      </c>
      <c r="F1252" s="434" t="s">
        <v>50</v>
      </c>
      <c r="G1252" s="434" t="s">
        <v>120</v>
      </c>
      <c r="H1252" s="989" t="s">
        <v>7020</v>
      </c>
      <c r="I1252" s="989" t="s">
        <v>7021</v>
      </c>
      <c r="J1252" s="987"/>
      <c r="K1252" s="987"/>
      <c r="L1252" s="987"/>
      <c r="M1252" s="987"/>
      <c r="N1252" s="436" t="s">
        <v>62</v>
      </c>
      <c r="O1252" s="1020">
        <v>45842.0</v>
      </c>
      <c r="P1252" s="987"/>
      <c r="Q1252" s="987"/>
      <c r="R1252" s="987"/>
      <c r="S1252" s="987"/>
      <c r="T1252" s="987"/>
      <c r="U1252" s="987"/>
      <c r="V1252" s="987"/>
      <c r="W1252" s="987"/>
      <c r="X1252" s="987"/>
      <c r="Y1252" s="987"/>
      <c r="Z1252" s="987"/>
      <c r="AA1252" s="986"/>
    </row>
    <row r="1253" hidden="1">
      <c r="A1253" s="995">
        <v>945.0</v>
      </c>
      <c r="B1253" s="988">
        <v>45348.0</v>
      </c>
      <c r="C1253" s="989" t="s">
        <v>7022</v>
      </c>
      <c r="D1253" s="989" t="s">
        <v>1215</v>
      </c>
      <c r="E1253" s="434" t="s">
        <v>49</v>
      </c>
      <c r="F1253" s="989" t="s">
        <v>7023</v>
      </c>
      <c r="G1253" s="434" t="s">
        <v>32</v>
      </c>
      <c r="H1253" s="989" t="s">
        <v>7024</v>
      </c>
      <c r="I1253" s="989" t="s">
        <v>7025</v>
      </c>
      <c r="J1253" s="987"/>
      <c r="K1253" s="987"/>
      <c r="L1253" s="987"/>
      <c r="M1253" s="987"/>
      <c r="N1253" s="436" t="s">
        <v>62</v>
      </c>
      <c r="O1253" s="1020">
        <v>45896.0</v>
      </c>
      <c r="P1253" s="987"/>
      <c r="Q1253" s="987"/>
      <c r="R1253" s="987"/>
      <c r="S1253" s="987"/>
      <c r="T1253" s="436" t="s">
        <v>62</v>
      </c>
      <c r="U1253" s="1020">
        <v>45903.0</v>
      </c>
      <c r="V1253" s="987"/>
      <c r="W1253" s="987"/>
      <c r="X1253" s="987"/>
      <c r="Y1253" s="987"/>
      <c r="Z1253" s="987"/>
      <c r="AA1253" s="986"/>
    </row>
    <row r="1254" hidden="1">
      <c r="A1254" s="990">
        <v>948.0</v>
      </c>
      <c r="B1254" s="988">
        <v>45349.0</v>
      </c>
      <c r="C1254" s="989" t="s">
        <v>2367</v>
      </c>
      <c r="D1254" s="434" t="s">
        <v>714</v>
      </c>
      <c r="E1254" s="434" t="s">
        <v>49</v>
      </c>
      <c r="F1254" s="434" t="s">
        <v>50</v>
      </c>
      <c r="G1254" s="434" t="s">
        <v>103</v>
      </c>
      <c r="H1254" s="989" t="s">
        <v>7026</v>
      </c>
      <c r="I1254" s="993" t="s">
        <v>7027</v>
      </c>
      <c r="J1254" s="1039" t="s">
        <v>377</v>
      </c>
      <c r="K1254" s="436" t="s">
        <v>378</v>
      </c>
      <c r="L1254" s="436" t="s">
        <v>1162</v>
      </c>
      <c r="M1254" s="987"/>
      <c r="N1254" s="987"/>
      <c r="O1254" s="987"/>
      <c r="P1254" s="987"/>
      <c r="Q1254" s="987"/>
      <c r="R1254" s="436" t="s">
        <v>150</v>
      </c>
      <c r="S1254" s="987"/>
      <c r="T1254" s="987"/>
      <c r="U1254" s="987"/>
      <c r="V1254" s="987"/>
      <c r="W1254" s="987"/>
      <c r="X1254" s="987"/>
      <c r="Y1254" s="987"/>
      <c r="Z1254" s="987"/>
      <c r="AA1254" s="986"/>
    </row>
    <row r="1255" hidden="1">
      <c r="A1255" s="995">
        <v>987.0</v>
      </c>
      <c r="B1255" s="996">
        <v>45355.0</v>
      </c>
      <c r="C1255" s="989" t="s">
        <v>6164</v>
      </c>
      <c r="D1255" s="434" t="s">
        <v>918</v>
      </c>
      <c r="E1255" s="434" t="s">
        <v>261</v>
      </c>
      <c r="F1255" s="990">
        <v>1.6351538E7</v>
      </c>
      <c r="G1255" s="434" t="s">
        <v>32</v>
      </c>
      <c r="H1255" s="989" t="s">
        <v>5568</v>
      </c>
      <c r="I1255" s="989" t="s">
        <v>7028</v>
      </c>
      <c r="J1255" s="436" t="s">
        <v>278</v>
      </c>
      <c r="K1255" s="436" t="s">
        <v>1286</v>
      </c>
      <c r="L1255" s="436" t="s">
        <v>280</v>
      </c>
      <c r="M1255" s="987"/>
      <c r="N1255" s="436" t="s">
        <v>62</v>
      </c>
      <c r="O1255" s="1019">
        <v>45811.0</v>
      </c>
      <c r="P1255" s="987"/>
      <c r="Q1255" s="987"/>
      <c r="R1255" s="987"/>
      <c r="S1255" s="987"/>
      <c r="T1255" s="436" t="s">
        <v>62</v>
      </c>
      <c r="U1255" s="1019">
        <v>45814.0</v>
      </c>
      <c r="V1255" s="987"/>
      <c r="W1255" s="987"/>
      <c r="X1255" s="987"/>
      <c r="Y1255" s="987"/>
      <c r="Z1255" s="987"/>
      <c r="AA1255" s="986"/>
    </row>
    <row r="1256" hidden="1">
      <c r="A1256" s="995">
        <v>988.0</v>
      </c>
      <c r="B1256" s="988">
        <v>45356.0</v>
      </c>
      <c r="C1256" s="989" t="s">
        <v>6116</v>
      </c>
      <c r="D1256" s="434" t="s">
        <v>1059</v>
      </c>
      <c r="E1256" s="434" t="s">
        <v>1060</v>
      </c>
      <c r="F1256" s="992"/>
      <c r="G1256" s="434" t="s">
        <v>135</v>
      </c>
      <c r="H1256" s="989" t="s">
        <v>7029</v>
      </c>
      <c r="I1256" s="989" t="s">
        <v>7030</v>
      </c>
      <c r="J1256" s="436" t="s">
        <v>1063</v>
      </c>
      <c r="K1256" s="436" t="s">
        <v>1064</v>
      </c>
      <c r="L1256" s="436" t="s">
        <v>1065</v>
      </c>
      <c r="M1256" s="987"/>
      <c r="N1256" s="436" t="s">
        <v>62</v>
      </c>
      <c r="O1256" s="987"/>
      <c r="P1256" s="987"/>
      <c r="Q1256" s="987"/>
      <c r="R1256" s="987"/>
      <c r="S1256" s="987"/>
      <c r="T1256" s="987"/>
      <c r="U1256" s="987"/>
      <c r="V1256" s="987"/>
      <c r="W1256" s="987"/>
      <c r="X1256" s="987"/>
      <c r="Y1256" s="987"/>
      <c r="Z1256" s="987"/>
      <c r="AA1256" s="986"/>
    </row>
    <row r="1257" hidden="1">
      <c r="A1257" s="995">
        <v>989.0</v>
      </c>
      <c r="B1257" s="988">
        <v>45356.0</v>
      </c>
      <c r="C1257" s="989" t="s">
        <v>6116</v>
      </c>
      <c r="D1257" s="434" t="s">
        <v>1059</v>
      </c>
      <c r="E1257" s="434" t="s">
        <v>1060</v>
      </c>
      <c r="F1257" s="992"/>
      <c r="G1257" s="434" t="s">
        <v>135</v>
      </c>
      <c r="H1257" s="989" t="s">
        <v>7029</v>
      </c>
      <c r="I1257" s="989" t="s">
        <v>7030</v>
      </c>
      <c r="J1257" s="436" t="s">
        <v>1063</v>
      </c>
      <c r="K1257" s="436" t="s">
        <v>1064</v>
      </c>
      <c r="L1257" s="436" t="s">
        <v>1065</v>
      </c>
      <c r="M1257" s="987"/>
      <c r="N1257" s="436" t="s">
        <v>62</v>
      </c>
      <c r="O1257" s="987"/>
      <c r="P1257" s="987"/>
      <c r="Q1257" s="987"/>
      <c r="R1257" s="987"/>
      <c r="S1257" s="987"/>
      <c r="T1257" s="987"/>
      <c r="U1257" s="987"/>
      <c r="V1257" s="987"/>
      <c r="W1257" s="987"/>
      <c r="X1257" s="987"/>
      <c r="Y1257" s="987"/>
      <c r="Z1257" s="987"/>
      <c r="AA1257" s="986"/>
    </row>
    <row r="1258" hidden="1">
      <c r="A1258" s="995">
        <v>990.0</v>
      </c>
      <c r="B1258" s="988">
        <v>45356.0</v>
      </c>
      <c r="C1258" s="989" t="s">
        <v>6116</v>
      </c>
      <c r="D1258" s="434" t="s">
        <v>1059</v>
      </c>
      <c r="E1258" s="434" t="s">
        <v>1060</v>
      </c>
      <c r="F1258" s="992"/>
      <c r="G1258" s="434" t="s">
        <v>135</v>
      </c>
      <c r="H1258" s="989" t="s">
        <v>7029</v>
      </c>
      <c r="I1258" s="989" t="s">
        <v>7031</v>
      </c>
      <c r="J1258" s="436" t="s">
        <v>1063</v>
      </c>
      <c r="K1258" s="436" t="s">
        <v>7032</v>
      </c>
      <c r="L1258" s="984" t="s">
        <v>7033</v>
      </c>
      <c r="M1258" s="987"/>
      <c r="N1258" s="436" t="s">
        <v>62</v>
      </c>
      <c r="O1258" s="987"/>
      <c r="P1258" s="987"/>
      <c r="Q1258" s="987"/>
      <c r="R1258" s="987"/>
      <c r="S1258" s="987"/>
      <c r="T1258" s="987"/>
      <c r="U1258" s="987"/>
      <c r="V1258" s="987"/>
      <c r="W1258" s="987"/>
      <c r="X1258" s="987"/>
      <c r="Y1258" s="987"/>
      <c r="Z1258" s="987"/>
      <c r="AA1258" s="986"/>
    </row>
    <row r="1259" hidden="1">
      <c r="A1259" s="995">
        <v>991.0</v>
      </c>
      <c r="B1259" s="988">
        <v>45356.0</v>
      </c>
      <c r="C1259" s="989" t="s">
        <v>6164</v>
      </c>
      <c r="D1259" s="434" t="s">
        <v>918</v>
      </c>
      <c r="E1259" s="434" t="s">
        <v>1467</v>
      </c>
      <c r="F1259" s="434" t="s">
        <v>296</v>
      </c>
      <c r="G1259" s="434" t="s">
        <v>32</v>
      </c>
      <c r="H1259" s="989" t="s">
        <v>7034</v>
      </c>
      <c r="I1259" s="989" t="s">
        <v>7035</v>
      </c>
      <c r="J1259" s="436" t="s">
        <v>1435</v>
      </c>
      <c r="K1259" s="436" t="s">
        <v>7036</v>
      </c>
      <c r="L1259" s="595" t="s">
        <v>7037</v>
      </c>
      <c r="M1259" s="987"/>
      <c r="N1259" s="436" t="s">
        <v>62</v>
      </c>
      <c r="O1259" s="1020">
        <v>45869.0</v>
      </c>
      <c r="P1259" s="987"/>
      <c r="Q1259" s="987"/>
      <c r="R1259" s="987"/>
      <c r="S1259" s="987"/>
      <c r="T1259" s="987"/>
      <c r="U1259" s="987"/>
      <c r="V1259" s="987"/>
      <c r="W1259" s="987"/>
      <c r="X1259" s="987"/>
      <c r="Y1259" s="987"/>
      <c r="Z1259" s="987"/>
      <c r="AA1259" s="986"/>
    </row>
    <row r="1260" hidden="1">
      <c r="A1260" s="995">
        <v>1024.0</v>
      </c>
      <c r="B1260" s="988">
        <v>45363.0</v>
      </c>
      <c r="C1260" s="989" t="s">
        <v>7038</v>
      </c>
      <c r="D1260" s="434" t="s">
        <v>1411</v>
      </c>
      <c r="E1260" s="434" t="s">
        <v>160</v>
      </c>
      <c r="F1260" s="990">
        <v>1.5620334E7</v>
      </c>
      <c r="G1260" s="434" t="s">
        <v>32</v>
      </c>
      <c r="H1260" s="989" t="s">
        <v>7039</v>
      </c>
      <c r="I1260" s="993" t="s">
        <v>7040</v>
      </c>
      <c r="J1260" s="436" t="s">
        <v>7041</v>
      </c>
      <c r="K1260" s="436" t="s">
        <v>7042</v>
      </c>
      <c r="L1260" s="436" t="s">
        <v>7043</v>
      </c>
      <c r="M1260" s="987"/>
      <c r="N1260" s="987"/>
      <c r="O1260" s="987"/>
      <c r="P1260" s="987"/>
      <c r="Q1260" s="987"/>
      <c r="R1260" s="987"/>
      <c r="S1260" s="987"/>
      <c r="T1260" s="987"/>
      <c r="U1260" s="987"/>
      <c r="V1260" s="987"/>
      <c r="W1260" s="987"/>
      <c r="X1260" s="987"/>
      <c r="Y1260" s="987"/>
      <c r="Z1260" s="987"/>
      <c r="AA1260" s="986"/>
    </row>
    <row r="1261" hidden="1">
      <c r="A1261" s="995">
        <v>1025.0</v>
      </c>
      <c r="B1261" s="988">
        <v>45363.0</v>
      </c>
      <c r="C1261" s="989" t="s">
        <v>7038</v>
      </c>
      <c r="D1261" s="434" t="s">
        <v>1411</v>
      </c>
      <c r="E1261" s="434" t="s">
        <v>160</v>
      </c>
      <c r="F1261" s="992"/>
      <c r="G1261" s="434" t="s">
        <v>32</v>
      </c>
      <c r="H1261" s="989" t="s">
        <v>7044</v>
      </c>
      <c r="I1261" s="989" t="s">
        <v>7045</v>
      </c>
      <c r="J1261" s="436" t="s">
        <v>7041</v>
      </c>
      <c r="K1261" s="436" t="s">
        <v>7046</v>
      </c>
      <c r="L1261" s="436" t="s">
        <v>2944</v>
      </c>
      <c r="M1261" s="987"/>
      <c r="N1261" s="987"/>
      <c r="O1261" s="987"/>
      <c r="P1261" s="987"/>
      <c r="Q1261" s="987"/>
      <c r="R1261" s="987"/>
      <c r="S1261" s="987"/>
      <c r="T1261" s="987"/>
      <c r="U1261" s="987"/>
      <c r="V1261" s="987"/>
      <c r="W1261" s="987"/>
      <c r="X1261" s="987"/>
      <c r="Y1261" s="987"/>
      <c r="Z1261" s="987"/>
      <c r="AA1261" s="986"/>
    </row>
    <row r="1262" hidden="1">
      <c r="A1262" s="995">
        <v>1040.0</v>
      </c>
      <c r="B1262" s="996">
        <v>45372.0</v>
      </c>
      <c r="C1262" s="984" t="s">
        <v>7047</v>
      </c>
      <c r="D1262" s="436" t="s">
        <v>404</v>
      </c>
      <c r="E1262" s="436" t="s">
        <v>295</v>
      </c>
      <c r="F1262" s="995">
        <v>1.3560257E7</v>
      </c>
      <c r="G1262" s="436" t="s">
        <v>200</v>
      </c>
      <c r="H1262" s="984" t="s">
        <v>2986</v>
      </c>
      <c r="I1262" s="984" t="s">
        <v>7048</v>
      </c>
      <c r="J1262" s="436" t="s">
        <v>1524</v>
      </c>
      <c r="K1262" s="436" t="s">
        <v>732</v>
      </c>
      <c r="L1262" s="436" t="s">
        <v>4589</v>
      </c>
      <c r="M1262" s="987"/>
      <c r="N1262" s="987"/>
      <c r="O1262" s="987"/>
      <c r="P1262" s="987"/>
      <c r="Q1262" s="987"/>
      <c r="R1262" s="987"/>
      <c r="S1262" s="987"/>
      <c r="T1262" s="987"/>
      <c r="U1262" s="987"/>
      <c r="V1262" s="987"/>
      <c r="W1262" s="987"/>
      <c r="X1262" s="987"/>
      <c r="Y1262" s="987"/>
      <c r="Z1262" s="987"/>
      <c r="AA1262" s="986"/>
    </row>
    <row r="1263" hidden="1">
      <c r="A1263" s="995">
        <v>1059.0</v>
      </c>
      <c r="B1263" s="988">
        <v>45385.0</v>
      </c>
      <c r="C1263" s="989" t="s">
        <v>7049</v>
      </c>
      <c r="D1263" s="434" t="s">
        <v>1011</v>
      </c>
      <c r="E1263" s="434" t="s">
        <v>1459</v>
      </c>
      <c r="F1263" s="434" t="s">
        <v>50</v>
      </c>
      <c r="G1263" s="434" t="s">
        <v>32</v>
      </c>
      <c r="H1263" s="989" t="s">
        <v>7050</v>
      </c>
      <c r="I1263" s="989" t="s">
        <v>7051</v>
      </c>
      <c r="J1263" s="436" t="s">
        <v>2615</v>
      </c>
      <c r="K1263" s="987"/>
      <c r="L1263" s="987"/>
      <c r="M1263" s="987"/>
      <c r="N1263" s="987"/>
      <c r="O1263" s="987"/>
      <c r="P1263" s="987"/>
      <c r="Q1263" s="987"/>
      <c r="R1263" s="987"/>
      <c r="S1263" s="987"/>
      <c r="T1263" s="436" t="s">
        <v>62</v>
      </c>
      <c r="U1263" s="1020">
        <v>45896.0</v>
      </c>
      <c r="V1263" s="987"/>
      <c r="W1263" s="987"/>
      <c r="X1263" s="987"/>
      <c r="Y1263" s="987"/>
      <c r="Z1263" s="987"/>
      <c r="AA1263" s="986"/>
    </row>
    <row r="1264" hidden="1">
      <c r="A1264" s="995">
        <v>1063.0</v>
      </c>
      <c r="B1264" s="988">
        <v>45386.0</v>
      </c>
      <c r="C1264" s="989" t="s">
        <v>2821</v>
      </c>
      <c r="D1264" s="434" t="s">
        <v>885</v>
      </c>
      <c r="E1264" s="434" t="s">
        <v>49</v>
      </c>
      <c r="F1264" s="990">
        <v>1.5781559E7</v>
      </c>
      <c r="G1264" s="434" t="s">
        <v>32</v>
      </c>
      <c r="H1264" s="989" t="s">
        <v>5911</v>
      </c>
      <c r="I1264" s="989" t="s">
        <v>7052</v>
      </c>
      <c r="J1264" s="436" t="s">
        <v>1244</v>
      </c>
      <c r="K1264" s="987"/>
      <c r="L1264" s="436" t="s">
        <v>1234</v>
      </c>
      <c r="M1264" s="987"/>
      <c r="N1264" s="987"/>
      <c r="O1264" s="987"/>
      <c r="P1264" s="987"/>
      <c r="Q1264" s="987"/>
      <c r="R1264" s="987"/>
      <c r="S1264" s="987"/>
      <c r="T1264" s="436" t="s">
        <v>62</v>
      </c>
      <c r="U1264" s="995">
        <v>45450.0</v>
      </c>
      <c r="V1264" s="987"/>
      <c r="W1264" s="987"/>
      <c r="X1264" s="987"/>
      <c r="Y1264" s="987"/>
      <c r="Z1264" s="987"/>
      <c r="AA1264" s="986"/>
    </row>
    <row r="1265" hidden="1">
      <c r="A1265" s="995">
        <v>1064.0</v>
      </c>
      <c r="B1265" s="988">
        <v>45386.0</v>
      </c>
      <c r="C1265" s="989" t="s">
        <v>2821</v>
      </c>
      <c r="D1265" s="434" t="s">
        <v>885</v>
      </c>
      <c r="E1265" s="434" t="s">
        <v>49</v>
      </c>
      <c r="F1265" s="990">
        <v>1.5781564E7</v>
      </c>
      <c r="G1265" s="434" t="s">
        <v>32</v>
      </c>
      <c r="H1265" s="989" t="s">
        <v>7053</v>
      </c>
      <c r="I1265" s="989" t="s">
        <v>7054</v>
      </c>
      <c r="J1265" s="436" t="s">
        <v>1244</v>
      </c>
      <c r="K1265" s="987"/>
      <c r="L1265" s="984" t="s">
        <v>5977</v>
      </c>
      <c r="M1265" s="987"/>
      <c r="N1265" s="987"/>
      <c r="O1265" s="987"/>
      <c r="P1265" s="987"/>
      <c r="Q1265" s="987"/>
      <c r="R1265" s="987"/>
      <c r="S1265" s="987"/>
      <c r="T1265" s="987"/>
      <c r="U1265" s="987"/>
      <c r="V1265" s="987"/>
      <c r="W1265" s="987"/>
      <c r="X1265" s="987"/>
      <c r="Y1265" s="987"/>
      <c r="Z1265" s="987"/>
      <c r="AA1265" s="986"/>
    </row>
    <row r="1266" hidden="1">
      <c r="A1266" s="995">
        <v>1065.0</v>
      </c>
      <c r="B1266" s="988">
        <v>45386.0</v>
      </c>
      <c r="C1266" s="989" t="s">
        <v>2821</v>
      </c>
      <c r="D1266" s="434" t="s">
        <v>885</v>
      </c>
      <c r="E1266" s="434" t="s">
        <v>49</v>
      </c>
      <c r="F1266" s="990">
        <v>1.5781565E7</v>
      </c>
      <c r="G1266" s="434" t="s">
        <v>32</v>
      </c>
      <c r="H1266" s="989" t="s">
        <v>7055</v>
      </c>
      <c r="I1266" s="989" t="s">
        <v>7056</v>
      </c>
      <c r="J1266" s="436" t="s">
        <v>1244</v>
      </c>
      <c r="K1266" s="987"/>
      <c r="L1266" s="436" t="s">
        <v>610</v>
      </c>
      <c r="M1266" s="987"/>
      <c r="N1266" s="987"/>
      <c r="O1266" s="987"/>
      <c r="P1266" s="987"/>
      <c r="Q1266" s="987"/>
      <c r="R1266" s="987"/>
      <c r="S1266" s="987"/>
      <c r="T1266" s="987"/>
      <c r="U1266" s="987"/>
      <c r="V1266" s="987"/>
      <c r="W1266" s="987"/>
      <c r="X1266" s="987"/>
      <c r="Y1266" s="987"/>
      <c r="Z1266" s="987"/>
      <c r="AA1266" s="986"/>
    </row>
    <row r="1267" hidden="1">
      <c r="A1267" s="995">
        <v>1066.0</v>
      </c>
      <c r="B1267" s="988">
        <v>45386.0</v>
      </c>
      <c r="C1267" s="989" t="s">
        <v>2821</v>
      </c>
      <c r="D1267" s="434" t="s">
        <v>885</v>
      </c>
      <c r="E1267" s="434" t="s">
        <v>49</v>
      </c>
      <c r="F1267" s="434" t="s">
        <v>7057</v>
      </c>
      <c r="G1267" s="434" t="s">
        <v>32</v>
      </c>
      <c r="H1267" s="989" t="s">
        <v>5907</v>
      </c>
      <c r="I1267" s="989" t="s">
        <v>7058</v>
      </c>
      <c r="J1267" s="436" t="s">
        <v>1244</v>
      </c>
      <c r="K1267" s="987"/>
      <c r="L1267" s="436" t="s">
        <v>610</v>
      </c>
      <c r="M1267" s="987"/>
      <c r="N1267" s="987"/>
      <c r="O1267" s="987"/>
      <c r="P1267" s="987"/>
      <c r="Q1267" s="987"/>
      <c r="R1267" s="987"/>
      <c r="S1267" s="987"/>
      <c r="T1267" s="987"/>
      <c r="U1267" s="987"/>
      <c r="V1267" s="987"/>
      <c r="W1267" s="987"/>
      <c r="X1267" s="987"/>
      <c r="Y1267" s="987"/>
      <c r="Z1267" s="987"/>
      <c r="AA1267" s="986"/>
    </row>
    <row r="1268" hidden="1">
      <c r="A1268" s="995">
        <v>1067.0</v>
      </c>
      <c r="B1268" s="988">
        <v>45386.0</v>
      </c>
      <c r="C1268" s="989" t="s">
        <v>2821</v>
      </c>
      <c r="D1268" s="434" t="s">
        <v>885</v>
      </c>
      <c r="E1268" s="434" t="s">
        <v>49</v>
      </c>
      <c r="F1268" s="434" t="s">
        <v>7059</v>
      </c>
      <c r="G1268" s="434" t="s">
        <v>32</v>
      </c>
      <c r="H1268" s="989" t="s">
        <v>7060</v>
      </c>
      <c r="I1268" s="989" t="s">
        <v>7061</v>
      </c>
      <c r="J1268" s="436" t="s">
        <v>1244</v>
      </c>
      <c r="K1268" s="987"/>
      <c r="L1268" s="984" t="s">
        <v>5977</v>
      </c>
      <c r="M1268" s="987"/>
      <c r="N1268" s="987"/>
      <c r="O1268" s="987"/>
      <c r="P1268" s="987"/>
      <c r="Q1268" s="987"/>
      <c r="R1268" s="987"/>
      <c r="S1268" s="987"/>
      <c r="T1268" s="987"/>
      <c r="U1268" s="987"/>
      <c r="V1268" s="987"/>
      <c r="W1268" s="987"/>
      <c r="X1268" s="987"/>
      <c r="Y1268" s="987"/>
      <c r="Z1268" s="987"/>
      <c r="AA1268" s="986"/>
    </row>
    <row r="1269" hidden="1">
      <c r="A1269" s="995">
        <v>1068.0</v>
      </c>
      <c r="B1269" s="988">
        <v>45386.0</v>
      </c>
      <c r="C1269" s="989" t="s">
        <v>2821</v>
      </c>
      <c r="D1269" s="434" t="s">
        <v>885</v>
      </c>
      <c r="E1269" s="434" t="s">
        <v>49</v>
      </c>
      <c r="F1269" s="434" t="s">
        <v>7062</v>
      </c>
      <c r="G1269" s="434" t="s">
        <v>32</v>
      </c>
      <c r="H1269" s="989" t="s">
        <v>7063</v>
      </c>
      <c r="I1269" s="989" t="s">
        <v>7064</v>
      </c>
      <c r="J1269" s="436" t="s">
        <v>1244</v>
      </c>
      <c r="K1269" s="987"/>
      <c r="L1269" s="987"/>
      <c r="M1269" s="987"/>
      <c r="N1269" s="987"/>
      <c r="O1269" s="987"/>
      <c r="P1269" s="987"/>
      <c r="Q1269" s="987"/>
      <c r="R1269" s="987"/>
      <c r="S1269" s="987"/>
      <c r="T1269" s="987"/>
      <c r="U1269" s="987"/>
      <c r="V1269" s="987"/>
      <c r="W1269" s="987"/>
      <c r="X1269" s="987"/>
      <c r="Y1269" s="987"/>
      <c r="Z1269" s="987"/>
      <c r="AA1269" s="986"/>
    </row>
    <row r="1270" hidden="1">
      <c r="A1270" s="995">
        <v>1069.0</v>
      </c>
      <c r="B1270" s="988">
        <v>45386.0</v>
      </c>
      <c r="C1270" s="989" t="s">
        <v>2821</v>
      </c>
      <c r="D1270" s="434" t="s">
        <v>885</v>
      </c>
      <c r="E1270" s="434" t="s">
        <v>49</v>
      </c>
      <c r="F1270" s="434" t="s">
        <v>7065</v>
      </c>
      <c r="G1270" s="434" t="s">
        <v>32</v>
      </c>
      <c r="H1270" s="989" t="s">
        <v>5908</v>
      </c>
      <c r="I1270" s="989" t="s">
        <v>7066</v>
      </c>
      <c r="J1270" s="436" t="s">
        <v>1244</v>
      </c>
      <c r="K1270" s="987"/>
      <c r="L1270" s="987"/>
      <c r="M1270" s="987"/>
      <c r="N1270" s="987"/>
      <c r="O1270" s="987"/>
      <c r="P1270" s="987"/>
      <c r="Q1270" s="987"/>
      <c r="R1270" s="987"/>
      <c r="S1270" s="987"/>
      <c r="T1270" s="987"/>
      <c r="U1270" s="987"/>
      <c r="V1270" s="987"/>
      <c r="W1270" s="987"/>
      <c r="X1270" s="987"/>
      <c r="Y1270" s="987"/>
      <c r="Z1270" s="987"/>
      <c r="AA1270" s="986"/>
    </row>
    <row r="1271" hidden="1">
      <c r="A1271" s="995">
        <v>1070.0</v>
      </c>
      <c r="B1271" s="988">
        <v>45386.0</v>
      </c>
      <c r="C1271" s="989" t="s">
        <v>2821</v>
      </c>
      <c r="D1271" s="434" t="s">
        <v>885</v>
      </c>
      <c r="E1271" s="434" t="s">
        <v>49</v>
      </c>
      <c r="F1271" s="434" t="s">
        <v>7067</v>
      </c>
      <c r="G1271" s="434" t="s">
        <v>32</v>
      </c>
      <c r="H1271" s="989" t="s">
        <v>7068</v>
      </c>
      <c r="I1271" s="989" t="s">
        <v>7069</v>
      </c>
      <c r="J1271" s="436" t="s">
        <v>1244</v>
      </c>
      <c r="K1271" s="987"/>
      <c r="L1271" s="984" t="s">
        <v>5977</v>
      </c>
      <c r="M1271" s="987"/>
      <c r="N1271" s="987"/>
      <c r="O1271" s="987"/>
      <c r="P1271" s="987"/>
      <c r="Q1271" s="987"/>
      <c r="R1271" s="987"/>
      <c r="S1271" s="987"/>
      <c r="T1271" s="987"/>
      <c r="U1271" s="987"/>
      <c r="V1271" s="987"/>
      <c r="W1271" s="987"/>
      <c r="X1271" s="987"/>
      <c r="Y1271" s="987"/>
      <c r="Z1271" s="987"/>
      <c r="AA1271" s="986"/>
    </row>
    <row r="1272" hidden="1">
      <c r="A1272" s="995">
        <v>1071.0</v>
      </c>
      <c r="B1272" s="988">
        <v>45386.0</v>
      </c>
      <c r="C1272" s="989" t="s">
        <v>2821</v>
      </c>
      <c r="D1272" s="434" t="s">
        <v>885</v>
      </c>
      <c r="E1272" s="434" t="s">
        <v>49</v>
      </c>
      <c r="F1272" s="434" t="s">
        <v>7070</v>
      </c>
      <c r="G1272" s="434" t="s">
        <v>32</v>
      </c>
      <c r="H1272" s="989" t="s">
        <v>7071</v>
      </c>
      <c r="I1272" s="989" t="s">
        <v>7064</v>
      </c>
      <c r="J1272" s="436" t="s">
        <v>1244</v>
      </c>
      <c r="K1272" s="987"/>
      <c r="L1272" s="984" t="s">
        <v>5977</v>
      </c>
      <c r="M1272" s="987"/>
      <c r="N1272" s="987"/>
      <c r="O1272" s="987"/>
      <c r="P1272" s="987"/>
      <c r="Q1272" s="987"/>
      <c r="R1272" s="987"/>
      <c r="S1272" s="987"/>
      <c r="T1272" s="987"/>
      <c r="U1272" s="987"/>
      <c r="V1272" s="987"/>
      <c r="W1272" s="987"/>
      <c r="X1272" s="987"/>
      <c r="Y1272" s="987"/>
      <c r="Z1272" s="987"/>
      <c r="AA1272" s="986"/>
    </row>
    <row r="1273" hidden="1">
      <c r="A1273" s="995">
        <v>1072.0</v>
      </c>
      <c r="B1273" s="988">
        <v>45386.0</v>
      </c>
      <c r="C1273" s="989" t="s">
        <v>2821</v>
      </c>
      <c r="D1273" s="434" t="s">
        <v>885</v>
      </c>
      <c r="E1273" s="434" t="s">
        <v>49</v>
      </c>
      <c r="F1273" s="990">
        <v>1.5781572E7</v>
      </c>
      <c r="G1273" s="434" t="s">
        <v>32</v>
      </c>
      <c r="H1273" s="989" t="s">
        <v>7072</v>
      </c>
      <c r="I1273" s="989" t="s">
        <v>7073</v>
      </c>
      <c r="J1273" s="436" t="s">
        <v>1244</v>
      </c>
      <c r="K1273" s="987"/>
      <c r="L1273" s="987"/>
      <c r="M1273" s="987"/>
      <c r="N1273" s="987"/>
      <c r="O1273" s="987"/>
      <c r="P1273" s="987"/>
      <c r="Q1273" s="987"/>
      <c r="R1273" s="987"/>
      <c r="S1273" s="987"/>
      <c r="T1273" s="987"/>
      <c r="U1273" s="987"/>
      <c r="V1273" s="987"/>
      <c r="W1273" s="987"/>
      <c r="X1273" s="987"/>
      <c r="Y1273" s="987"/>
      <c r="Z1273" s="987"/>
      <c r="AA1273" s="986"/>
    </row>
    <row r="1274" hidden="1">
      <c r="A1274" s="995">
        <v>1073.0</v>
      </c>
      <c r="B1274" s="988">
        <v>45386.0</v>
      </c>
      <c r="C1274" s="989" t="s">
        <v>2821</v>
      </c>
      <c r="D1274" s="434" t="s">
        <v>885</v>
      </c>
      <c r="E1274" s="434" t="s">
        <v>49</v>
      </c>
      <c r="F1274" s="990">
        <v>1.5781571E7</v>
      </c>
      <c r="G1274" s="434" t="s">
        <v>32</v>
      </c>
      <c r="H1274" s="989" t="s">
        <v>7074</v>
      </c>
      <c r="I1274" s="989" t="s">
        <v>7075</v>
      </c>
      <c r="J1274" s="436" t="s">
        <v>1244</v>
      </c>
      <c r="K1274" s="987"/>
      <c r="L1274" s="987"/>
      <c r="M1274" s="987"/>
      <c r="N1274" s="987"/>
      <c r="O1274" s="987"/>
      <c r="P1274" s="987"/>
      <c r="Q1274" s="987"/>
      <c r="R1274" s="987"/>
      <c r="S1274" s="987"/>
      <c r="T1274" s="987"/>
      <c r="U1274" s="987"/>
      <c r="V1274" s="987"/>
      <c r="W1274" s="987"/>
      <c r="X1274" s="987"/>
      <c r="Y1274" s="987"/>
      <c r="Z1274" s="987"/>
      <c r="AA1274" s="986"/>
    </row>
    <row r="1275" hidden="1">
      <c r="A1275" s="995">
        <v>1074.0</v>
      </c>
      <c r="B1275" s="988">
        <v>45387.0</v>
      </c>
      <c r="C1275" s="989" t="s">
        <v>2821</v>
      </c>
      <c r="D1275" s="434" t="s">
        <v>885</v>
      </c>
      <c r="E1275" s="434" t="s">
        <v>49</v>
      </c>
      <c r="F1275" s="434" t="s">
        <v>7076</v>
      </c>
      <c r="G1275" s="434" t="s">
        <v>32</v>
      </c>
      <c r="H1275" s="989" t="s">
        <v>7077</v>
      </c>
      <c r="I1275" s="989" t="s">
        <v>7064</v>
      </c>
      <c r="J1275" s="436" t="s">
        <v>1244</v>
      </c>
      <c r="K1275" s="987"/>
      <c r="L1275" s="984" t="s">
        <v>5977</v>
      </c>
      <c r="M1275" s="987"/>
      <c r="N1275" s="987"/>
      <c r="O1275" s="987"/>
      <c r="P1275" s="987"/>
      <c r="Q1275" s="987"/>
      <c r="R1275" s="987"/>
      <c r="S1275" s="987"/>
      <c r="T1275" s="987"/>
      <c r="U1275" s="987"/>
      <c r="V1275" s="987"/>
      <c r="W1275" s="987"/>
      <c r="X1275" s="987"/>
      <c r="Y1275" s="987"/>
      <c r="Z1275" s="987"/>
      <c r="AA1275" s="986"/>
    </row>
    <row r="1276" hidden="1">
      <c r="A1276" s="995">
        <v>1075.0</v>
      </c>
      <c r="B1276" s="988">
        <v>45387.0</v>
      </c>
      <c r="C1276" s="989" t="s">
        <v>2821</v>
      </c>
      <c r="D1276" s="434" t="s">
        <v>885</v>
      </c>
      <c r="E1276" s="434" t="s">
        <v>49</v>
      </c>
      <c r="F1276" s="990">
        <v>1.5781561E7</v>
      </c>
      <c r="G1276" s="434" t="s">
        <v>32</v>
      </c>
      <c r="H1276" s="989" t="s">
        <v>7078</v>
      </c>
      <c r="I1276" s="989" t="s">
        <v>7079</v>
      </c>
      <c r="J1276" s="436" t="s">
        <v>1244</v>
      </c>
      <c r="K1276" s="987"/>
      <c r="L1276" s="436" t="s">
        <v>610</v>
      </c>
      <c r="M1276" s="987"/>
      <c r="N1276" s="987"/>
      <c r="O1276" s="987"/>
      <c r="P1276" s="987"/>
      <c r="Q1276" s="987"/>
      <c r="R1276" s="987"/>
      <c r="S1276" s="987"/>
      <c r="T1276" s="987"/>
      <c r="U1276" s="987"/>
      <c r="V1276" s="987"/>
      <c r="W1276" s="987"/>
      <c r="X1276" s="987"/>
      <c r="Y1276" s="987"/>
      <c r="Z1276" s="987"/>
      <c r="AA1276" s="986"/>
    </row>
    <row r="1277" hidden="1">
      <c r="A1277" s="995">
        <v>1076.0</v>
      </c>
      <c r="B1277" s="988">
        <v>45387.0</v>
      </c>
      <c r="C1277" s="989" t="s">
        <v>2821</v>
      </c>
      <c r="D1277" s="434" t="s">
        <v>885</v>
      </c>
      <c r="E1277" s="434" t="s">
        <v>49</v>
      </c>
      <c r="F1277" s="990">
        <v>51.0</v>
      </c>
      <c r="G1277" s="434" t="s">
        <v>32</v>
      </c>
      <c r="H1277" s="989" t="s">
        <v>7080</v>
      </c>
      <c r="I1277" s="989" t="s">
        <v>7081</v>
      </c>
      <c r="J1277" s="436" t="s">
        <v>1244</v>
      </c>
      <c r="K1277" s="987"/>
      <c r="L1277" s="987"/>
      <c r="M1277" s="987"/>
      <c r="N1277" s="987"/>
      <c r="O1277" s="987"/>
      <c r="P1277" s="987"/>
      <c r="Q1277" s="987"/>
      <c r="R1277" s="987"/>
      <c r="S1277" s="987"/>
      <c r="T1277" s="987"/>
      <c r="U1277" s="987"/>
      <c r="V1277" s="987"/>
      <c r="W1277" s="987"/>
      <c r="X1277" s="987"/>
      <c r="Y1277" s="987"/>
      <c r="Z1277" s="987"/>
      <c r="AA1277" s="986"/>
    </row>
    <row r="1278" hidden="1">
      <c r="A1278" s="995">
        <v>1077.0</v>
      </c>
      <c r="B1278" s="988">
        <v>45387.0</v>
      </c>
      <c r="C1278" s="989" t="s">
        <v>2821</v>
      </c>
      <c r="D1278" s="434" t="s">
        <v>885</v>
      </c>
      <c r="E1278" s="434" t="s">
        <v>49</v>
      </c>
      <c r="F1278" s="990">
        <v>52.0</v>
      </c>
      <c r="G1278" s="434" t="s">
        <v>32</v>
      </c>
      <c r="H1278" s="989" t="s">
        <v>7082</v>
      </c>
      <c r="I1278" s="989" t="s">
        <v>7081</v>
      </c>
      <c r="J1278" s="436" t="s">
        <v>1244</v>
      </c>
      <c r="K1278" s="987"/>
      <c r="L1278" s="987"/>
      <c r="M1278" s="987"/>
      <c r="N1278" s="987"/>
      <c r="O1278" s="987"/>
      <c r="P1278" s="987"/>
      <c r="Q1278" s="987"/>
      <c r="R1278" s="987"/>
      <c r="S1278" s="987"/>
      <c r="T1278" s="436" t="s">
        <v>62</v>
      </c>
      <c r="U1278" s="1020">
        <v>45839.0</v>
      </c>
      <c r="V1278" s="987"/>
      <c r="W1278" s="987"/>
      <c r="X1278" s="987"/>
      <c r="Y1278" s="987"/>
      <c r="Z1278" s="987"/>
      <c r="AA1278" s="986"/>
    </row>
    <row r="1279" hidden="1">
      <c r="A1279" s="995">
        <v>1078.0</v>
      </c>
      <c r="B1279" s="988">
        <v>45387.0</v>
      </c>
      <c r="C1279" s="989" t="s">
        <v>2821</v>
      </c>
      <c r="D1279" s="434" t="s">
        <v>885</v>
      </c>
      <c r="E1279" s="434" t="s">
        <v>49</v>
      </c>
      <c r="F1279" s="990">
        <v>53.0</v>
      </c>
      <c r="G1279" s="434" t="s">
        <v>32</v>
      </c>
      <c r="H1279" s="989" t="s">
        <v>7083</v>
      </c>
      <c r="I1279" s="989" t="s">
        <v>7081</v>
      </c>
      <c r="J1279" s="436" t="s">
        <v>1244</v>
      </c>
      <c r="K1279" s="987"/>
      <c r="L1279" s="987"/>
      <c r="M1279" s="987"/>
      <c r="N1279" s="987"/>
      <c r="O1279" s="987"/>
      <c r="P1279" s="987"/>
      <c r="Q1279" s="987"/>
      <c r="R1279" s="987"/>
      <c r="S1279" s="987"/>
      <c r="T1279" s="987"/>
      <c r="U1279" s="987"/>
      <c r="V1279" s="987"/>
      <c r="W1279" s="987"/>
      <c r="X1279" s="987"/>
      <c r="Y1279" s="987"/>
      <c r="Z1279" s="987"/>
      <c r="AA1279" s="986"/>
    </row>
    <row r="1280" hidden="1">
      <c r="A1280" s="995">
        <v>1079.0</v>
      </c>
      <c r="B1280" s="988">
        <v>45387.0</v>
      </c>
      <c r="C1280" s="989" t="s">
        <v>2821</v>
      </c>
      <c r="D1280" s="434" t="s">
        <v>885</v>
      </c>
      <c r="E1280" s="434" t="s">
        <v>49</v>
      </c>
      <c r="F1280" s="990">
        <v>1.5781558E7</v>
      </c>
      <c r="G1280" s="434" t="s">
        <v>32</v>
      </c>
      <c r="H1280" s="989" t="s">
        <v>1295</v>
      </c>
      <c r="I1280" s="989" t="s">
        <v>7084</v>
      </c>
      <c r="J1280" s="436" t="s">
        <v>1244</v>
      </c>
      <c r="K1280" s="987"/>
      <c r="L1280" s="436" t="s">
        <v>610</v>
      </c>
      <c r="M1280" s="987"/>
      <c r="N1280" s="987"/>
      <c r="O1280" s="987"/>
      <c r="P1280" s="987"/>
      <c r="Q1280" s="987"/>
      <c r="R1280" s="987"/>
      <c r="S1280" s="987"/>
      <c r="T1280" s="987"/>
      <c r="U1280" s="987"/>
      <c r="V1280" s="987"/>
      <c r="W1280" s="987"/>
      <c r="X1280" s="987"/>
      <c r="Y1280" s="987"/>
      <c r="Z1280" s="987"/>
      <c r="AA1280" s="986"/>
    </row>
    <row r="1281" hidden="1">
      <c r="A1281" s="995">
        <v>1099.0</v>
      </c>
      <c r="B1281" s="988">
        <v>45433.0</v>
      </c>
      <c r="C1281" s="989" t="s">
        <v>2929</v>
      </c>
      <c r="D1281" s="434" t="s">
        <v>1312</v>
      </c>
      <c r="E1281" s="434" t="s">
        <v>1313</v>
      </c>
      <c r="F1281" s="434" t="s">
        <v>50</v>
      </c>
      <c r="G1281" s="434" t="s">
        <v>200</v>
      </c>
      <c r="H1281" s="989" t="s">
        <v>7085</v>
      </c>
      <c r="I1281" s="989" t="s">
        <v>7086</v>
      </c>
      <c r="J1281" s="436" t="s">
        <v>1316</v>
      </c>
      <c r="K1281" s="436" t="s">
        <v>6313</v>
      </c>
      <c r="L1281" s="436" t="s">
        <v>2019</v>
      </c>
      <c r="M1281" s="987"/>
      <c r="N1281" s="987"/>
      <c r="O1281" s="987"/>
      <c r="P1281" s="987"/>
      <c r="Q1281" s="987"/>
      <c r="R1281" s="987"/>
      <c r="S1281" s="987"/>
      <c r="T1281" s="987"/>
      <c r="U1281" s="987"/>
      <c r="V1281" s="987"/>
      <c r="W1281" s="987"/>
      <c r="X1281" s="987"/>
      <c r="Y1281" s="987"/>
      <c r="Z1281" s="987"/>
      <c r="AA1281" s="986"/>
    </row>
    <row r="1282" hidden="1">
      <c r="A1282" s="995">
        <v>1103.0</v>
      </c>
      <c r="B1282" s="988">
        <v>45440.0</v>
      </c>
      <c r="C1282" s="989" t="s">
        <v>1004</v>
      </c>
      <c r="D1282" s="434" t="s">
        <v>1005</v>
      </c>
      <c r="E1282" s="434" t="s">
        <v>1006</v>
      </c>
      <c r="F1282" s="990">
        <v>1.77001E7</v>
      </c>
      <c r="G1282" s="434" t="s">
        <v>348</v>
      </c>
      <c r="H1282" s="989" t="s">
        <v>7087</v>
      </c>
      <c r="I1282" s="989" t="s">
        <v>7088</v>
      </c>
      <c r="J1282" s="436" t="s">
        <v>1009</v>
      </c>
      <c r="K1282" s="987"/>
      <c r="L1282" s="436" t="s">
        <v>7089</v>
      </c>
      <c r="M1282" s="987"/>
      <c r="N1282" s="436" t="s">
        <v>62</v>
      </c>
      <c r="O1282" s="1020">
        <v>45931.0</v>
      </c>
      <c r="P1282" s="436" t="s">
        <v>62</v>
      </c>
      <c r="Q1282" s="1020">
        <v>45855.0</v>
      </c>
      <c r="R1282" s="987"/>
      <c r="S1282" s="987"/>
      <c r="T1282" s="987"/>
      <c r="U1282" s="987"/>
      <c r="V1282" s="987"/>
      <c r="W1282" s="987"/>
      <c r="X1282" s="987"/>
      <c r="Y1282" s="987"/>
      <c r="Z1282" s="987"/>
      <c r="AA1282" s="986"/>
    </row>
    <row r="1283" hidden="1">
      <c r="A1283" s="995">
        <v>1105.0</v>
      </c>
      <c r="B1283" s="988">
        <v>45442.0</v>
      </c>
      <c r="C1283" s="989" t="s">
        <v>2701</v>
      </c>
      <c r="D1283" s="434" t="s">
        <v>1059</v>
      </c>
      <c r="E1283" s="434" t="s">
        <v>1060</v>
      </c>
      <c r="F1283" s="434" t="s">
        <v>50</v>
      </c>
      <c r="G1283" s="434" t="s">
        <v>135</v>
      </c>
      <c r="H1283" s="989" t="s">
        <v>7090</v>
      </c>
      <c r="I1283" s="989" t="s">
        <v>7091</v>
      </c>
      <c r="J1283" s="436" t="s">
        <v>1063</v>
      </c>
      <c r="K1283" s="436" t="s">
        <v>1064</v>
      </c>
      <c r="L1283" s="436" t="s">
        <v>1065</v>
      </c>
      <c r="M1283" s="987"/>
      <c r="N1283" s="436" t="s">
        <v>62</v>
      </c>
      <c r="O1283" s="987"/>
      <c r="P1283" s="987"/>
      <c r="Q1283" s="987"/>
      <c r="R1283" s="987"/>
      <c r="S1283" s="987"/>
      <c r="T1283" s="987"/>
      <c r="U1283" s="987"/>
      <c r="V1283" s="987"/>
      <c r="W1283" s="987"/>
      <c r="X1283" s="987"/>
      <c r="Y1283" s="987"/>
      <c r="Z1283" s="987"/>
      <c r="AA1283" s="986"/>
    </row>
    <row r="1284" hidden="1">
      <c r="A1284" s="995">
        <v>1108.0</v>
      </c>
      <c r="B1284" s="988">
        <v>45443.0</v>
      </c>
      <c r="C1284" s="989" t="s">
        <v>2701</v>
      </c>
      <c r="D1284" s="434" t="s">
        <v>1059</v>
      </c>
      <c r="E1284" s="434" t="s">
        <v>1060</v>
      </c>
      <c r="F1284" s="434" t="s">
        <v>50</v>
      </c>
      <c r="G1284" s="434" t="s">
        <v>135</v>
      </c>
      <c r="H1284" s="989" t="s">
        <v>7092</v>
      </c>
      <c r="I1284" s="989" t="s">
        <v>7093</v>
      </c>
      <c r="J1284" s="436" t="s">
        <v>1063</v>
      </c>
      <c r="K1284" s="436" t="s">
        <v>7032</v>
      </c>
      <c r="L1284" s="984" t="s">
        <v>7033</v>
      </c>
      <c r="M1284" s="987"/>
      <c r="N1284" s="436" t="s">
        <v>62</v>
      </c>
      <c r="O1284" s="1020">
        <v>45904.0</v>
      </c>
      <c r="P1284" s="987"/>
      <c r="Q1284" s="987"/>
      <c r="R1284" s="987"/>
      <c r="S1284" s="987"/>
      <c r="T1284" s="987"/>
      <c r="U1284" s="987"/>
      <c r="V1284" s="987"/>
      <c r="W1284" s="987"/>
      <c r="X1284" s="987"/>
      <c r="Y1284" s="987"/>
      <c r="Z1284" s="987"/>
      <c r="AA1284" s="986"/>
    </row>
    <row r="1285" hidden="1">
      <c r="A1285" s="995">
        <v>1124.0</v>
      </c>
      <c r="B1285" s="988">
        <v>45462.0</v>
      </c>
      <c r="C1285" s="989" t="s">
        <v>2541</v>
      </c>
      <c r="D1285" s="434" t="s">
        <v>48</v>
      </c>
      <c r="E1285" s="434" t="s">
        <v>49</v>
      </c>
      <c r="F1285" s="434" t="s">
        <v>50</v>
      </c>
      <c r="G1285" s="434" t="s">
        <v>51</v>
      </c>
      <c r="H1285" s="989" t="s">
        <v>7094</v>
      </c>
      <c r="I1285" s="989" t="s">
        <v>7095</v>
      </c>
      <c r="J1285" s="987"/>
      <c r="K1285" s="987"/>
      <c r="L1285" s="987"/>
      <c r="M1285" s="987"/>
      <c r="N1285" s="987"/>
      <c r="O1285" s="987"/>
      <c r="P1285" s="987"/>
      <c r="Q1285" s="987"/>
      <c r="R1285" s="987"/>
      <c r="S1285" s="987"/>
      <c r="T1285" s="987"/>
      <c r="U1285" s="987"/>
      <c r="V1285" s="987"/>
      <c r="W1285" s="987"/>
      <c r="X1285" s="987"/>
      <c r="Y1285" s="987"/>
      <c r="Z1285" s="987"/>
      <c r="AA1285" s="986"/>
    </row>
    <row r="1286" hidden="1">
      <c r="A1286" s="990">
        <v>1131.0</v>
      </c>
      <c r="B1286" s="988">
        <v>45467.0</v>
      </c>
      <c r="C1286" s="989" t="s">
        <v>6468</v>
      </c>
      <c r="D1286" s="434" t="s">
        <v>802</v>
      </c>
      <c r="E1286" s="992"/>
      <c r="F1286" s="990">
        <v>1.9270042E7</v>
      </c>
      <c r="G1286" s="434" t="s">
        <v>103</v>
      </c>
      <c r="H1286" s="1026" t="s">
        <v>7096</v>
      </c>
      <c r="I1286" s="1027" t="s">
        <v>7097</v>
      </c>
      <c r="J1286" s="987"/>
      <c r="K1286" s="987"/>
      <c r="L1286" s="987"/>
      <c r="M1286" s="987"/>
      <c r="N1286" s="436" t="s">
        <v>62</v>
      </c>
      <c r="O1286" s="987"/>
      <c r="P1286" s="987"/>
      <c r="Q1286" s="987"/>
      <c r="R1286" s="987"/>
      <c r="S1286" s="987"/>
      <c r="T1286" s="987"/>
      <c r="U1286" s="987"/>
      <c r="V1286" s="987"/>
      <c r="W1286" s="987"/>
      <c r="X1286" s="987"/>
      <c r="Y1286" s="987"/>
      <c r="Z1286" s="987"/>
      <c r="AA1286" s="986"/>
    </row>
    <row r="1287" hidden="1">
      <c r="A1287" s="990">
        <v>1132.0</v>
      </c>
      <c r="B1287" s="988">
        <v>45467.0</v>
      </c>
      <c r="C1287" s="989" t="s">
        <v>6468</v>
      </c>
      <c r="D1287" s="434" t="s">
        <v>802</v>
      </c>
      <c r="E1287" s="992"/>
      <c r="F1287" s="990">
        <v>1.9270044E7</v>
      </c>
      <c r="G1287" s="434" t="s">
        <v>103</v>
      </c>
      <c r="H1287" s="1026" t="s">
        <v>7096</v>
      </c>
      <c r="I1287" s="1027" t="s">
        <v>7098</v>
      </c>
      <c r="J1287" s="987"/>
      <c r="K1287" s="987"/>
      <c r="L1287" s="987"/>
      <c r="M1287" s="987"/>
      <c r="N1287" s="436" t="s">
        <v>62</v>
      </c>
      <c r="O1287" s="987"/>
      <c r="P1287" s="987"/>
      <c r="Q1287" s="987"/>
      <c r="R1287" s="987"/>
      <c r="S1287" s="987"/>
      <c r="T1287" s="436" t="s">
        <v>62</v>
      </c>
      <c r="U1287" s="1020">
        <v>45903.0</v>
      </c>
      <c r="V1287" s="987"/>
      <c r="W1287" s="987"/>
      <c r="X1287" s="987"/>
      <c r="Y1287" s="987"/>
      <c r="Z1287" s="987"/>
      <c r="AA1287" s="986"/>
    </row>
    <row r="1288" hidden="1">
      <c r="A1288" s="990">
        <v>1133.0</v>
      </c>
      <c r="B1288" s="988">
        <v>45467.0</v>
      </c>
      <c r="C1288" s="989" t="s">
        <v>6468</v>
      </c>
      <c r="D1288" s="434" t="s">
        <v>802</v>
      </c>
      <c r="E1288" s="992"/>
      <c r="F1288" s="990">
        <v>1.9270045E7</v>
      </c>
      <c r="G1288" s="434" t="s">
        <v>103</v>
      </c>
      <c r="H1288" s="1026" t="s">
        <v>6469</v>
      </c>
      <c r="I1288" s="1025" t="s">
        <v>7099</v>
      </c>
      <c r="J1288" s="987"/>
      <c r="K1288" s="987"/>
      <c r="L1288" s="987"/>
      <c r="M1288" s="987"/>
      <c r="N1288" s="436" t="s">
        <v>62</v>
      </c>
      <c r="O1288" s="1020">
        <v>45833.0</v>
      </c>
      <c r="P1288" s="987"/>
      <c r="Q1288" s="987"/>
      <c r="R1288" s="987"/>
      <c r="S1288" s="987"/>
      <c r="T1288" s="987"/>
      <c r="U1288" s="987"/>
      <c r="V1288" s="987"/>
      <c r="W1288" s="987"/>
      <c r="X1288" s="987"/>
      <c r="Y1288" s="987"/>
      <c r="Z1288" s="987"/>
      <c r="AA1288" s="986"/>
    </row>
    <row r="1289" hidden="1">
      <c r="A1289" s="995">
        <v>1140.0</v>
      </c>
      <c r="B1289" s="988">
        <v>45470.0</v>
      </c>
      <c r="C1289" s="989" t="s">
        <v>3685</v>
      </c>
      <c r="D1289" s="434" t="s">
        <v>159</v>
      </c>
      <c r="E1289" s="434" t="s">
        <v>160</v>
      </c>
      <c r="F1289" s="434" t="s">
        <v>50</v>
      </c>
      <c r="G1289" s="434" t="s">
        <v>120</v>
      </c>
      <c r="H1289" s="989" t="s">
        <v>7100</v>
      </c>
      <c r="I1289" s="989" t="s">
        <v>7101</v>
      </c>
      <c r="J1289" s="987"/>
      <c r="K1289" s="987"/>
      <c r="L1289" s="987"/>
      <c r="M1289" s="987"/>
      <c r="N1289" s="987"/>
      <c r="O1289" s="987"/>
      <c r="P1289" s="987"/>
      <c r="Q1289" s="987"/>
      <c r="R1289" s="987"/>
      <c r="S1289" s="987"/>
      <c r="T1289" s="987"/>
      <c r="U1289" s="987"/>
      <c r="V1289" s="987"/>
      <c r="W1289" s="987"/>
      <c r="X1289" s="987"/>
      <c r="Y1289" s="987"/>
      <c r="Z1289" s="987"/>
      <c r="AA1289" s="986"/>
    </row>
    <row r="1290" hidden="1">
      <c r="A1290" s="995">
        <v>1145.0</v>
      </c>
      <c r="B1290" s="988">
        <v>45470.0</v>
      </c>
      <c r="C1290" s="989" t="s">
        <v>2821</v>
      </c>
      <c r="D1290" s="434" t="s">
        <v>885</v>
      </c>
      <c r="E1290" s="434" t="s">
        <v>49</v>
      </c>
      <c r="F1290" s="990">
        <v>1.5122467E7</v>
      </c>
      <c r="G1290" s="434" t="s">
        <v>32</v>
      </c>
      <c r="H1290" s="989" t="s">
        <v>2870</v>
      </c>
      <c r="I1290" s="989" t="s">
        <v>7102</v>
      </c>
      <c r="J1290" s="436" t="s">
        <v>1244</v>
      </c>
      <c r="K1290" s="984" t="s">
        <v>7103</v>
      </c>
      <c r="L1290" s="436" t="s">
        <v>610</v>
      </c>
      <c r="M1290" s="987"/>
      <c r="N1290" s="987"/>
      <c r="O1290" s="987"/>
      <c r="P1290" s="987"/>
      <c r="Q1290" s="987"/>
      <c r="R1290" s="987"/>
      <c r="S1290" s="987"/>
      <c r="T1290" s="987"/>
      <c r="U1290" s="987"/>
      <c r="V1290" s="987"/>
      <c r="W1290" s="987"/>
      <c r="X1290" s="987"/>
      <c r="Y1290" s="987"/>
      <c r="Z1290" s="987"/>
      <c r="AA1290" s="986"/>
    </row>
    <row r="1291" hidden="1">
      <c r="A1291" s="995">
        <v>1146.0</v>
      </c>
      <c r="B1291" s="988">
        <v>45470.0</v>
      </c>
      <c r="C1291" s="989" t="s">
        <v>2821</v>
      </c>
      <c r="D1291" s="434" t="s">
        <v>885</v>
      </c>
      <c r="E1291" s="434" t="s">
        <v>49</v>
      </c>
      <c r="F1291" s="990">
        <v>1.5122471E7</v>
      </c>
      <c r="G1291" s="434" t="s">
        <v>32</v>
      </c>
      <c r="H1291" s="989" t="s">
        <v>2870</v>
      </c>
      <c r="I1291" s="989" t="s">
        <v>7104</v>
      </c>
      <c r="J1291" s="436" t="s">
        <v>1244</v>
      </c>
      <c r="K1291" s="984" t="s">
        <v>2899</v>
      </c>
      <c r="L1291" s="984" t="s">
        <v>2874</v>
      </c>
      <c r="M1291" s="987"/>
      <c r="N1291" s="987"/>
      <c r="O1291" s="987"/>
      <c r="P1291" s="987"/>
      <c r="Q1291" s="987"/>
      <c r="R1291" s="987"/>
      <c r="S1291" s="987"/>
      <c r="T1291" s="987"/>
      <c r="U1291" s="987"/>
      <c r="V1291" s="987"/>
      <c r="W1291" s="987"/>
      <c r="X1291" s="987"/>
      <c r="Y1291" s="987"/>
      <c r="Z1291" s="987"/>
      <c r="AA1291" s="986"/>
    </row>
    <row r="1292" hidden="1">
      <c r="A1292" s="995">
        <v>1147.0</v>
      </c>
      <c r="B1292" s="988">
        <v>45470.0</v>
      </c>
      <c r="C1292" s="989" t="s">
        <v>2821</v>
      </c>
      <c r="D1292" s="434" t="s">
        <v>885</v>
      </c>
      <c r="E1292" s="434" t="s">
        <v>49</v>
      </c>
      <c r="F1292" s="990">
        <v>1.5781573E7</v>
      </c>
      <c r="G1292" s="434" t="s">
        <v>32</v>
      </c>
      <c r="H1292" s="989" t="s">
        <v>2870</v>
      </c>
      <c r="I1292" s="989" t="s">
        <v>7105</v>
      </c>
      <c r="J1292" s="436" t="s">
        <v>1244</v>
      </c>
      <c r="K1292" s="984" t="s">
        <v>7106</v>
      </c>
      <c r="L1292" s="436" t="s">
        <v>610</v>
      </c>
      <c r="M1292" s="987"/>
      <c r="N1292" s="987"/>
      <c r="O1292" s="987"/>
      <c r="P1292" s="987"/>
      <c r="Q1292" s="987"/>
      <c r="R1292" s="987"/>
      <c r="S1292" s="987"/>
      <c r="T1292" s="987"/>
      <c r="U1292" s="987"/>
      <c r="V1292" s="987"/>
      <c r="W1292" s="987"/>
      <c r="X1292" s="987"/>
      <c r="Y1292" s="987"/>
      <c r="Z1292" s="987"/>
      <c r="AA1292" s="986"/>
    </row>
    <row r="1293" hidden="1">
      <c r="A1293" s="995">
        <v>1148.0</v>
      </c>
      <c r="B1293" s="988">
        <v>45470.0</v>
      </c>
      <c r="C1293" s="989" t="s">
        <v>2821</v>
      </c>
      <c r="D1293" s="434" t="s">
        <v>885</v>
      </c>
      <c r="E1293" s="434" t="s">
        <v>49</v>
      </c>
      <c r="F1293" s="990">
        <v>1.5781576E7</v>
      </c>
      <c r="G1293" s="434" t="s">
        <v>32</v>
      </c>
      <c r="H1293" s="989" t="s">
        <v>2870</v>
      </c>
      <c r="I1293" s="989" t="s">
        <v>7107</v>
      </c>
      <c r="J1293" s="436" t="s">
        <v>1244</v>
      </c>
      <c r="K1293" s="984" t="s">
        <v>7108</v>
      </c>
      <c r="L1293" s="436" t="s">
        <v>610</v>
      </c>
      <c r="M1293" s="987"/>
      <c r="N1293" s="987"/>
      <c r="O1293" s="987"/>
      <c r="P1293" s="987"/>
      <c r="Q1293" s="987"/>
      <c r="R1293" s="987"/>
      <c r="S1293" s="436" t="s">
        <v>62</v>
      </c>
      <c r="T1293" s="1020">
        <v>45843.0</v>
      </c>
      <c r="U1293" s="987"/>
      <c r="V1293" s="987"/>
      <c r="W1293" s="987"/>
      <c r="X1293" s="987"/>
      <c r="Y1293" s="987"/>
      <c r="Z1293" s="987"/>
      <c r="AA1293" s="986"/>
    </row>
    <row r="1294" hidden="1">
      <c r="A1294" s="995">
        <v>1149.0</v>
      </c>
      <c r="B1294" s="988">
        <v>45470.0</v>
      </c>
      <c r="C1294" s="989" t="s">
        <v>2821</v>
      </c>
      <c r="D1294" s="434" t="s">
        <v>885</v>
      </c>
      <c r="E1294" s="434" t="s">
        <v>49</v>
      </c>
      <c r="F1294" s="990">
        <v>1.5122466E7</v>
      </c>
      <c r="G1294" s="434" t="s">
        <v>32</v>
      </c>
      <c r="H1294" s="989" t="s">
        <v>2870</v>
      </c>
      <c r="I1294" s="989" t="s">
        <v>7109</v>
      </c>
      <c r="J1294" s="436" t="s">
        <v>1244</v>
      </c>
      <c r="K1294" s="984" t="s">
        <v>7110</v>
      </c>
      <c r="L1294" s="984" t="s">
        <v>2874</v>
      </c>
      <c r="M1294" s="987"/>
      <c r="N1294" s="987"/>
      <c r="O1294" s="987"/>
      <c r="P1294" s="987"/>
      <c r="Q1294" s="987"/>
      <c r="R1294" s="987"/>
      <c r="S1294" s="987"/>
      <c r="T1294" s="987"/>
      <c r="U1294" s="987"/>
      <c r="V1294" s="987"/>
      <c r="W1294" s="987"/>
      <c r="X1294" s="987"/>
      <c r="Y1294" s="987"/>
      <c r="Z1294" s="987"/>
      <c r="AA1294" s="986"/>
    </row>
    <row r="1295" hidden="1">
      <c r="A1295" s="995">
        <v>1151.0</v>
      </c>
      <c r="B1295" s="988">
        <v>45470.0</v>
      </c>
      <c r="C1295" s="989" t="s">
        <v>2821</v>
      </c>
      <c r="D1295" s="434" t="s">
        <v>885</v>
      </c>
      <c r="E1295" s="434" t="s">
        <v>49</v>
      </c>
      <c r="F1295" s="990">
        <v>1.5122465E7</v>
      </c>
      <c r="G1295" s="434" t="s">
        <v>32</v>
      </c>
      <c r="H1295" s="989" t="s">
        <v>2870</v>
      </c>
      <c r="I1295" s="989" t="s">
        <v>7111</v>
      </c>
      <c r="J1295" s="436" t="s">
        <v>1244</v>
      </c>
      <c r="K1295" s="984" t="s">
        <v>2873</v>
      </c>
      <c r="L1295" s="984" t="s">
        <v>2874</v>
      </c>
      <c r="M1295" s="987"/>
      <c r="N1295" s="987"/>
      <c r="O1295" s="987"/>
      <c r="P1295" s="987"/>
      <c r="Q1295" s="987"/>
      <c r="R1295" s="987"/>
      <c r="S1295" s="987"/>
      <c r="T1295" s="987"/>
      <c r="U1295" s="987"/>
      <c r="V1295" s="987"/>
      <c r="W1295" s="987"/>
      <c r="X1295" s="987"/>
      <c r="Y1295" s="987"/>
      <c r="Z1295" s="987"/>
      <c r="AA1295" s="986"/>
    </row>
    <row r="1296" hidden="1">
      <c r="A1296" s="995">
        <v>1152.0</v>
      </c>
      <c r="B1296" s="988">
        <v>45470.0</v>
      </c>
      <c r="C1296" s="989" t="s">
        <v>2821</v>
      </c>
      <c r="D1296" s="434" t="s">
        <v>885</v>
      </c>
      <c r="E1296" s="434" t="s">
        <v>49</v>
      </c>
      <c r="F1296" s="990">
        <v>1.5122463E7</v>
      </c>
      <c r="G1296" s="434" t="s">
        <v>32</v>
      </c>
      <c r="H1296" s="989" t="s">
        <v>2870</v>
      </c>
      <c r="I1296" s="989" t="s">
        <v>7112</v>
      </c>
      <c r="J1296" s="436" t="s">
        <v>1244</v>
      </c>
      <c r="K1296" s="984" t="s">
        <v>7110</v>
      </c>
      <c r="L1296" s="984" t="s">
        <v>2874</v>
      </c>
      <c r="M1296" s="987"/>
      <c r="N1296" s="987"/>
      <c r="O1296" s="987"/>
      <c r="P1296" s="987"/>
      <c r="Q1296" s="987"/>
      <c r="R1296" s="987"/>
      <c r="S1296" s="987"/>
      <c r="T1296" s="987"/>
      <c r="U1296" s="987"/>
      <c r="V1296" s="987"/>
      <c r="W1296" s="987"/>
      <c r="X1296" s="987"/>
      <c r="Y1296" s="987"/>
      <c r="Z1296" s="987"/>
      <c r="AA1296" s="986"/>
    </row>
    <row r="1297" hidden="1">
      <c r="A1297" s="995">
        <v>1153.0</v>
      </c>
      <c r="B1297" s="988">
        <v>45470.0</v>
      </c>
      <c r="C1297" s="989" t="s">
        <v>2821</v>
      </c>
      <c r="D1297" s="434" t="s">
        <v>885</v>
      </c>
      <c r="E1297" s="434" t="s">
        <v>49</v>
      </c>
      <c r="F1297" s="990">
        <v>1.5122462E7</v>
      </c>
      <c r="G1297" s="434" t="s">
        <v>32</v>
      </c>
      <c r="H1297" s="989" t="s">
        <v>2870</v>
      </c>
      <c r="I1297" s="989" t="s">
        <v>7113</v>
      </c>
      <c r="J1297" s="436" t="s">
        <v>1244</v>
      </c>
      <c r="K1297" s="984" t="s">
        <v>7114</v>
      </c>
      <c r="L1297" s="984" t="s">
        <v>2874</v>
      </c>
      <c r="M1297" s="987"/>
      <c r="N1297" s="987"/>
      <c r="O1297" s="987"/>
      <c r="P1297" s="987"/>
      <c r="Q1297" s="987"/>
      <c r="R1297" s="987"/>
      <c r="S1297" s="987"/>
      <c r="T1297" s="987"/>
      <c r="U1297" s="987"/>
      <c r="V1297" s="987"/>
      <c r="W1297" s="987"/>
      <c r="X1297" s="987"/>
      <c r="Y1297" s="987"/>
      <c r="Z1297" s="987"/>
      <c r="AA1297" s="986"/>
    </row>
    <row r="1298" hidden="1">
      <c r="A1298" s="995">
        <v>1154.0</v>
      </c>
      <c r="B1298" s="988">
        <v>45470.0</v>
      </c>
      <c r="C1298" s="989" t="s">
        <v>2821</v>
      </c>
      <c r="D1298" s="434" t="s">
        <v>885</v>
      </c>
      <c r="E1298" s="434" t="s">
        <v>49</v>
      </c>
      <c r="F1298" s="990">
        <v>1.5122464E7</v>
      </c>
      <c r="G1298" s="434" t="s">
        <v>32</v>
      </c>
      <c r="H1298" s="989" t="s">
        <v>2870</v>
      </c>
      <c r="I1298" s="989" t="s">
        <v>7115</v>
      </c>
      <c r="J1298" s="436" t="s">
        <v>1244</v>
      </c>
      <c r="K1298" s="984" t="s">
        <v>7116</v>
      </c>
      <c r="L1298" s="436" t="s">
        <v>610</v>
      </c>
      <c r="M1298" s="987"/>
      <c r="N1298" s="987"/>
      <c r="O1298" s="987"/>
      <c r="P1298" s="987"/>
      <c r="Q1298" s="987"/>
      <c r="R1298" s="987"/>
      <c r="S1298" s="987"/>
      <c r="T1298" s="987"/>
      <c r="U1298" s="987"/>
      <c r="V1298" s="987"/>
      <c r="W1298" s="987"/>
      <c r="X1298" s="987"/>
      <c r="Y1298" s="987"/>
      <c r="Z1298" s="987"/>
      <c r="AA1298" s="986"/>
    </row>
    <row r="1299" hidden="1">
      <c r="A1299" s="995">
        <v>1155.0</v>
      </c>
      <c r="B1299" s="988">
        <v>45470.0</v>
      </c>
      <c r="C1299" s="989" t="s">
        <v>2821</v>
      </c>
      <c r="D1299" s="434" t="s">
        <v>885</v>
      </c>
      <c r="E1299" s="434" t="s">
        <v>49</v>
      </c>
      <c r="F1299" s="990">
        <v>1.5781577E7</v>
      </c>
      <c r="G1299" s="434" t="s">
        <v>32</v>
      </c>
      <c r="H1299" s="989" t="s">
        <v>2870</v>
      </c>
      <c r="I1299" s="989" t="s">
        <v>7117</v>
      </c>
      <c r="J1299" s="436" t="s">
        <v>1244</v>
      </c>
      <c r="K1299" s="984" t="s">
        <v>7114</v>
      </c>
      <c r="L1299" s="436" t="s">
        <v>610</v>
      </c>
      <c r="M1299" s="987"/>
      <c r="N1299" s="436" t="s">
        <v>62</v>
      </c>
      <c r="O1299" s="1020">
        <v>45840.0</v>
      </c>
      <c r="P1299" s="987"/>
      <c r="Q1299" s="987"/>
      <c r="R1299" s="987"/>
      <c r="S1299" s="987"/>
      <c r="T1299" s="436" t="s">
        <v>62</v>
      </c>
      <c r="U1299" s="1020">
        <v>45856.0</v>
      </c>
      <c r="V1299" s="987"/>
      <c r="W1299" s="987"/>
      <c r="X1299" s="987"/>
      <c r="Y1299" s="987"/>
      <c r="Z1299" s="987"/>
      <c r="AA1299" s="986"/>
    </row>
    <row r="1300" hidden="1">
      <c r="A1300" s="995">
        <v>1157.0</v>
      </c>
      <c r="B1300" s="988">
        <v>45470.0</v>
      </c>
      <c r="C1300" s="989" t="s">
        <v>2821</v>
      </c>
      <c r="D1300" s="434" t="s">
        <v>885</v>
      </c>
      <c r="E1300" s="434" t="s">
        <v>49</v>
      </c>
      <c r="F1300" s="990">
        <v>1.5781578E7</v>
      </c>
      <c r="G1300" s="434" t="s">
        <v>32</v>
      </c>
      <c r="H1300" s="989" t="s">
        <v>2870</v>
      </c>
      <c r="I1300" s="989" t="s">
        <v>7118</v>
      </c>
      <c r="J1300" s="436" t="s">
        <v>1244</v>
      </c>
      <c r="K1300" s="984" t="s">
        <v>7119</v>
      </c>
      <c r="L1300" s="436" t="s">
        <v>610</v>
      </c>
      <c r="M1300" s="987"/>
      <c r="N1300" s="436" t="s">
        <v>62</v>
      </c>
      <c r="O1300" s="1020">
        <v>45840.0</v>
      </c>
      <c r="P1300" s="987"/>
      <c r="Q1300" s="987"/>
      <c r="R1300" s="987"/>
      <c r="S1300" s="987"/>
      <c r="T1300" s="436" t="s">
        <v>62</v>
      </c>
      <c r="U1300" s="1020">
        <v>45856.0</v>
      </c>
      <c r="V1300" s="987"/>
      <c r="W1300" s="987"/>
      <c r="X1300" s="987"/>
      <c r="Y1300" s="987"/>
      <c r="Z1300" s="987"/>
      <c r="AA1300" s="986"/>
    </row>
    <row r="1301" hidden="1">
      <c r="A1301" s="995">
        <v>1158.0</v>
      </c>
      <c r="B1301" s="988">
        <v>45470.0</v>
      </c>
      <c r="C1301" s="989" t="s">
        <v>2821</v>
      </c>
      <c r="D1301" s="434" t="s">
        <v>885</v>
      </c>
      <c r="E1301" s="434" t="s">
        <v>49</v>
      </c>
      <c r="F1301" s="990">
        <v>1.5781579E7</v>
      </c>
      <c r="G1301" s="434" t="s">
        <v>32</v>
      </c>
      <c r="H1301" s="989" t="s">
        <v>2870</v>
      </c>
      <c r="I1301" s="989" t="s">
        <v>7120</v>
      </c>
      <c r="J1301" s="436" t="s">
        <v>1244</v>
      </c>
      <c r="K1301" s="984" t="s">
        <v>7121</v>
      </c>
      <c r="L1301" s="984" t="s">
        <v>2874</v>
      </c>
      <c r="M1301" s="987"/>
      <c r="N1301" s="436" t="s">
        <v>62</v>
      </c>
      <c r="O1301" s="1020">
        <v>45840.0</v>
      </c>
      <c r="P1301" s="987"/>
      <c r="Q1301" s="987"/>
      <c r="R1301" s="987"/>
      <c r="S1301" s="987"/>
      <c r="T1301" s="436" t="s">
        <v>62</v>
      </c>
      <c r="U1301" s="1020">
        <v>45856.0</v>
      </c>
      <c r="V1301" s="987"/>
      <c r="W1301" s="987"/>
      <c r="X1301" s="987"/>
      <c r="Y1301" s="987"/>
      <c r="Z1301" s="987"/>
      <c r="AA1301" s="986"/>
    </row>
    <row r="1302" hidden="1">
      <c r="A1302" s="995">
        <v>1164.0</v>
      </c>
      <c r="B1302" s="996">
        <v>45474.0</v>
      </c>
      <c r="C1302" s="984" t="s">
        <v>7122</v>
      </c>
      <c r="D1302" s="436" t="s">
        <v>7123</v>
      </c>
      <c r="E1302" s="436" t="s">
        <v>1508</v>
      </c>
      <c r="F1302" s="995">
        <v>1.9400019E7</v>
      </c>
      <c r="G1302" s="436" t="s">
        <v>200</v>
      </c>
      <c r="H1302" s="984" t="s">
        <v>7124</v>
      </c>
      <c r="I1302" s="993" t="s">
        <v>7125</v>
      </c>
      <c r="J1302" s="436" t="s">
        <v>7126</v>
      </c>
      <c r="K1302" s="984" t="s">
        <v>491</v>
      </c>
      <c r="L1302" s="987"/>
      <c r="M1302" s="987"/>
      <c r="N1302" s="987"/>
      <c r="O1302" s="987"/>
      <c r="P1302" s="987"/>
      <c r="Q1302" s="987"/>
      <c r="R1302" s="987"/>
      <c r="S1302" s="987"/>
      <c r="T1302" s="987"/>
      <c r="U1302" s="987"/>
      <c r="V1302" s="987"/>
      <c r="W1302" s="987"/>
      <c r="X1302" s="987"/>
      <c r="Y1302" s="987"/>
      <c r="Z1302" s="987"/>
      <c r="AA1302" s="986"/>
    </row>
    <row r="1303" hidden="1">
      <c r="A1303" s="995">
        <v>1165.0</v>
      </c>
      <c r="B1303" s="996">
        <v>45478.0</v>
      </c>
      <c r="C1303" s="984" t="s">
        <v>1996</v>
      </c>
      <c r="D1303" s="436" t="s">
        <v>1386</v>
      </c>
      <c r="E1303" s="436" t="s">
        <v>1467</v>
      </c>
      <c r="F1303" s="995">
        <v>1.5800334E7</v>
      </c>
      <c r="G1303" s="436" t="s">
        <v>200</v>
      </c>
      <c r="H1303" s="984" t="s">
        <v>7127</v>
      </c>
      <c r="I1303" s="1014" t="s">
        <v>7128</v>
      </c>
      <c r="J1303" s="987"/>
      <c r="K1303" s="998"/>
      <c r="L1303" s="987"/>
      <c r="M1303" s="987"/>
      <c r="N1303" s="987"/>
      <c r="O1303" s="987"/>
      <c r="P1303" s="987"/>
      <c r="Q1303" s="987"/>
      <c r="R1303" s="987"/>
      <c r="S1303" s="987"/>
      <c r="T1303" s="987"/>
      <c r="U1303" s="987"/>
      <c r="V1303" s="987"/>
      <c r="W1303" s="987"/>
      <c r="X1303" s="987"/>
      <c r="Y1303" s="987"/>
      <c r="Z1303" s="987"/>
      <c r="AA1303" s="986"/>
    </row>
    <row r="1304" hidden="1">
      <c r="A1304" s="995">
        <v>1166.0</v>
      </c>
      <c r="B1304" s="988">
        <v>45478.0</v>
      </c>
      <c r="C1304" s="989" t="s">
        <v>2701</v>
      </c>
      <c r="D1304" s="434" t="s">
        <v>1059</v>
      </c>
      <c r="E1304" s="434" t="s">
        <v>1060</v>
      </c>
      <c r="F1304" s="434" t="s">
        <v>50</v>
      </c>
      <c r="G1304" s="434" t="s">
        <v>135</v>
      </c>
      <c r="H1304" s="1042" t="s">
        <v>7129</v>
      </c>
      <c r="I1304" s="1014" t="s">
        <v>7130</v>
      </c>
      <c r="J1304" s="436" t="s">
        <v>1063</v>
      </c>
      <c r="K1304" s="984" t="s">
        <v>7131</v>
      </c>
      <c r="L1304" s="984" t="s">
        <v>7132</v>
      </c>
      <c r="M1304" s="987"/>
      <c r="N1304" s="987"/>
      <c r="O1304" s="987"/>
      <c r="P1304" s="987"/>
      <c r="Q1304" s="987"/>
      <c r="R1304" s="987"/>
      <c r="S1304" s="987"/>
      <c r="T1304" s="987"/>
      <c r="U1304" s="987"/>
      <c r="V1304" s="987"/>
      <c r="W1304" s="987"/>
      <c r="X1304" s="987"/>
      <c r="Y1304" s="987"/>
      <c r="Z1304" s="987"/>
      <c r="AA1304" s="986"/>
    </row>
    <row r="1305" hidden="1">
      <c r="A1305" s="995">
        <v>1167.0</v>
      </c>
      <c r="B1305" s="988">
        <v>45478.0</v>
      </c>
      <c r="C1305" s="989" t="s">
        <v>2701</v>
      </c>
      <c r="D1305" s="434" t="s">
        <v>1059</v>
      </c>
      <c r="E1305" s="434" t="s">
        <v>1060</v>
      </c>
      <c r="F1305" s="434" t="s">
        <v>50</v>
      </c>
      <c r="G1305" s="434" t="s">
        <v>135</v>
      </c>
      <c r="H1305" s="989" t="s">
        <v>7090</v>
      </c>
      <c r="I1305" s="1014" t="s">
        <v>7133</v>
      </c>
      <c r="J1305" s="436" t="s">
        <v>1063</v>
      </c>
      <c r="K1305" s="436" t="s">
        <v>1064</v>
      </c>
      <c r="L1305" s="436" t="s">
        <v>1065</v>
      </c>
      <c r="M1305" s="987"/>
      <c r="N1305" s="436" t="s">
        <v>62</v>
      </c>
      <c r="O1305" s="987"/>
      <c r="P1305" s="987"/>
      <c r="Q1305" s="987"/>
      <c r="R1305" s="987"/>
      <c r="S1305" s="987"/>
      <c r="T1305" s="987"/>
      <c r="U1305" s="987"/>
      <c r="V1305" s="987"/>
      <c r="W1305" s="987"/>
      <c r="X1305" s="987"/>
      <c r="Y1305" s="987"/>
      <c r="Z1305" s="987"/>
      <c r="AA1305" s="986"/>
    </row>
    <row r="1306" hidden="1">
      <c r="A1306" s="995">
        <v>1169.0</v>
      </c>
      <c r="B1306" s="988">
        <v>45478.0</v>
      </c>
      <c r="C1306" s="989" t="s">
        <v>6358</v>
      </c>
      <c r="D1306" s="434" t="s">
        <v>382</v>
      </c>
      <c r="E1306" s="434" t="s">
        <v>7134</v>
      </c>
      <c r="F1306" s="990">
        <v>1.9560006E7</v>
      </c>
      <c r="G1306" s="434" t="s">
        <v>348</v>
      </c>
      <c r="H1306" s="989" t="s">
        <v>7135</v>
      </c>
      <c r="I1306" s="993" t="s">
        <v>7136</v>
      </c>
      <c r="J1306" s="436" t="s">
        <v>2132</v>
      </c>
      <c r="K1306" s="984" t="s">
        <v>7137</v>
      </c>
      <c r="L1306" s="436" t="s">
        <v>7037</v>
      </c>
      <c r="M1306" s="987"/>
      <c r="N1306" s="436" t="s">
        <v>62</v>
      </c>
      <c r="O1306" s="1020">
        <v>45905.0</v>
      </c>
      <c r="P1306" s="987"/>
      <c r="Q1306" s="987"/>
      <c r="R1306" s="987"/>
      <c r="S1306" s="987"/>
      <c r="T1306" s="987"/>
      <c r="U1306" s="987"/>
      <c r="V1306" s="987"/>
      <c r="W1306" s="987"/>
      <c r="X1306" s="987"/>
      <c r="Y1306" s="987"/>
      <c r="Z1306" s="987"/>
      <c r="AA1306" s="986"/>
    </row>
    <row r="1307" hidden="1">
      <c r="A1307" s="995">
        <v>1163.0</v>
      </c>
      <c r="B1307" s="996">
        <v>45462.0</v>
      </c>
      <c r="C1307" s="984" t="s">
        <v>7138</v>
      </c>
      <c r="D1307" s="436" t="s">
        <v>6426</v>
      </c>
      <c r="E1307" s="436" t="s">
        <v>347</v>
      </c>
      <c r="F1307" s="987"/>
      <c r="G1307" s="436" t="s">
        <v>348</v>
      </c>
      <c r="H1307" s="984" t="s">
        <v>7139</v>
      </c>
      <c r="I1307" s="985" t="s">
        <v>7140</v>
      </c>
      <c r="J1307" s="987"/>
      <c r="K1307" s="998"/>
      <c r="L1307" s="987"/>
      <c r="M1307" s="987"/>
      <c r="N1307" s="987"/>
      <c r="O1307" s="987"/>
      <c r="P1307" s="987"/>
      <c r="Q1307" s="987"/>
      <c r="R1307" s="987"/>
      <c r="S1307" s="987"/>
      <c r="T1307" s="987"/>
      <c r="U1307" s="987"/>
      <c r="V1307" s="987"/>
      <c r="W1307" s="987"/>
      <c r="X1307" s="987"/>
      <c r="Y1307" s="987"/>
      <c r="Z1307" s="987"/>
      <c r="AA1307" s="986"/>
    </row>
    <row r="1308" hidden="1">
      <c r="A1308" s="990">
        <v>1178.0</v>
      </c>
      <c r="B1308" s="988">
        <v>45496.0</v>
      </c>
      <c r="C1308" s="989" t="s">
        <v>6468</v>
      </c>
      <c r="D1308" s="434" t="s">
        <v>802</v>
      </c>
      <c r="E1308" s="992"/>
      <c r="F1308" s="990">
        <v>1.9270051E7</v>
      </c>
      <c r="G1308" s="434" t="s">
        <v>103</v>
      </c>
      <c r="H1308" s="989" t="s">
        <v>7141</v>
      </c>
      <c r="I1308" s="993" t="s">
        <v>7142</v>
      </c>
      <c r="J1308" s="987"/>
      <c r="K1308" s="998"/>
      <c r="L1308" s="987"/>
      <c r="M1308" s="987"/>
      <c r="N1308" s="436" t="s">
        <v>62</v>
      </c>
      <c r="O1308" s="987"/>
      <c r="P1308" s="987"/>
      <c r="Q1308" s="987"/>
      <c r="R1308" s="987"/>
      <c r="S1308" s="987"/>
      <c r="T1308" s="987"/>
      <c r="U1308" s="987"/>
      <c r="V1308" s="987"/>
      <c r="W1308" s="987"/>
      <c r="X1308" s="987"/>
      <c r="Y1308" s="987"/>
      <c r="Z1308" s="987"/>
      <c r="AA1308" s="986"/>
    </row>
    <row r="1309" hidden="1">
      <c r="A1309" s="995">
        <v>1179.0</v>
      </c>
      <c r="B1309" s="988">
        <v>45496.0</v>
      </c>
      <c r="C1309" s="989" t="s">
        <v>2701</v>
      </c>
      <c r="D1309" s="434" t="s">
        <v>1059</v>
      </c>
      <c r="E1309" s="434" t="s">
        <v>1060</v>
      </c>
      <c r="F1309" s="434" t="s">
        <v>50</v>
      </c>
      <c r="G1309" s="434" t="s">
        <v>135</v>
      </c>
      <c r="H1309" s="989" t="s">
        <v>7090</v>
      </c>
      <c r="I1309" s="1014" t="s">
        <v>7133</v>
      </c>
      <c r="J1309" s="436" t="s">
        <v>1063</v>
      </c>
      <c r="K1309" s="436" t="s">
        <v>1064</v>
      </c>
      <c r="L1309" s="436" t="s">
        <v>1065</v>
      </c>
      <c r="M1309" s="987"/>
      <c r="N1309" s="436" t="s">
        <v>62</v>
      </c>
      <c r="O1309" s="987"/>
      <c r="P1309" s="987"/>
      <c r="Q1309" s="987"/>
      <c r="R1309" s="987"/>
      <c r="S1309" s="987"/>
      <c r="T1309" s="987"/>
      <c r="U1309" s="987"/>
      <c r="V1309" s="987"/>
      <c r="W1309" s="987"/>
      <c r="X1309" s="987"/>
      <c r="Y1309" s="987"/>
      <c r="Z1309" s="987"/>
      <c r="AA1309" s="986"/>
    </row>
    <row r="1310" hidden="1">
      <c r="A1310" s="995">
        <v>1181.0</v>
      </c>
      <c r="B1310" s="988">
        <v>45496.0</v>
      </c>
      <c r="C1310" s="989" t="s">
        <v>2701</v>
      </c>
      <c r="D1310" s="434" t="s">
        <v>1059</v>
      </c>
      <c r="E1310" s="434" t="s">
        <v>1060</v>
      </c>
      <c r="F1310" s="434" t="s">
        <v>50</v>
      </c>
      <c r="G1310" s="434" t="s">
        <v>135</v>
      </c>
      <c r="H1310" s="989" t="s">
        <v>7092</v>
      </c>
      <c r="I1310" s="1014" t="s">
        <v>7143</v>
      </c>
      <c r="J1310" s="436" t="s">
        <v>1063</v>
      </c>
      <c r="K1310" s="984" t="s">
        <v>1098</v>
      </c>
      <c r="L1310" s="436" t="s">
        <v>6121</v>
      </c>
      <c r="M1310" s="987"/>
      <c r="N1310" s="436" t="s">
        <v>62</v>
      </c>
      <c r="O1310" s="1020">
        <v>45904.0</v>
      </c>
      <c r="P1310" s="987"/>
      <c r="Q1310" s="987"/>
      <c r="R1310" s="987"/>
      <c r="S1310" s="987"/>
      <c r="T1310" s="987"/>
      <c r="U1310" s="987"/>
      <c r="V1310" s="987"/>
      <c r="W1310" s="987"/>
      <c r="X1310" s="987"/>
      <c r="Y1310" s="987"/>
      <c r="Z1310" s="987"/>
      <c r="AA1310" s="986"/>
    </row>
    <row r="1311" hidden="1">
      <c r="A1311" s="995">
        <v>1183.0</v>
      </c>
      <c r="B1311" s="988">
        <v>45498.0</v>
      </c>
      <c r="C1311" s="989" t="s">
        <v>6468</v>
      </c>
      <c r="D1311" s="434" t="s">
        <v>802</v>
      </c>
      <c r="E1311" s="992"/>
      <c r="F1311" s="990">
        <v>1.9270052E7</v>
      </c>
      <c r="G1311" s="434" t="s">
        <v>103</v>
      </c>
      <c r="H1311" s="1043" t="s">
        <v>7144</v>
      </c>
      <c r="I1311" s="993" t="s">
        <v>7145</v>
      </c>
      <c r="J1311" s="987"/>
      <c r="K1311" s="998"/>
      <c r="L1311" s="987"/>
      <c r="M1311" s="987"/>
      <c r="N1311" s="436" t="s">
        <v>62</v>
      </c>
      <c r="O1311" s="987"/>
      <c r="P1311" s="987"/>
      <c r="Q1311" s="987"/>
      <c r="R1311" s="987"/>
      <c r="S1311" s="987"/>
      <c r="T1311" s="987"/>
      <c r="U1311" s="987"/>
      <c r="V1311" s="987"/>
      <c r="W1311" s="987"/>
      <c r="X1311" s="987"/>
      <c r="Y1311" s="987"/>
      <c r="Z1311" s="987"/>
      <c r="AA1311" s="986"/>
    </row>
    <row r="1312" hidden="1">
      <c r="A1312" s="995">
        <v>1184.0</v>
      </c>
      <c r="B1312" s="988">
        <v>45498.0</v>
      </c>
      <c r="C1312" s="989" t="s">
        <v>6468</v>
      </c>
      <c r="D1312" s="434" t="s">
        <v>802</v>
      </c>
      <c r="E1312" s="992"/>
      <c r="F1312" s="990">
        <v>1.927005E7</v>
      </c>
      <c r="G1312" s="434" t="s">
        <v>103</v>
      </c>
      <c r="H1312" s="1044" t="s">
        <v>7146</v>
      </c>
      <c r="I1312" s="993" t="s">
        <v>7147</v>
      </c>
      <c r="J1312" s="987"/>
      <c r="K1312" s="998"/>
      <c r="L1312" s="987"/>
      <c r="M1312" s="987"/>
      <c r="N1312" s="436" t="s">
        <v>62</v>
      </c>
      <c r="O1312" s="987"/>
      <c r="P1312" s="987"/>
      <c r="Q1312" s="987"/>
      <c r="R1312" s="987"/>
      <c r="S1312" s="987"/>
      <c r="T1312" s="987"/>
      <c r="U1312" s="987"/>
      <c r="V1312" s="987"/>
      <c r="W1312" s="987"/>
      <c r="X1312" s="987"/>
      <c r="Y1312" s="987"/>
      <c r="Z1312" s="987"/>
      <c r="AA1312" s="986"/>
    </row>
    <row r="1313" hidden="1">
      <c r="A1313" s="995">
        <v>1185.0</v>
      </c>
      <c r="B1313" s="988">
        <v>45498.0</v>
      </c>
      <c r="C1313" s="989" t="s">
        <v>7148</v>
      </c>
      <c r="D1313" s="434" t="s">
        <v>918</v>
      </c>
      <c r="E1313" s="434" t="s">
        <v>1467</v>
      </c>
      <c r="F1313" s="990">
        <v>1.6351637E7</v>
      </c>
      <c r="G1313" s="434" t="s">
        <v>32</v>
      </c>
      <c r="H1313" s="989" t="s">
        <v>7149</v>
      </c>
      <c r="I1313" s="993" t="s">
        <v>7150</v>
      </c>
      <c r="J1313" s="436" t="s">
        <v>1435</v>
      </c>
      <c r="K1313" s="984" t="s">
        <v>2411</v>
      </c>
      <c r="L1313" s="436" t="s">
        <v>5709</v>
      </c>
      <c r="M1313" s="987"/>
      <c r="N1313" s="436" t="s">
        <v>62</v>
      </c>
      <c r="O1313" s="1020">
        <v>45869.0</v>
      </c>
      <c r="P1313" s="987"/>
      <c r="Q1313" s="987"/>
      <c r="R1313" s="987"/>
      <c r="S1313" s="987"/>
      <c r="T1313" s="987"/>
      <c r="U1313" s="987"/>
      <c r="V1313" s="987"/>
      <c r="W1313" s="987"/>
      <c r="X1313" s="987"/>
      <c r="Y1313" s="987"/>
      <c r="Z1313" s="987"/>
      <c r="AA1313" s="986"/>
    </row>
    <row r="1314" hidden="1">
      <c r="A1314" s="995">
        <v>1190.0</v>
      </c>
      <c r="B1314" s="988">
        <v>45502.0</v>
      </c>
      <c r="C1314" s="989" t="s">
        <v>6946</v>
      </c>
      <c r="D1314" s="434" t="s">
        <v>67</v>
      </c>
      <c r="E1314" s="434" t="s">
        <v>49</v>
      </c>
      <c r="F1314" s="990">
        <v>1.905015E7</v>
      </c>
      <c r="G1314" s="434" t="s">
        <v>42</v>
      </c>
      <c r="H1314" s="989" t="s">
        <v>7151</v>
      </c>
      <c r="I1314" s="993" t="s">
        <v>7152</v>
      </c>
      <c r="J1314" s="436" t="s">
        <v>6914</v>
      </c>
      <c r="K1314" s="984" t="s">
        <v>7153</v>
      </c>
      <c r="L1314" s="436" t="s">
        <v>5547</v>
      </c>
      <c r="M1314" s="987"/>
      <c r="N1314" s="987"/>
      <c r="O1314" s="987"/>
      <c r="P1314" s="987"/>
      <c r="Q1314" s="987"/>
      <c r="R1314" s="987"/>
      <c r="S1314" s="987"/>
      <c r="T1314" s="987"/>
      <c r="U1314" s="987"/>
      <c r="V1314" s="987"/>
      <c r="W1314" s="987"/>
      <c r="X1314" s="987"/>
      <c r="Y1314" s="987"/>
      <c r="Z1314" s="987"/>
      <c r="AA1314" s="986"/>
    </row>
    <row r="1315" hidden="1">
      <c r="A1315" s="995">
        <v>1191.0</v>
      </c>
      <c r="B1315" s="988">
        <v>45502.0</v>
      </c>
      <c r="C1315" s="989" t="s">
        <v>6412</v>
      </c>
      <c r="D1315" s="434" t="s">
        <v>540</v>
      </c>
      <c r="E1315" s="434" t="s">
        <v>7154</v>
      </c>
      <c r="F1315" s="990">
        <v>1.5270873E7</v>
      </c>
      <c r="G1315" s="434" t="s">
        <v>103</v>
      </c>
      <c r="H1315" s="989" t="s">
        <v>7155</v>
      </c>
      <c r="I1315" s="993" t="s">
        <v>7156</v>
      </c>
      <c r="J1315" s="436" t="s">
        <v>544</v>
      </c>
      <c r="K1315" s="436" t="s">
        <v>5748</v>
      </c>
      <c r="L1315" s="436" t="s">
        <v>6414</v>
      </c>
      <c r="M1315" s="987"/>
      <c r="N1315" s="436" t="s">
        <v>62</v>
      </c>
      <c r="O1315" s="1020">
        <v>45902.0</v>
      </c>
      <c r="P1315" s="987"/>
      <c r="Q1315" s="987"/>
      <c r="R1315" s="987"/>
      <c r="S1315" s="987"/>
      <c r="T1315" s="436" t="s">
        <v>62</v>
      </c>
      <c r="U1315" s="1020">
        <v>45926.0</v>
      </c>
      <c r="V1315" s="987"/>
      <c r="W1315" s="987"/>
      <c r="X1315" s="987"/>
      <c r="Y1315" s="987"/>
      <c r="Z1315" s="987"/>
      <c r="AA1315" s="986"/>
    </row>
    <row r="1316" hidden="1">
      <c r="A1316" s="995">
        <v>1192.0</v>
      </c>
      <c r="B1316" s="988">
        <v>45503.0</v>
      </c>
      <c r="C1316" s="989" t="s">
        <v>7148</v>
      </c>
      <c r="D1316" s="434" t="s">
        <v>918</v>
      </c>
      <c r="E1316" s="434" t="s">
        <v>261</v>
      </c>
      <c r="F1316" s="990">
        <v>1.6351625E7</v>
      </c>
      <c r="G1316" s="434" t="s">
        <v>32</v>
      </c>
      <c r="H1316" s="989" t="s">
        <v>5453</v>
      </c>
      <c r="I1316" s="993" t="s">
        <v>7157</v>
      </c>
      <c r="J1316" s="436" t="s">
        <v>278</v>
      </c>
      <c r="K1316" s="984" t="s">
        <v>279</v>
      </c>
      <c r="L1316" s="436" t="s">
        <v>280</v>
      </c>
      <c r="M1316" s="987"/>
      <c r="N1316" s="436" t="s">
        <v>62</v>
      </c>
      <c r="O1316" s="1020">
        <v>45895.0</v>
      </c>
      <c r="P1316" s="987"/>
      <c r="Q1316" s="987"/>
      <c r="R1316" s="987"/>
      <c r="S1316" s="987"/>
      <c r="T1316" s="987"/>
      <c r="U1316" s="987"/>
      <c r="V1316" s="987"/>
      <c r="W1316" s="987"/>
      <c r="X1316" s="987"/>
      <c r="Y1316" s="987"/>
      <c r="Z1316" s="987"/>
      <c r="AA1316" s="986"/>
    </row>
    <row r="1317" hidden="1">
      <c r="A1317" s="995">
        <v>1194.0</v>
      </c>
      <c r="B1317" s="988">
        <v>45503.0</v>
      </c>
      <c r="C1317" s="989" t="s">
        <v>2821</v>
      </c>
      <c r="D1317" s="434" t="s">
        <v>885</v>
      </c>
      <c r="E1317" s="434" t="s">
        <v>49</v>
      </c>
      <c r="F1317" s="990">
        <v>1.5781581E7</v>
      </c>
      <c r="G1317" s="434" t="s">
        <v>32</v>
      </c>
      <c r="H1317" s="989" t="s">
        <v>7158</v>
      </c>
      <c r="I1317" s="993" t="s">
        <v>7159</v>
      </c>
      <c r="J1317" s="436" t="s">
        <v>1244</v>
      </c>
      <c r="K1317" s="998"/>
      <c r="L1317" s="987"/>
      <c r="M1317" s="987"/>
      <c r="N1317" s="987"/>
      <c r="O1317" s="987"/>
      <c r="P1317" s="987"/>
      <c r="Q1317" s="987"/>
      <c r="R1317" s="987"/>
      <c r="S1317" s="987"/>
      <c r="T1317" s="987"/>
      <c r="U1317" s="987"/>
      <c r="V1317" s="987"/>
      <c r="W1317" s="987"/>
      <c r="X1317" s="987"/>
      <c r="Y1317" s="987"/>
      <c r="Z1317" s="987"/>
      <c r="AA1317" s="986"/>
    </row>
    <row r="1318" hidden="1">
      <c r="A1318" s="995">
        <v>1195.0</v>
      </c>
      <c r="B1318" s="988">
        <v>45503.0</v>
      </c>
      <c r="C1318" s="989" t="s">
        <v>2821</v>
      </c>
      <c r="D1318" s="434" t="s">
        <v>885</v>
      </c>
      <c r="E1318" s="434" t="s">
        <v>49</v>
      </c>
      <c r="F1318" s="990">
        <v>1.5781586E7</v>
      </c>
      <c r="G1318" s="434" t="s">
        <v>32</v>
      </c>
      <c r="H1318" s="989" t="s">
        <v>7160</v>
      </c>
      <c r="I1318" s="993" t="s">
        <v>7161</v>
      </c>
      <c r="J1318" s="436" t="s">
        <v>1244</v>
      </c>
      <c r="K1318" s="998"/>
      <c r="L1318" s="987"/>
      <c r="M1318" s="987"/>
      <c r="N1318" s="987"/>
      <c r="O1318" s="987"/>
      <c r="P1318" s="987"/>
      <c r="Q1318" s="987"/>
      <c r="R1318" s="987"/>
      <c r="S1318" s="987"/>
      <c r="T1318" s="987"/>
      <c r="U1318" s="987"/>
      <c r="V1318" s="987"/>
      <c r="W1318" s="987"/>
      <c r="X1318" s="987"/>
      <c r="Y1318" s="987"/>
      <c r="Z1318" s="987"/>
      <c r="AA1318" s="986"/>
    </row>
    <row r="1319" hidden="1">
      <c r="A1319" s="995">
        <v>1196.0</v>
      </c>
      <c r="B1319" s="988">
        <v>45503.0</v>
      </c>
      <c r="C1319" s="989" t="s">
        <v>2821</v>
      </c>
      <c r="D1319" s="434" t="s">
        <v>885</v>
      </c>
      <c r="E1319" s="434" t="s">
        <v>49</v>
      </c>
      <c r="F1319" s="1045">
        <v>1.5781587E7</v>
      </c>
      <c r="G1319" s="434" t="s">
        <v>32</v>
      </c>
      <c r="H1319" s="989" t="s">
        <v>7162</v>
      </c>
      <c r="I1319" s="993" t="s">
        <v>7163</v>
      </c>
      <c r="J1319" s="436" t="s">
        <v>1244</v>
      </c>
      <c r="K1319" s="998"/>
      <c r="L1319" s="987"/>
      <c r="M1319" s="987"/>
      <c r="N1319" s="987"/>
      <c r="O1319" s="987"/>
      <c r="P1319" s="987"/>
      <c r="Q1319" s="987"/>
      <c r="R1319" s="987"/>
      <c r="S1319" s="987"/>
      <c r="T1319" s="987"/>
      <c r="U1319" s="987"/>
      <c r="V1319" s="987"/>
      <c r="W1319" s="987"/>
      <c r="X1319" s="987"/>
      <c r="Y1319" s="987"/>
      <c r="Z1319" s="987"/>
      <c r="AA1319" s="986"/>
    </row>
    <row r="1320" hidden="1">
      <c r="A1320" s="995">
        <v>1197.0</v>
      </c>
      <c r="B1320" s="988">
        <v>45503.0</v>
      </c>
      <c r="C1320" s="989" t="s">
        <v>2821</v>
      </c>
      <c r="D1320" s="434" t="s">
        <v>885</v>
      </c>
      <c r="E1320" s="434" t="s">
        <v>49</v>
      </c>
      <c r="F1320" s="990">
        <v>1.5781585E7</v>
      </c>
      <c r="G1320" s="434" t="s">
        <v>32</v>
      </c>
      <c r="H1320" s="989" t="s">
        <v>7164</v>
      </c>
      <c r="I1320" s="993" t="s">
        <v>7165</v>
      </c>
      <c r="J1320" s="436" t="s">
        <v>1244</v>
      </c>
      <c r="K1320" s="998"/>
      <c r="L1320" s="987"/>
      <c r="M1320" s="987"/>
      <c r="N1320" s="987"/>
      <c r="O1320" s="987"/>
      <c r="P1320" s="987"/>
      <c r="Q1320" s="987"/>
      <c r="R1320" s="987"/>
      <c r="S1320" s="987"/>
      <c r="T1320" s="436" t="s">
        <v>62</v>
      </c>
      <c r="U1320" s="1020">
        <v>45874.0</v>
      </c>
      <c r="V1320" s="987"/>
      <c r="W1320" s="987"/>
      <c r="X1320" s="987"/>
      <c r="Y1320" s="987"/>
      <c r="Z1320" s="987"/>
      <c r="AA1320" s="986"/>
    </row>
    <row r="1321" hidden="1">
      <c r="A1321" s="995">
        <v>1198.0</v>
      </c>
      <c r="B1321" s="988">
        <v>45503.0</v>
      </c>
      <c r="C1321" s="989" t="s">
        <v>2821</v>
      </c>
      <c r="D1321" s="434" t="s">
        <v>885</v>
      </c>
      <c r="E1321" s="434" t="s">
        <v>49</v>
      </c>
      <c r="F1321" s="990">
        <v>1.5781583E7</v>
      </c>
      <c r="G1321" s="434" t="s">
        <v>32</v>
      </c>
      <c r="H1321" s="989" t="s">
        <v>7166</v>
      </c>
      <c r="I1321" s="993" t="s">
        <v>7167</v>
      </c>
      <c r="J1321" s="436" t="s">
        <v>1244</v>
      </c>
      <c r="K1321" s="998"/>
      <c r="L1321" s="987"/>
      <c r="M1321" s="987"/>
      <c r="N1321" s="987"/>
      <c r="O1321" s="987"/>
      <c r="P1321" s="987"/>
      <c r="Q1321" s="987"/>
      <c r="R1321" s="987"/>
      <c r="S1321" s="987"/>
      <c r="T1321" s="987"/>
      <c r="U1321" s="987"/>
      <c r="V1321" s="987"/>
      <c r="W1321" s="987"/>
      <c r="X1321" s="987"/>
      <c r="Y1321" s="987"/>
      <c r="Z1321" s="987"/>
      <c r="AA1321" s="986"/>
    </row>
    <row r="1322" hidden="1">
      <c r="A1322" s="995">
        <v>1200.0</v>
      </c>
      <c r="B1322" s="988">
        <v>45503.0</v>
      </c>
      <c r="C1322" s="989" t="s">
        <v>2821</v>
      </c>
      <c r="D1322" s="434" t="s">
        <v>885</v>
      </c>
      <c r="E1322" s="434" t="s">
        <v>49</v>
      </c>
      <c r="F1322" s="990">
        <v>1.5781582E7</v>
      </c>
      <c r="G1322" s="434" t="s">
        <v>32</v>
      </c>
      <c r="H1322" s="989" t="s">
        <v>7168</v>
      </c>
      <c r="I1322" s="993" t="s">
        <v>7169</v>
      </c>
      <c r="J1322" s="436" t="s">
        <v>1244</v>
      </c>
      <c r="K1322" s="998"/>
      <c r="L1322" s="987"/>
      <c r="M1322" s="987"/>
      <c r="N1322" s="987"/>
      <c r="O1322" s="987"/>
      <c r="P1322" s="987"/>
      <c r="Q1322" s="987"/>
      <c r="R1322" s="987"/>
      <c r="S1322" s="987"/>
      <c r="T1322" s="987"/>
      <c r="U1322" s="987"/>
      <c r="V1322" s="987"/>
      <c r="W1322" s="987"/>
      <c r="X1322" s="987"/>
      <c r="Y1322" s="987"/>
      <c r="Z1322" s="987"/>
      <c r="AA1322" s="986"/>
    </row>
    <row r="1323" hidden="1">
      <c r="A1323" s="995">
        <v>1202.0</v>
      </c>
      <c r="B1323" s="988">
        <v>45503.0</v>
      </c>
      <c r="C1323" s="989" t="s">
        <v>2821</v>
      </c>
      <c r="D1323" s="434" t="s">
        <v>885</v>
      </c>
      <c r="E1323" s="434" t="s">
        <v>49</v>
      </c>
      <c r="F1323" s="990">
        <v>1.5781584E7</v>
      </c>
      <c r="G1323" s="434" t="s">
        <v>32</v>
      </c>
      <c r="H1323" s="989" t="s">
        <v>7170</v>
      </c>
      <c r="I1323" s="993" t="s">
        <v>7171</v>
      </c>
      <c r="J1323" s="436" t="s">
        <v>1244</v>
      </c>
      <c r="K1323" s="998"/>
      <c r="L1323" s="987"/>
      <c r="M1323" s="987"/>
      <c r="N1323" s="987"/>
      <c r="O1323" s="987"/>
      <c r="P1323" s="987"/>
      <c r="Q1323" s="987"/>
      <c r="R1323" s="987"/>
      <c r="S1323" s="987"/>
      <c r="T1323" s="436" t="s">
        <v>62</v>
      </c>
      <c r="U1323" s="1020">
        <v>45874.0</v>
      </c>
      <c r="V1323" s="987"/>
      <c r="W1323" s="987"/>
      <c r="X1323" s="987"/>
      <c r="Y1323" s="987"/>
      <c r="Z1323" s="987"/>
      <c r="AA1323" s="986"/>
    </row>
    <row r="1324" hidden="1">
      <c r="A1324" s="995">
        <v>1203.0</v>
      </c>
      <c r="B1324" s="988">
        <v>45504.0</v>
      </c>
      <c r="C1324" s="989" t="s">
        <v>2501</v>
      </c>
      <c r="D1324" s="434" t="s">
        <v>227</v>
      </c>
      <c r="E1324" s="434" t="s">
        <v>228</v>
      </c>
      <c r="F1324" s="434" t="s">
        <v>50</v>
      </c>
      <c r="G1324" s="434" t="s">
        <v>135</v>
      </c>
      <c r="H1324" s="989" t="s">
        <v>1061</v>
      </c>
      <c r="I1324" s="993" t="s">
        <v>7172</v>
      </c>
      <c r="J1324" s="436" t="s">
        <v>231</v>
      </c>
      <c r="K1324" s="984" t="s">
        <v>2073</v>
      </c>
      <c r="L1324" s="436" t="s">
        <v>1065</v>
      </c>
      <c r="M1324" s="987"/>
      <c r="N1324" s="987"/>
      <c r="O1324" s="987"/>
      <c r="P1324" s="987"/>
      <c r="Q1324" s="987"/>
      <c r="R1324" s="987"/>
      <c r="S1324" s="987"/>
      <c r="T1324" s="987"/>
      <c r="U1324" s="987"/>
      <c r="V1324" s="987"/>
      <c r="W1324" s="987"/>
      <c r="X1324" s="987"/>
      <c r="Y1324" s="987"/>
      <c r="Z1324" s="987"/>
      <c r="AA1324" s="986"/>
    </row>
    <row r="1325" hidden="1">
      <c r="A1325" s="995">
        <v>1206.0</v>
      </c>
      <c r="B1325" s="988">
        <v>45505.0</v>
      </c>
      <c r="C1325" s="989" t="s">
        <v>2501</v>
      </c>
      <c r="D1325" s="434" t="s">
        <v>227</v>
      </c>
      <c r="E1325" s="434" t="s">
        <v>228</v>
      </c>
      <c r="F1325" s="434" t="s">
        <v>50</v>
      </c>
      <c r="G1325" s="434" t="s">
        <v>135</v>
      </c>
      <c r="H1325" s="989" t="s">
        <v>1061</v>
      </c>
      <c r="I1325" s="993" t="s">
        <v>7173</v>
      </c>
      <c r="J1325" s="436" t="s">
        <v>231</v>
      </c>
      <c r="K1325" s="984" t="s">
        <v>2073</v>
      </c>
      <c r="L1325" s="436" t="s">
        <v>1065</v>
      </c>
      <c r="M1325" s="987"/>
      <c r="N1325" s="987"/>
      <c r="O1325" s="987"/>
      <c r="P1325" s="987"/>
      <c r="Q1325" s="987"/>
      <c r="R1325" s="987"/>
      <c r="S1325" s="987"/>
      <c r="T1325" s="987"/>
      <c r="U1325" s="987"/>
      <c r="V1325" s="987"/>
      <c r="W1325" s="987"/>
      <c r="X1325" s="987"/>
      <c r="Y1325" s="987"/>
      <c r="Z1325" s="987"/>
      <c r="AA1325" s="986"/>
    </row>
    <row r="1326" hidden="1">
      <c r="A1326" s="995">
        <v>1207.0</v>
      </c>
      <c r="B1326" s="988">
        <v>45502.0</v>
      </c>
      <c r="C1326" s="989" t="s">
        <v>5250</v>
      </c>
      <c r="D1326" s="434" t="s">
        <v>5251</v>
      </c>
      <c r="E1326" s="434" t="s">
        <v>300</v>
      </c>
      <c r="F1326" s="990">
        <v>1.621016E7</v>
      </c>
      <c r="G1326" s="434" t="s">
        <v>348</v>
      </c>
      <c r="H1326" s="989" t="s">
        <v>7174</v>
      </c>
      <c r="I1326" s="993" t="s">
        <v>7175</v>
      </c>
      <c r="J1326" s="436" t="s">
        <v>1999</v>
      </c>
      <c r="K1326" s="998"/>
      <c r="L1326" s="987"/>
      <c r="M1326" s="987"/>
      <c r="N1326" s="987"/>
      <c r="O1326" s="987"/>
      <c r="P1326" s="987"/>
      <c r="Q1326" s="987"/>
      <c r="R1326" s="987"/>
      <c r="S1326" s="987"/>
      <c r="T1326" s="987"/>
      <c r="U1326" s="987"/>
      <c r="V1326" s="987"/>
      <c r="W1326" s="987"/>
      <c r="X1326" s="987"/>
      <c r="Y1326" s="987"/>
      <c r="Z1326" s="987"/>
      <c r="AA1326" s="986"/>
    </row>
    <row r="1327" hidden="1">
      <c r="A1327" s="995">
        <v>1209.0</v>
      </c>
      <c r="B1327" s="996">
        <v>45128.0</v>
      </c>
      <c r="C1327" s="984" t="s">
        <v>6937</v>
      </c>
      <c r="D1327" s="436" t="s">
        <v>1113</v>
      </c>
      <c r="E1327" s="436" t="s">
        <v>702</v>
      </c>
      <c r="F1327" s="995">
        <v>1.8010124E7</v>
      </c>
      <c r="G1327" s="436" t="s">
        <v>32</v>
      </c>
      <c r="H1327" s="984" t="s">
        <v>7176</v>
      </c>
      <c r="I1327" s="1001" t="s">
        <v>7177</v>
      </c>
      <c r="J1327" s="436" t="s">
        <v>415</v>
      </c>
      <c r="K1327" s="998"/>
      <c r="L1327" s="987"/>
      <c r="M1327" s="987"/>
      <c r="N1327" s="987"/>
      <c r="O1327" s="987"/>
      <c r="P1327" s="987"/>
      <c r="Q1327" s="987"/>
      <c r="R1327" s="987"/>
      <c r="S1327" s="987"/>
      <c r="T1327" s="987"/>
      <c r="U1327" s="987"/>
      <c r="V1327" s="987"/>
      <c r="W1327" s="987"/>
      <c r="X1327" s="987"/>
      <c r="Y1327" s="987"/>
      <c r="Z1327" s="987"/>
      <c r="AA1327" s="986"/>
    </row>
    <row r="1328" hidden="1">
      <c r="A1328" s="995">
        <v>1211.0</v>
      </c>
      <c r="B1328" s="996">
        <v>44308.0</v>
      </c>
      <c r="C1328" s="984" t="s">
        <v>7178</v>
      </c>
      <c r="D1328" s="436" t="s">
        <v>239</v>
      </c>
      <c r="E1328" s="436" t="s">
        <v>240</v>
      </c>
      <c r="F1328" s="436" t="s">
        <v>50</v>
      </c>
      <c r="G1328" s="436" t="s">
        <v>103</v>
      </c>
      <c r="H1328" s="984" t="s">
        <v>7179</v>
      </c>
      <c r="I1328" s="1001" t="s">
        <v>7180</v>
      </c>
      <c r="J1328" s="987"/>
      <c r="K1328" s="998"/>
      <c r="L1328" s="987"/>
      <c r="M1328" s="987"/>
      <c r="N1328" s="987"/>
      <c r="O1328" s="987"/>
      <c r="P1328" s="987"/>
      <c r="Q1328" s="987"/>
      <c r="R1328" s="987"/>
      <c r="S1328" s="987"/>
      <c r="T1328" s="987"/>
      <c r="U1328" s="987"/>
      <c r="V1328" s="987"/>
      <c r="W1328" s="987"/>
      <c r="X1328" s="987"/>
      <c r="Y1328" s="987"/>
      <c r="Z1328" s="987"/>
      <c r="AA1328" s="986"/>
    </row>
    <row r="1329" hidden="1">
      <c r="A1329" s="995">
        <v>1214.0</v>
      </c>
      <c r="B1329" s="436" t="s">
        <v>7181</v>
      </c>
      <c r="C1329" s="984" t="s">
        <v>7182</v>
      </c>
      <c r="D1329" s="436" t="s">
        <v>7183</v>
      </c>
      <c r="E1329" s="436" t="s">
        <v>6480</v>
      </c>
      <c r="F1329" s="436" t="s">
        <v>50</v>
      </c>
      <c r="G1329" s="436" t="s">
        <v>103</v>
      </c>
      <c r="H1329" s="984" t="s">
        <v>7184</v>
      </c>
      <c r="I1329" s="1022" t="s">
        <v>7185</v>
      </c>
      <c r="J1329" s="436" t="s">
        <v>7186</v>
      </c>
      <c r="K1329" s="998"/>
      <c r="L1329" s="1038"/>
      <c r="M1329" s="987"/>
      <c r="N1329" s="987"/>
      <c r="O1329" s="987"/>
      <c r="P1329" s="987"/>
      <c r="Q1329" s="987"/>
      <c r="R1329" s="987"/>
      <c r="S1329" s="987"/>
      <c r="T1329" s="987"/>
      <c r="U1329" s="987"/>
      <c r="V1329" s="987"/>
      <c r="W1329" s="987"/>
      <c r="X1329" s="987"/>
      <c r="Y1329" s="987"/>
      <c r="Z1329" s="987"/>
      <c r="AA1329" s="986"/>
    </row>
    <row r="1330" hidden="1">
      <c r="A1330" s="995">
        <v>1220.0</v>
      </c>
      <c r="B1330" s="988">
        <v>45525.0</v>
      </c>
      <c r="C1330" s="989" t="s">
        <v>2701</v>
      </c>
      <c r="D1330" s="434" t="s">
        <v>1059</v>
      </c>
      <c r="E1330" s="434" t="s">
        <v>1060</v>
      </c>
      <c r="F1330" s="990">
        <v>1.9070414E7</v>
      </c>
      <c r="G1330" s="434" t="s">
        <v>135</v>
      </c>
      <c r="H1330" s="989" t="s">
        <v>7187</v>
      </c>
      <c r="I1330" s="993" t="s">
        <v>7188</v>
      </c>
      <c r="J1330" s="436" t="s">
        <v>1063</v>
      </c>
      <c r="K1330" s="984" t="s">
        <v>1098</v>
      </c>
      <c r="L1330" s="436" t="s">
        <v>1099</v>
      </c>
      <c r="M1330" s="987"/>
      <c r="N1330" s="436" t="s">
        <v>62</v>
      </c>
      <c r="O1330" s="1020">
        <v>45891.0</v>
      </c>
      <c r="P1330" s="987"/>
      <c r="Q1330" s="987"/>
      <c r="R1330" s="987"/>
      <c r="S1330" s="987"/>
      <c r="T1330" s="987"/>
      <c r="U1330" s="987"/>
      <c r="V1330" s="987"/>
      <c r="W1330" s="987"/>
      <c r="X1330" s="987"/>
      <c r="Y1330" s="987"/>
      <c r="Z1330" s="987"/>
      <c r="AA1330" s="986"/>
    </row>
    <row r="1331" hidden="1">
      <c r="A1331" s="995">
        <v>1231.0</v>
      </c>
      <c r="B1331" s="988">
        <v>45533.0</v>
      </c>
      <c r="C1331" s="989" t="s">
        <v>1407</v>
      </c>
      <c r="D1331" s="989" t="s">
        <v>885</v>
      </c>
      <c r="E1331" s="434" t="s">
        <v>49</v>
      </c>
      <c r="F1331" s="990">
        <v>1.0</v>
      </c>
      <c r="G1331" s="434" t="s">
        <v>32</v>
      </c>
      <c r="H1331" s="989" t="s">
        <v>7189</v>
      </c>
      <c r="I1331" s="993" t="s">
        <v>7190</v>
      </c>
      <c r="J1331" s="436" t="s">
        <v>1244</v>
      </c>
      <c r="K1331" s="998"/>
      <c r="L1331" s="987"/>
      <c r="M1331" s="987"/>
      <c r="N1331" s="987"/>
      <c r="O1331" s="987"/>
      <c r="P1331" s="987"/>
      <c r="Q1331" s="987"/>
      <c r="R1331" s="987"/>
      <c r="S1331" s="987"/>
      <c r="T1331" s="987"/>
      <c r="U1331" s="987"/>
      <c r="V1331" s="987"/>
      <c r="W1331" s="987"/>
      <c r="X1331" s="987"/>
      <c r="Y1331" s="987"/>
      <c r="Z1331" s="987"/>
      <c r="AA1331" s="986"/>
    </row>
    <row r="1332" hidden="1">
      <c r="A1332" s="995">
        <v>1271.0</v>
      </c>
      <c r="B1332" s="988">
        <v>45533.0</v>
      </c>
      <c r="C1332" s="989" t="s">
        <v>7191</v>
      </c>
      <c r="D1332" s="989" t="s">
        <v>885</v>
      </c>
      <c r="E1332" s="434" t="s">
        <v>49</v>
      </c>
      <c r="F1332" s="434" t="s">
        <v>50</v>
      </c>
      <c r="G1332" s="434" t="s">
        <v>32</v>
      </c>
      <c r="H1332" s="989" t="s">
        <v>7192</v>
      </c>
      <c r="I1332" s="993" t="s">
        <v>7193</v>
      </c>
      <c r="J1332" s="987"/>
      <c r="K1332" s="998"/>
      <c r="L1332" s="987"/>
      <c r="M1332" s="987"/>
      <c r="N1332" s="987"/>
      <c r="O1332" s="987"/>
      <c r="P1332" s="987"/>
      <c r="Q1332" s="987"/>
      <c r="R1332" s="987"/>
      <c r="S1332" s="987"/>
      <c r="T1332" s="987"/>
      <c r="U1332" s="987"/>
      <c r="V1332" s="987"/>
      <c r="W1332" s="987"/>
      <c r="X1332" s="987"/>
      <c r="Y1332" s="987"/>
      <c r="Z1332" s="987"/>
      <c r="AA1332" s="986"/>
    </row>
    <row r="1333" hidden="1">
      <c r="A1333" s="995">
        <v>1272.0</v>
      </c>
      <c r="B1333" s="988">
        <v>45533.0</v>
      </c>
      <c r="C1333" s="989" t="s">
        <v>7191</v>
      </c>
      <c r="D1333" s="989" t="s">
        <v>885</v>
      </c>
      <c r="E1333" s="434" t="s">
        <v>49</v>
      </c>
      <c r="F1333" s="434" t="s">
        <v>50</v>
      </c>
      <c r="G1333" s="434" t="s">
        <v>32</v>
      </c>
      <c r="H1333" s="989" t="s">
        <v>7194</v>
      </c>
      <c r="I1333" s="993" t="s">
        <v>7193</v>
      </c>
      <c r="J1333" s="987"/>
      <c r="K1333" s="998"/>
      <c r="L1333" s="987"/>
      <c r="M1333" s="987"/>
      <c r="N1333" s="987"/>
      <c r="O1333" s="987"/>
      <c r="P1333" s="987"/>
      <c r="Q1333" s="987"/>
      <c r="R1333" s="987"/>
      <c r="S1333" s="987"/>
      <c r="T1333" s="987"/>
      <c r="U1333" s="987"/>
      <c r="V1333" s="987"/>
      <c r="W1333" s="987"/>
      <c r="X1333" s="987"/>
      <c r="Y1333" s="987"/>
      <c r="Z1333" s="987"/>
      <c r="AA1333" s="986"/>
    </row>
    <row r="1334" hidden="1">
      <c r="A1334" s="995">
        <v>1276.0</v>
      </c>
      <c r="B1334" s="988">
        <v>45537.0</v>
      </c>
      <c r="C1334" s="989" t="s">
        <v>7195</v>
      </c>
      <c r="D1334" s="989" t="s">
        <v>205</v>
      </c>
      <c r="E1334" s="434" t="s">
        <v>49</v>
      </c>
      <c r="F1334" s="434" t="s">
        <v>50</v>
      </c>
      <c r="G1334" s="434" t="s">
        <v>51</v>
      </c>
      <c r="H1334" s="989" t="s">
        <v>7196</v>
      </c>
      <c r="I1334" s="993" t="s">
        <v>7197</v>
      </c>
      <c r="J1334" s="436" t="s">
        <v>208</v>
      </c>
      <c r="K1334" s="984" t="s">
        <v>1356</v>
      </c>
      <c r="L1334" s="436" t="s">
        <v>610</v>
      </c>
      <c r="M1334" s="987"/>
      <c r="N1334" s="987"/>
      <c r="O1334" s="987"/>
      <c r="P1334" s="987"/>
      <c r="Q1334" s="987"/>
      <c r="R1334" s="987"/>
      <c r="S1334" s="987"/>
      <c r="T1334" s="436" t="s">
        <v>62</v>
      </c>
      <c r="U1334" s="1020">
        <v>45909.0</v>
      </c>
      <c r="V1334" s="987"/>
      <c r="W1334" s="987"/>
      <c r="X1334" s="987"/>
      <c r="Y1334" s="987"/>
      <c r="Z1334" s="987"/>
      <c r="AA1334" s="986"/>
    </row>
    <row r="1335" hidden="1">
      <c r="A1335" s="995">
        <v>1279.0</v>
      </c>
      <c r="B1335" s="996">
        <v>45540.0</v>
      </c>
      <c r="C1335" s="984" t="s">
        <v>7198</v>
      </c>
      <c r="D1335" s="984" t="s">
        <v>212</v>
      </c>
      <c r="E1335" s="436" t="s">
        <v>6737</v>
      </c>
      <c r="F1335" s="436" t="s">
        <v>50</v>
      </c>
      <c r="G1335" s="436" t="s">
        <v>32</v>
      </c>
      <c r="H1335" s="984" t="s">
        <v>7199</v>
      </c>
      <c r="I1335" s="1046"/>
      <c r="J1335" s="987"/>
      <c r="K1335" s="998"/>
      <c r="L1335" s="987"/>
      <c r="M1335" s="987"/>
      <c r="N1335" s="987"/>
      <c r="O1335" s="987"/>
      <c r="P1335" s="987"/>
      <c r="Q1335" s="987"/>
      <c r="R1335" s="987"/>
      <c r="S1335" s="987"/>
      <c r="T1335" s="987"/>
      <c r="U1335" s="987"/>
      <c r="V1335" s="987"/>
      <c r="W1335" s="987"/>
      <c r="X1335" s="987"/>
      <c r="Y1335" s="987"/>
      <c r="Z1335" s="987"/>
      <c r="AA1335" s="986"/>
    </row>
    <row r="1336" hidden="1">
      <c r="A1336" s="995">
        <v>1281.0</v>
      </c>
      <c r="B1336" s="988">
        <v>45544.0</v>
      </c>
      <c r="C1336" s="989" t="s">
        <v>2683</v>
      </c>
      <c r="D1336" s="989" t="s">
        <v>393</v>
      </c>
      <c r="E1336" s="434" t="s">
        <v>2684</v>
      </c>
      <c r="F1336" s="434" t="s">
        <v>50</v>
      </c>
      <c r="G1336" s="434" t="s">
        <v>570</v>
      </c>
      <c r="H1336" s="989" t="s">
        <v>7200</v>
      </c>
      <c r="I1336" s="993" t="s">
        <v>7201</v>
      </c>
      <c r="J1336" s="436" t="s">
        <v>398</v>
      </c>
      <c r="K1336" s="984" t="s">
        <v>520</v>
      </c>
      <c r="L1336" s="987"/>
      <c r="M1336" s="987"/>
      <c r="N1336" s="987"/>
      <c r="O1336" s="987"/>
      <c r="P1336" s="987"/>
      <c r="Q1336" s="987"/>
      <c r="R1336" s="987"/>
      <c r="S1336" s="987"/>
      <c r="T1336" s="987"/>
      <c r="U1336" s="987"/>
      <c r="V1336" s="987"/>
      <c r="W1336" s="987"/>
      <c r="X1336" s="987"/>
      <c r="Y1336" s="987"/>
      <c r="Z1336" s="987"/>
      <c r="AA1336" s="986"/>
    </row>
    <row r="1337" hidden="1">
      <c r="A1337" s="995">
        <v>1282.0</v>
      </c>
      <c r="B1337" s="988">
        <v>45544.0</v>
      </c>
      <c r="C1337" s="989" t="s">
        <v>2178</v>
      </c>
      <c r="D1337" s="989" t="s">
        <v>2179</v>
      </c>
      <c r="E1337" s="434" t="s">
        <v>49</v>
      </c>
      <c r="F1337" s="990">
        <v>1.5820308E7</v>
      </c>
      <c r="G1337" s="434" t="s">
        <v>51</v>
      </c>
      <c r="H1337" s="989" t="s">
        <v>7202</v>
      </c>
      <c r="I1337" s="993" t="s">
        <v>7203</v>
      </c>
      <c r="J1337" s="436" t="s">
        <v>3370</v>
      </c>
      <c r="K1337" s="984" t="s">
        <v>2182</v>
      </c>
      <c r="L1337" s="436" t="s">
        <v>7204</v>
      </c>
      <c r="M1337" s="987"/>
      <c r="N1337" s="436" t="s">
        <v>62</v>
      </c>
      <c r="O1337" s="1020">
        <v>45909.0</v>
      </c>
      <c r="P1337" s="987"/>
      <c r="Q1337" s="987"/>
      <c r="R1337" s="987"/>
      <c r="S1337" s="987"/>
      <c r="T1337" s="436" t="s">
        <v>62</v>
      </c>
      <c r="U1337" s="1020">
        <v>45924.0</v>
      </c>
      <c r="V1337" s="987"/>
      <c r="W1337" s="987"/>
      <c r="X1337" s="987"/>
      <c r="Y1337" s="987"/>
      <c r="Z1337" s="987"/>
      <c r="AA1337" s="986"/>
    </row>
    <row r="1338" hidden="1">
      <c r="A1338" s="995">
        <v>1295.0</v>
      </c>
      <c r="B1338" s="988">
        <v>45559.0</v>
      </c>
      <c r="C1338" s="989" t="s">
        <v>2178</v>
      </c>
      <c r="D1338" s="989" t="s">
        <v>2179</v>
      </c>
      <c r="E1338" s="434" t="s">
        <v>49</v>
      </c>
      <c r="F1338" s="1021">
        <v>1.58E8</v>
      </c>
      <c r="G1338" s="434" t="s">
        <v>51</v>
      </c>
      <c r="H1338" s="989" t="s">
        <v>7205</v>
      </c>
      <c r="I1338" s="993" t="s">
        <v>7206</v>
      </c>
      <c r="J1338" s="436" t="s">
        <v>3370</v>
      </c>
      <c r="K1338" s="984" t="s">
        <v>2182</v>
      </c>
      <c r="L1338" s="436" t="s">
        <v>7204</v>
      </c>
      <c r="M1338" s="987"/>
      <c r="N1338" s="436" t="s">
        <v>62</v>
      </c>
      <c r="O1338" s="1020">
        <v>45924.0</v>
      </c>
      <c r="P1338" s="987"/>
      <c r="Q1338" s="987"/>
      <c r="R1338" s="987"/>
      <c r="S1338" s="987"/>
      <c r="T1338" s="436" t="s">
        <v>62</v>
      </c>
      <c r="U1338" s="1020">
        <v>45925.0</v>
      </c>
      <c r="V1338" s="987"/>
      <c r="W1338" s="987"/>
      <c r="X1338" s="987"/>
      <c r="Y1338" s="987"/>
      <c r="Z1338" s="987"/>
      <c r="AA1338" s="986"/>
    </row>
    <row r="1339" hidden="1">
      <c r="A1339" s="995">
        <v>1297.0</v>
      </c>
      <c r="B1339" s="988">
        <v>45560.0</v>
      </c>
      <c r="C1339" s="989" t="s">
        <v>7207</v>
      </c>
      <c r="D1339" s="989" t="s">
        <v>2804</v>
      </c>
      <c r="E1339" s="434" t="s">
        <v>2920</v>
      </c>
      <c r="F1339" s="434" t="s">
        <v>50</v>
      </c>
      <c r="G1339" s="434" t="s">
        <v>348</v>
      </c>
      <c r="H1339" s="989" t="s">
        <v>7208</v>
      </c>
      <c r="I1339" s="993" t="s">
        <v>7209</v>
      </c>
      <c r="J1339" s="436" t="s">
        <v>6677</v>
      </c>
      <c r="K1339" s="984" t="s">
        <v>7210</v>
      </c>
      <c r="L1339" s="436" t="s">
        <v>2222</v>
      </c>
      <c r="M1339" s="987"/>
      <c r="N1339" s="436" t="s">
        <v>62</v>
      </c>
      <c r="O1339" s="1020">
        <v>45926.0</v>
      </c>
      <c r="P1339" s="987"/>
      <c r="Q1339" s="987"/>
      <c r="R1339" s="987"/>
      <c r="S1339" s="987"/>
      <c r="T1339" s="436" t="s">
        <v>62</v>
      </c>
      <c r="U1339" s="1020">
        <v>45932.0</v>
      </c>
      <c r="V1339" s="987"/>
      <c r="W1339" s="987"/>
      <c r="X1339" s="987"/>
      <c r="Y1339" s="987"/>
      <c r="Z1339" s="987"/>
      <c r="AA1339" s="986"/>
    </row>
    <row r="1340" hidden="1">
      <c r="A1340" s="995">
        <v>1301.0</v>
      </c>
      <c r="B1340" s="988">
        <v>45567.0</v>
      </c>
      <c r="C1340" s="989" t="s">
        <v>6465</v>
      </c>
      <c r="D1340" s="989" t="s">
        <v>791</v>
      </c>
      <c r="E1340" s="434" t="s">
        <v>300</v>
      </c>
      <c r="F1340" s="434" t="s">
        <v>50</v>
      </c>
      <c r="G1340" s="434" t="s">
        <v>348</v>
      </c>
      <c r="H1340" s="989" t="s">
        <v>7211</v>
      </c>
      <c r="I1340" s="993" t="s">
        <v>7212</v>
      </c>
      <c r="J1340" s="436" t="s">
        <v>284</v>
      </c>
      <c r="K1340" s="984" t="s">
        <v>7014</v>
      </c>
      <c r="L1340" s="436" t="s">
        <v>2852</v>
      </c>
      <c r="M1340" s="987"/>
      <c r="N1340" s="987"/>
      <c r="O1340" s="987"/>
      <c r="P1340" s="987"/>
      <c r="Q1340" s="987"/>
      <c r="R1340" s="987"/>
      <c r="S1340" s="987"/>
      <c r="T1340" s="987"/>
      <c r="U1340" s="987"/>
      <c r="V1340" s="987"/>
      <c r="W1340" s="987"/>
      <c r="X1340" s="987"/>
      <c r="Y1340" s="987"/>
      <c r="Z1340" s="987"/>
      <c r="AA1340" s="986"/>
    </row>
    <row r="1341" hidden="1">
      <c r="A1341" s="1047">
        <v>120.0</v>
      </c>
      <c r="B1341" s="1048">
        <v>44356.0</v>
      </c>
      <c r="C1341" s="993" t="s">
        <v>3344</v>
      </c>
      <c r="D1341" s="1049" t="s">
        <v>3345</v>
      </c>
      <c r="E1341" s="1049" t="s">
        <v>3346</v>
      </c>
      <c r="F1341" s="1049" t="s">
        <v>50</v>
      </c>
      <c r="G1341" s="993" t="s">
        <v>3347</v>
      </c>
      <c r="H1341" s="993" t="s">
        <v>3348</v>
      </c>
      <c r="I1341" s="993" t="s">
        <v>3349</v>
      </c>
      <c r="J1341" s="384" t="s">
        <v>3350</v>
      </c>
      <c r="K1341" s="264"/>
      <c r="L1341" s="264"/>
      <c r="M1341" s="264"/>
      <c r="N1341" s="264"/>
      <c r="O1341" s="264"/>
      <c r="P1341" s="264"/>
      <c r="Q1341" s="264"/>
      <c r="R1341" s="264"/>
      <c r="S1341" s="264"/>
      <c r="T1341" s="264"/>
      <c r="U1341" s="264"/>
      <c r="V1341" s="1050"/>
      <c r="W1341" s="987"/>
      <c r="X1341" s="987"/>
      <c r="Y1341" s="987"/>
      <c r="Z1341" s="987"/>
      <c r="AA1341" s="1051" t="s">
        <v>3299</v>
      </c>
    </row>
    <row r="1342" hidden="1">
      <c r="A1342" s="1047">
        <v>157.0</v>
      </c>
      <c r="B1342" s="1048">
        <v>44504.0</v>
      </c>
      <c r="C1342" s="993" t="s">
        <v>3325</v>
      </c>
      <c r="D1342" s="1049" t="s">
        <v>3326</v>
      </c>
      <c r="E1342" s="1049" t="s">
        <v>295</v>
      </c>
      <c r="F1342" s="1047">
        <v>1.3521387E7</v>
      </c>
      <c r="G1342" s="1049" t="s">
        <v>51</v>
      </c>
      <c r="H1342" s="993" t="s">
        <v>3342</v>
      </c>
      <c r="I1342" s="993" t="s">
        <v>7213</v>
      </c>
      <c r="J1342" s="384" t="s">
        <v>3079</v>
      </c>
      <c r="K1342" s="384" t="s">
        <v>3190</v>
      </c>
      <c r="L1342" s="384" t="s">
        <v>3191</v>
      </c>
      <c r="M1342" s="264"/>
      <c r="N1342" s="264"/>
      <c r="O1342" s="264"/>
      <c r="P1342" s="264"/>
      <c r="Q1342" s="264"/>
      <c r="R1342" s="264"/>
      <c r="S1342" s="264"/>
      <c r="T1342" s="264"/>
      <c r="U1342" s="264"/>
      <c r="V1342" s="1050"/>
      <c r="W1342" s="987"/>
      <c r="X1342" s="987"/>
      <c r="Y1342" s="987"/>
      <c r="Z1342" s="987"/>
      <c r="AA1342" s="1052"/>
    </row>
    <row r="1343" hidden="1">
      <c r="A1343" s="1053">
        <v>188.0</v>
      </c>
      <c r="B1343" s="1054">
        <v>44483.0</v>
      </c>
      <c r="C1343" s="1032" t="s">
        <v>3336</v>
      </c>
      <c r="D1343" s="1055" t="s">
        <v>3337</v>
      </c>
      <c r="E1343" s="1055" t="s">
        <v>160</v>
      </c>
      <c r="F1343" s="1055" t="s">
        <v>50</v>
      </c>
      <c r="G1343" s="1055" t="s">
        <v>120</v>
      </c>
      <c r="H1343" s="1032" t="s">
        <v>3338</v>
      </c>
      <c r="I1343" s="1032" t="s">
        <v>3339</v>
      </c>
      <c r="J1343" s="384" t="s">
        <v>3340</v>
      </c>
      <c r="K1343" s="384" t="s">
        <v>3341</v>
      </c>
      <c r="L1343" s="264"/>
      <c r="M1343" s="264"/>
      <c r="N1343" s="264"/>
      <c r="O1343" s="264"/>
      <c r="P1343" s="264"/>
      <c r="Q1343" s="264"/>
      <c r="R1343" s="264"/>
      <c r="S1343" s="264"/>
      <c r="T1343" s="264"/>
      <c r="U1343" s="264"/>
      <c r="V1343" s="1056" t="s">
        <v>2327</v>
      </c>
      <c r="W1343" s="987"/>
      <c r="X1343" s="987"/>
      <c r="Y1343" s="987"/>
      <c r="Z1343" s="987"/>
      <c r="AA1343" s="1052"/>
    </row>
    <row r="1344" hidden="1">
      <c r="A1344" s="1057">
        <v>266.0</v>
      </c>
      <c r="B1344" s="1058">
        <v>44572.0</v>
      </c>
      <c r="C1344" s="1059" t="s">
        <v>3311</v>
      </c>
      <c r="D1344" s="1060" t="s">
        <v>885</v>
      </c>
      <c r="E1344" s="1060" t="s">
        <v>49</v>
      </c>
      <c r="F1344" s="1061">
        <v>1.5122031E7</v>
      </c>
      <c r="G1344" s="1060" t="s">
        <v>32</v>
      </c>
      <c r="H1344" s="1059" t="s">
        <v>3312</v>
      </c>
      <c r="I1344" s="1059" t="s">
        <v>3313</v>
      </c>
      <c r="J1344" s="1062" t="s">
        <v>1244</v>
      </c>
      <c r="K1344" s="1062" t="s">
        <v>3314</v>
      </c>
      <c r="L1344" s="1063"/>
      <c r="M1344" s="1063"/>
      <c r="N1344" s="1063"/>
      <c r="O1344" s="1063"/>
      <c r="P1344" s="1063"/>
      <c r="Q1344" s="1063"/>
      <c r="R1344" s="1063"/>
      <c r="S1344" s="1063"/>
      <c r="T1344" s="1063"/>
      <c r="U1344" s="1063"/>
      <c r="V1344" s="1064" t="s">
        <v>2327</v>
      </c>
      <c r="W1344" s="1065"/>
      <c r="X1344" s="1065"/>
      <c r="Y1344" s="1065"/>
      <c r="Z1344" s="1065"/>
      <c r="AA1344" s="1066"/>
    </row>
    <row r="1345" hidden="1">
      <c r="A1345" s="1053">
        <v>328.0</v>
      </c>
      <c r="B1345" s="1067">
        <v>44691.0</v>
      </c>
      <c r="C1345" s="1032" t="s">
        <v>3300</v>
      </c>
      <c r="D1345" s="1055" t="s">
        <v>3301</v>
      </c>
      <c r="E1345" s="1055" t="s">
        <v>160</v>
      </c>
      <c r="F1345" s="1053">
        <v>1762080.0</v>
      </c>
      <c r="G1345" s="1055" t="s">
        <v>120</v>
      </c>
      <c r="H1345" s="1032" t="s">
        <v>3302</v>
      </c>
      <c r="I1345" s="1032" t="s">
        <v>3303</v>
      </c>
      <c r="J1345" s="384" t="s">
        <v>3304</v>
      </c>
      <c r="K1345" s="264"/>
      <c r="L1345" s="264"/>
      <c r="M1345" s="264"/>
      <c r="N1345" s="264"/>
      <c r="O1345" s="264"/>
      <c r="P1345" s="264"/>
      <c r="Q1345" s="264"/>
      <c r="R1345" s="264"/>
      <c r="S1345" s="264"/>
      <c r="T1345" s="264"/>
      <c r="U1345" s="264"/>
      <c r="V1345" s="1056" t="s">
        <v>2327</v>
      </c>
      <c r="W1345" s="987"/>
      <c r="X1345" s="987"/>
      <c r="Y1345" s="987"/>
      <c r="Z1345" s="987"/>
      <c r="AA1345" s="1052"/>
    </row>
    <row r="1346" hidden="1">
      <c r="A1346" s="1047">
        <v>329.0</v>
      </c>
      <c r="B1346" s="1048">
        <v>44706.0</v>
      </c>
      <c r="C1346" s="993" t="s">
        <v>3296</v>
      </c>
      <c r="D1346" s="1049" t="s">
        <v>720</v>
      </c>
      <c r="E1346" s="1049" t="s">
        <v>721</v>
      </c>
      <c r="F1346" s="1047">
        <v>1.8850056E7</v>
      </c>
      <c r="G1346" s="1049" t="s">
        <v>32</v>
      </c>
      <c r="H1346" s="993" t="s">
        <v>3297</v>
      </c>
      <c r="I1346" s="993" t="s">
        <v>3298</v>
      </c>
      <c r="J1346" s="264"/>
      <c r="K1346" s="264"/>
      <c r="L1346" s="264"/>
      <c r="M1346" s="264"/>
      <c r="N1346" s="264"/>
      <c r="O1346" s="264"/>
      <c r="P1346" s="264"/>
      <c r="Q1346" s="264"/>
      <c r="R1346" s="264"/>
      <c r="S1346" s="264"/>
      <c r="T1346" s="264"/>
      <c r="U1346" s="264"/>
      <c r="V1346" s="1050"/>
      <c r="W1346" s="987"/>
      <c r="X1346" s="987"/>
      <c r="Y1346" s="987"/>
      <c r="Z1346" s="987"/>
      <c r="AA1346" s="1051" t="s">
        <v>3299</v>
      </c>
    </row>
    <row r="1347" hidden="1">
      <c r="A1347" s="1047">
        <v>402.0</v>
      </c>
      <c r="B1347" s="1048">
        <v>44830.0</v>
      </c>
      <c r="C1347" s="993" t="s">
        <v>3285</v>
      </c>
      <c r="D1347" s="1049" t="s">
        <v>205</v>
      </c>
      <c r="E1347" s="1049" t="s">
        <v>49</v>
      </c>
      <c r="F1347" s="1047">
        <v>1.8240297E7</v>
      </c>
      <c r="G1347" s="1049" t="s">
        <v>51</v>
      </c>
      <c r="H1347" s="993" t="s">
        <v>3286</v>
      </c>
      <c r="I1347" s="993" t="s">
        <v>3287</v>
      </c>
      <c r="J1347" s="264"/>
      <c r="K1347" s="264"/>
      <c r="L1347" s="264"/>
      <c r="M1347" s="264"/>
      <c r="N1347" s="384" t="s">
        <v>62</v>
      </c>
      <c r="O1347" s="264"/>
      <c r="P1347" s="264"/>
      <c r="Q1347" s="264"/>
      <c r="R1347" s="264"/>
      <c r="S1347" s="264"/>
      <c r="T1347" s="264"/>
      <c r="U1347" s="264"/>
      <c r="V1347" s="1050"/>
      <c r="W1347" s="987"/>
      <c r="X1347" s="987"/>
      <c r="Y1347" s="987"/>
      <c r="Z1347" s="987"/>
      <c r="AA1347" s="1051" t="s">
        <v>3288</v>
      </c>
    </row>
    <row r="1348" hidden="1">
      <c r="A1348" s="1068">
        <v>500.0</v>
      </c>
      <c r="B1348" s="1069">
        <v>44974.0</v>
      </c>
      <c r="C1348" s="1070" t="s">
        <v>3260</v>
      </c>
      <c r="D1348" s="1071" t="s">
        <v>3261</v>
      </c>
      <c r="E1348" s="1071" t="s">
        <v>3262</v>
      </c>
      <c r="F1348" s="1072">
        <v>1.4440578E7</v>
      </c>
      <c r="G1348" s="1071" t="s">
        <v>51</v>
      </c>
      <c r="H1348" s="1070" t="s">
        <v>3263</v>
      </c>
      <c r="I1348" s="1070" t="s">
        <v>3264</v>
      </c>
      <c r="J1348" s="1063"/>
      <c r="K1348" s="1063"/>
      <c r="L1348" s="1063"/>
      <c r="M1348" s="1063"/>
      <c r="N1348" s="1063"/>
      <c r="O1348" s="1063"/>
      <c r="P1348" s="1063"/>
      <c r="Q1348" s="1063"/>
      <c r="R1348" s="1063"/>
      <c r="S1348" s="1063"/>
      <c r="T1348" s="1063"/>
      <c r="U1348" s="1063"/>
      <c r="V1348" s="1073"/>
      <c r="W1348" s="1063"/>
      <c r="X1348" s="1063"/>
      <c r="Y1348" s="1063"/>
      <c r="Z1348" s="1063"/>
      <c r="AA1348" s="1074" t="s">
        <v>3265</v>
      </c>
    </row>
    <row r="1349" hidden="1">
      <c r="A1349" s="1053">
        <v>620.0</v>
      </c>
      <c r="B1349" s="1067">
        <v>45110.0</v>
      </c>
      <c r="C1349" s="1032" t="s">
        <v>3200</v>
      </c>
      <c r="D1349" s="1055" t="s">
        <v>482</v>
      </c>
      <c r="E1349" s="1055" t="s">
        <v>483</v>
      </c>
      <c r="F1349" s="1053">
        <v>1.6010158E7</v>
      </c>
      <c r="G1349" s="1055" t="s">
        <v>51</v>
      </c>
      <c r="H1349" s="1032" t="s">
        <v>3201</v>
      </c>
      <c r="I1349" s="1032" t="s">
        <v>3202</v>
      </c>
      <c r="J1349" s="384" t="s">
        <v>486</v>
      </c>
      <c r="K1349" s="264"/>
      <c r="L1349" s="264"/>
      <c r="M1349" s="264"/>
      <c r="N1349" s="264"/>
      <c r="O1349" s="264"/>
      <c r="P1349" s="264"/>
      <c r="Q1349" s="264"/>
      <c r="R1349" s="264"/>
      <c r="S1349" s="264"/>
      <c r="T1349" s="264"/>
      <c r="U1349" s="264"/>
      <c r="V1349" s="1075" t="s">
        <v>2327</v>
      </c>
      <c r="W1349" s="1076">
        <v>45930.0</v>
      </c>
      <c r="X1349" s="264"/>
      <c r="Y1349" s="264"/>
      <c r="Z1349" s="264"/>
      <c r="AA1349" s="1077" t="s">
        <v>3203</v>
      </c>
    </row>
    <row r="1350" hidden="1">
      <c r="A1350" s="1047">
        <v>686.0</v>
      </c>
      <c r="B1350" s="1048">
        <v>45188.0</v>
      </c>
      <c r="C1350" s="993" t="s">
        <v>1960</v>
      </c>
      <c r="D1350" s="1049" t="s">
        <v>89</v>
      </c>
      <c r="E1350" s="1049" t="s">
        <v>41</v>
      </c>
      <c r="F1350" s="1047">
        <v>1.5831093E7</v>
      </c>
      <c r="G1350" s="1049" t="s">
        <v>51</v>
      </c>
      <c r="H1350" s="993" t="s">
        <v>3172</v>
      </c>
      <c r="I1350" s="993" t="s">
        <v>3173</v>
      </c>
      <c r="J1350" s="384" t="s">
        <v>92</v>
      </c>
      <c r="K1350" s="264"/>
      <c r="L1350" s="264"/>
      <c r="M1350" s="264"/>
      <c r="N1350" s="264"/>
      <c r="O1350" s="264"/>
      <c r="P1350" s="264"/>
      <c r="Q1350" s="264"/>
      <c r="R1350" s="264"/>
      <c r="S1350" s="264"/>
      <c r="T1350" s="384" t="s">
        <v>2327</v>
      </c>
      <c r="U1350" s="1076">
        <v>45765.0</v>
      </c>
      <c r="V1350" s="266"/>
      <c r="W1350" s="264"/>
      <c r="X1350" s="264"/>
      <c r="Y1350" s="264"/>
      <c r="Z1350" s="264"/>
      <c r="AA1350" s="1077" t="s">
        <v>3174</v>
      </c>
    </row>
  </sheetData>
  <autoFilter ref="$A$1:$AA$1350">
    <filterColumn colId="3">
      <filters>
        <filter val="USF-105DADA"/>
      </filters>
    </filterColumn>
  </autoFilter>
  <customSheetViews>
    <customSheetView guid="{B56A2066-89A6-4F6E-B1B3-80A459BC1835}" filter="1" showAutoFilter="1">
      <autoFilter ref="$A$1:$AA$1350">
        <filterColumn colId="3">
          <filters>
            <filter val="MFR-18RUA"/>
          </filters>
        </filterColumn>
      </autoFilter>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3" max="3" width="4.63"/>
    <col customWidth="1" min="5" max="5" width="7.5"/>
    <col customWidth="1" min="6" max="6" width="15.63"/>
    <col customWidth="1" min="7" max="7" width="4.63"/>
    <col customWidth="1" min="8" max="8" width="3.88"/>
    <col customWidth="1" min="10" max="10" width="3.88"/>
    <col customWidth="1" min="13" max="13" width="12.0"/>
  </cols>
  <sheetData>
    <row r="1">
      <c r="A1" s="986"/>
      <c r="B1" s="1078" t="s">
        <v>7214</v>
      </c>
      <c r="E1" s="986"/>
      <c r="F1" s="986"/>
      <c r="G1" s="986"/>
      <c r="H1" s="986"/>
      <c r="I1" s="986"/>
      <c r="J1" s="986"/>
      <c r="K1" s="986"/>
      <c r="L1" s="986"/>
      <c r="M1" s="986"/>
    </row>
    <row r="2">
      <c r="A2" s="986"/>
      <c r="B2" s="986"/>
      <c r="C2" s="986"/>
      <c r="D2" s="986"/>
      <c r="E2" s="986"/>
      <c r="F2" s="986"/>
      <c r="G2" s="986"/>
      <c r="H2" s="986"/>
      <c r="I2" s="986"/>
      <c r="J2" s="986"/>
      <c r="K2" s="986"/>
      <c r="L2" s="986"/>
      <c r="M2" s="986"/>
    </row>
    <row r="3">
      <c r="A3" s="1078" t="s">
        <v>7215</v>
      </c>
      <c r="C3" s="1078" t="s">
        <v>7216</v>
      </c>
      <c r="E3" s="1078" t="s">
        <v>7217</v>
      </c>
      <c r="G3" s="986"/>
      <c r="H3" s="986"/>
      <c r="I3" s="1078" t="s">
        <v>7215</v>
      </c>
      <c r="J3" s="986"/>
      <c r="K3" s="1078" t="s">
        <v>7216</v>
      </c>
      <c r="L3" s="986"/>
      <c r="M3" s="1078" t="s">
        <v>7217</v>
      </c>
    </row>
    <row r="4">
      <c r="A4" s="1078" t="s">
        <v>7218</v>
      </c>
      <c r="B4" s="1078" t="s">
        <v>7219</v>
      </c>
      <c r="C4" s="1078" t="s">
        <v>7220</v>
      </c>
      <c r="D4" s="1078" t="s">
        <v>7221</v>
      </c>
      <c r="E4" s="1078" t="s">
        <v>7222</v>
      </c>
      <c r="F4" s="1078" t="s">
        <v>7223</v>
      </c>
      <c r="G4" s="986"/>
      <c r="H4" s="1078" t="s">
        <v>7218</v>
      </c>
      <c r="I4" s="1078" t="s">
        <v>7219</v>
      </c>
      <c r="J4" s="1078" t="s">
        <v>7224</v>
      </c>
      <c r="K4" s="1078" t="s">
        <v>7225</v>
      </c>
      <c r="L4" s="1078" t="s">
        <v>7226</v>
      </c>
      <c r="M4" s="1078" t="s">
        <v>7227</v>
      </c>
    </row>
    <row r="5">
      <c r="A5" s="986"/>
      <c r="B5" s="986"/>
      <c r="C5" s="986"/>
      <c r="D5" s="986"/>
      <c r="E5" s="1078" t="s">
        <v>7228</v>
      </c>
      <c r="F5" s="1078" t="s">
        <v>7229</v>
      </c>
      <c r="G5" s="986"/>
      <c r="H5" s="986"/>
      <c r="I5" s="986"/>
      <c r="J5" s="986"/>
      <c r="K5" s="986"/>
      <c r="L5" s="1078" t="s">
        <v>7230</v>
      </c>
      <c r="M5" s="1078" t="s">
        <v>7231</v>
      </c>
    </row>
    <row r="6">
      <c r="A6" s="986"/>
      <c r="B6" s="986"/>
      <c r="C6" s="986"/>
      <c r="D6" s="986"/>
      <c r="E6" s="1078" t="s">
        <v>7232</v>
      </c>
      <c r="F6" s="1078" t="s">
        <v>7233</v>
      </c>
      <c r="G6" s="986"/>
      <c r="H6" s="986"/>
      <c r="I6" s="986"/>
      <c r="J6" s="986"/>
      <c r="K6" s="986"/>
      <c r="L6" s="1078" t="s">
        <v>7234</v>
      </c>
      <c r="M6" s="1078" t="s">
        <v>7235</v>
      </c>
    </row>
    <row r="7">
      <c r="A7" s="986"/>
      <c r="B7" s="986"/>
      <c r="C7" s="986"/>
      <c r="D7" s="986"/>
      <c r="E7" s="986"/>
      <c r="F7" s="986"/>
      <c r="G7" s="986"/>
      <c r="H7" s="986"/>
      <c r="I7" s="986"/>
      <c r="J7" s="986"/>
      <c r="K7" s="986"/>
      <c r="L7" s="1078" t="s">
        <v>7236</v>
      </c>
      <c r="M7" s="1078" t="s">
        <v>7237</v>
      </c>
    </row>
    <row r="8">
      <c r="A8" s="986"/>
      <c r="B8" s="986"/>
      <c r="C8" s="986"/>
      <c r="D8" s="986"/>
      <c r="E8" s="986"/>
      <c r="F8" s="986"/>
      <c r="G8" s="986"/>
      <c r="H8" s="986"/>
      <c r="I8" s="986"/>
      <c r="J8" s="986"/>
      <c r="K8" s="986"/>
      <c r="L8" s="1078" t="s">
        <v>7238</v>
      </c>
      <c r="M8" s="1078" t="s">
        <v>7239</v>
      </c>
    </row>
    <row r="9">
      <c r="A9" s="986"/>
      <c r="B9" s="986"/>
      <c r="C9" s="986"/>
      <c r="D9" s="986"/>
      <c r="E9" s="986"/>
      <c r="F9" s="986"/>
      <c r="G9" s="986"/>
      <c r="H9" s="986"/>
      <c r="I9" s="986"/>
      <c r="J9" s="1078" t="s">
        <v>7240</v>
      </c>
      <c r="K9" s="1078" t="s">
        <v>7241</v>
      </c>
      <c r="L9" s="1078" t="s">
        <v>7242</v>
      </c>
      <c r="M9" s="1078" t="s">
        <v>7243</v>
      </c>
    </row>
    <row r="10">
      <c r="A10" s="986"/>
      <c r="B10" s="986"/>
      <c r="C10" s="986"/>
      <c r="D10" s="986"/>
      <c r="E10" s="986"/>
      <c r="F10" s="986"/>
      <c r="G10" s="986"/>
      <c r="H10" s="986"/>
      <c r="I10" s="986"/>
      <c r="J10" s="986"/>
      <c r="K10" s="1078" t="s">
        <v>7244</v>
      </c>
      <c r="L10" s="1078" t="s">
        <v>7245</v>
      </c>
      <c r="M10" s="1078" t="s">
        <v>7246</v>
      </c>
    </row>
    <row r="11">
      <c r="A11" s="986"/>
      <c r="B11" s="986"/>
      <c r="C11" s="986"/>
      <c r="D11" s="986"/>
      <c r="E11" s="1078" t="s">
        <v>7247</v>
      </c>
      <c r="F11" s="1078" t="s">
        <v>7239</v>
      </c>
      <c r="G11" s="986"/>
      <c r="H11" s="986"/>
      <c r="I11" s="986"/>
      <c r="J11" s="986"/>
      <c r="K11" s="986"/>
      <c r="L11" s="1078" t="s">
        <v>7248</v>
      </c>
      <c r="M11" s="986"/>
    </row>
    <row r="12">
      <c r="A12" s="986"/>
      <c r="B12" s="986"/>
      <c r="C12" s="1078" t="s">
        <v>359</v>
      </c>
      <c r="D12" s="1078" t="s">
        <v>7249</v>
      </c>
      <c r="E12" s="1078" t="s">
        <v>7250</v>
      </c>
      <c r="F12" s="1078" t="s">
        <v>7235</v>
      </c>
      <c r="G12" s="986"/>
      <c r="H12" s="986"/>
      <c r="I12" s="986"/>
      <c r="J12" s="986"/>
      <c r="K12" s="986"/>
      <c r="L12" s="1078" t="s">
        <v>7251</v>
      </c>
      <c r="M12" s="986"/>
    </row>
    <row r="13">
      <c r="A13" s="986"/>
      <c r="B13" s="986"/>
      <c r="C13" s="986"/>
      <c r="D13" s="1078" t="s">
        <v>7252</v>
      </c>
      <c r="E13" s="1078" t="s">
        <v>7253</v>
      </c>
      <c r="F13" s="1078" t="s">
        <v>7254</v>
      </c>
      <c r="G13" s="986"/>
      <c r="H13" s="986"/>
      <c r="I13" s="986"/>
      <c r="J13" s="986"/>
      <c r="K13" s="986"/>
      <c r="L13" s="1078" t="s">
        <v>7255</v>
      </c>
      <c r="M13" s="1078" t="s">
        <v>7239</v>
      </c>
    </row>
    <row r="14">
      <c r="A14" s="986"/>
      <c r="B14" s="986"/>
      <c r="C14" s="986"/>
      <c r="D14" s="1078" t="s">
        <v>7256</v>
      </c>
      <c r="E14" s="1078" t="s">
        <v>7257</v>
      </c>
      <c r="F14" s="1078" t="s">
        <v>7258</v>
      </c>
      <c r="G14" s="986"/>
      <c r="H14" s="986"/>
      <c r="I14" s="986"/>
      <c r="J14" s="1078" t="s">
        <v>7259</v>
      </c>
      <c r="K14" s="1078" t="s">
        <v>7260</v>
      </c>
      <c r="L14" s="1078" t="s">
        <v>7261</v>
      </c>
      <c r="M14" s="1078" t="s">
        <v>7262</v>
      </c>
    </row>
    <row r="15">
      <c r="A15" s="986"/>
      <c r="B15" s="986"/>
      <c r="C15" s="986"/>
      <c r="D15" s="986"/>
      <c r="E15" s="1078" t="s">
        <v>7263</v>
      </c>
      <c r="F15" s="1078" t="s">
        <v>7264</v>
      </c>
      <c r="G15" s="986"/>
      <c r="H15" s="986"/>
      <c r="I15" s="986"/>
      <c r="J15" s="986"/>
      <c r="K15" s="986"/>
      <c r="L15" s="1078" t="s">
        <v>7265</v>
      </c>
      <c r="M15" s="1078" t="s">
        <v>7266</v>
      </c>
    </row>
    <row r="16">
      <c r="A16" s="986"/>
      <c r="B16" s="986"/>
      <c r="C16" s="986"/>
      <c r="D16" s="986"/>
      <c r="E16" s="1078" t="s">
        <v>7267</v>
      </c>
      <c r="F16" s="1078" t="s">
        <v>7268</v>
      </c>
      <c r="G16" s="986"/>
      <c r="H16" s="986"/>
      <c r="I16" s="986"/>
      <c r="J16" s="986"/>
      <c r="K16" s="986"/>
      <c r="L16" s="1078" t="s">
        <v>7269</v>
      </c>
      <c r="M16" s="1078" t="s">
        <v>7270</v>
      </c>
    </row>
    <row r="17">
      <c r="A17" s="986"/>
      <c r="B17" s="986"/>
      <c r="C17" s="986"/>
      <c r="D17" s="986"/>
      <c r="E17" s="1078" t="s">
        <v>7271</v>
      </c>
      <c r="F17" s="1078" t="s">
        <v>7272</v>
      </c>
      <c r="G17" s="986"/>
      <c r="H17" s="986"/>
      <c r="I17" s="986"/>
      <c r="J17" s="986"/>
      <c r="K17" s="986"/>
      <c r="L17" s="986"/>
      <c r="M17" s="986"/>
    </row>
    <row r="18">
      <c r="A18" s="986"/>
      <c r="B18" s="986"/>
      <c r="C18" s="986"/>
      <c r="D18" s="986"/>
      <c r="E18" s="1078" t="s">
        <v>7273</v>
      </c>
      <c r="F18" s="1078" t="s">
        <v>7274</v>
      </c>
      <c r="G18" s="986"/>
      <c r="H18" s="986"/>
      <c r="I18" s="986"/>
      <c r="J18" s="986"/>
      <c r="K18" s="986"/>
      <c r="L18" s="1078" t="s">
        <v>7275</v>
      </c>
      <c r="M18" s="1078" t="s">
        <v>7239</v>
      </c>
    </row>
    <row r="19">
      <c r="A19" s="986"/>
      <c r="B19" s="986"/>
      <c r="C19" s="986"/>
      <c r="D19" s="986"/>
      <c r="E19" s="1078" t="s">
        <v>7276</v>
      </c>
      <c r="F19" s="1078" t="s">
        <v>7277</v>
      </c>
      <c r="G19" s="986"/>
      <c r="H19" s="986"/>
      <c r="I19" s="986"/>
      <c r="J19" s="986"/>
      <c r="K19" s="986"/>
      <c r="L19" s="986"/>
      <c r="M19" s="986"/>
    </row>
    <row r="20">
      <c r="A20" s="986"/>
      <c r="B20" s="986"/>
      <c r="C20" s="986"/>
      <c r="D20" s="986"/>
      <c r="E20" s="1078" t="s">
        <v>7278</v>
      </c>
      <c r="F20" s="1078" t="s">
        <v>7239</v>
      </c>
      <c r="G20" s="986"/>
      <c r="H20" s="986"/>
      <c r="I20" s="986"/>
      <c r="J20" s="986"/>
      <c r="K20" s="986"/>
      <c r="L20" s="986"/>
      <c r="M20" s="986"/>
    </row>
    <row r="21">
      <c r="A21" s="986"/>
      <c r="B21" s="986"/>
      <c r="C21" s="1078" t="s">
        <v>66</v>
      </c>
      <c r="D21" s="1078" t="s">
        <v>7279</v>
      </c>
      <c r="E21" s="1078" t="s">
        <v>7280</v>
      </c>
      <c r="F21" s="1078" t="s">
        <v>7281</v>
      </c>
      <c r="G21" s="986"/>
      <c r="H21" s="1078" t="s">
        <v>29</v>
      </c>
      <c r="I21" s="986"/>
      <c r="J21" s="1078" t="s">
        <v>7282</v>
      </c>
      <c r="K21" s="1078" t="s">
        <v>7283</v>
      </c>
      <c r="L21" s="1078" t="s">
        <v>7284</v>
      </c>
      <c r="M21" s="1078" t="s">
        <v>7283</v>
      </c>
    </row>
    <row r="22">
      <c r="A22" s="986"/>
      <c r="B22" s="986"/>
      <c r="C22" s="986"/>
      <c r="D22" s="986"/>
      <c r="E22" s="986"/>
      <c r="F22" s="1078" t="s">
        <v>7285</v>
      </c>
      <c r="G22" s="986"/>
      <c r="H22" s="986"/>
      <c r="I22" s="986"/>
      <c r="J22" s="1078" t="s">
        <v>7282</v>
      </c>
      <c r="K22" s="986"/>
      <c r="L22" s="1078" t="s">
        <v>7286</v>
      </c>
      <c r="M22" s="1078" t="s">
        <v>7287</v>
      </c>
    </row>
    <row r="23">
      <c r="A23" s="986"/>
      <c r="B23" s="986"/>
      <c r="C23" s="986"/>
      <c r="D23" s="986"/>
      <c r="E23" s="986"/>
      <c r="F23" s="986"/>
      <c r="G23" s="986"/>
      <c r="H23" s="986"/>
      <c r="I23" s="986"/>
      <c r="J23" s="1078" t="s">
        <v>7282</v>
      </c>
      <c r="K23" s="1078" t="s">
        <v>7283</v>
      </c>
      <c r="L23" s="1078" t="s">
        <v>7288</v>
      </c>
      <c r="M23" s="1078" t="s">
        <v>7283</v>
      </c>
    </row>
    <row r="24">
      <c r="A24" s="986"/>
      <c r="B24" s="986"/>
      <c r="C24" s="986"/>
      <c r="D24" s="986"/>
      <c r="E24" s="1078" t="s">
        <v>7289</v>
      </c>
      <c r="F24" s="1078" t="s">
        <v>7239</v>
      </c>
      <c r="G24" s="986"/>
      <c r="H24" s="1078" t="s">
        <v>7218</v>
      </c>
      <c r="I24" s="986"/>
      <c r="J24" s="1078" t="s">
        <v>7282</v>
      </c>
      <c r="K24" s="986"/>
      <c r="L24" s="1078" t="s">
        <v>7290</v>
      </c>
      <c r="M24" s="1078" t="s">
        <v>7287</v>
      </c>
    </row>
    <row r="25">
      <c r="A25" s="986"/>
      <c r="B25" s="986"/>
      <c r="C25" s="1078" t="s">
        <v>29</v>
      </c>
      <c r="D25" s="1078" t="s">
        <v>7291</v>
      </c>
      <c r="E25" s="1078" t="s">
        <v>7292</v>
      </c>
      <c r="F25" s="1078" t="s">
        <v>7293</v>
      </c>
      <c r="G25" s="986"/>
      <c r="H25" s="986"/>
      <c r="I25" s="986"/>
      <c r="J25" s="986"/>
      <c r="K25" s="986"/>
      <c r="L25" s="986"/>
      <c r="M25" s="986"/>
    </row>
    <row r="26">
      <c r="A26" s="986"/>
      <c r="B26" s="986"/>
      <c r="C26" s="986"/>
      <c r="D26" s="986"/>
      <c r="E26" s="1078" t="s">
        <v>7294</v>
      </c>
      <c r="F26" s="1078" t="s">
        <v>7295</v>
      </c>
      <c r="I26" s="986"/>
      <c r="J26" s="986"/>
      <c r="K26" s="986"/>
      <c r="L26" s="986"/>
      <c r="M26" s="986"/>
    </row>
    <row r="27">
      <c r="A27" s="986"/>
      <c r="B27" s="986"/>
      <c r="C27" s="986"/>
      <c r="D27" s="986"/>
      <c r="E27" s="1078" t="s">
        <v>7296</v>
      </c>
      <c r="F27" s="1078" t="s">
        <v>7277</v>
      </c>
      <c r="G27" s="986"/>
      <c r="H27" s="986"/>
      <c r="I27" s="986"/>
      <c r="J27" s="986"/>
      <c r="K27" s="986"/>
      <c r="L27" s="986"/>
      <c r="M27" s="986"/>
    </row>
    <row r="28">
      <c r="A28" s="986"/>
      <c r="B28" s="986"/>
      <c r="C28" s="986"/>
      <c r="D28" s="986"/>
      <c r="E28" s="986"/>
      <c r="F28" s="986"/>
      <c r="G28" s="986"/>
      <c r="H28" s="1078" t="s">
        <v>7297</v>
      </c>
      <c r="K28" s="986"/>
      <c r="L28" s="986"/>
      <c r="M28" s="986"/>
    </row>
    <row r="29">
      <c r="A29" s="986"/>
      <c r="B29" s="986"/>
      <c r="C29" s="986"/>
      <c r="D29" s="986"/>
      <c r="E29" s="986"/>
      <c r="F29" s="986"/>
      <c r="G29" s="986"/>
      <c r="H29" s="1078" t="s">
        <v>7298</v>
      </c>
    </row>
    <row r="30">
      <c r="A30" s="986"/>
      <c r="B30" s="986"/>
      <c r="C30" s="986"/>
      <c r="D30" s="986"/>
      <c r="E30" s="986"/>
      <c r="F30" s="986"/>
      <c r="G30" s="986"/>
      <c r="H30" s="1078" t="s">
        <v>7299</v>
      </c>
      <c r="J30" s="986"/>
      <c r="K30" s="986"/>
      <c r="L30" s="986"/>
      <c r="M30" s="986"/>
    </row>
    <row r="31">
      <c r="A31" s="986"/>
      <c r="B31" s="986"/>
      <c r="C31" s="986"/>
      <c r="D31" s="986"/>
      <c r="E31" s="986"/>
      <c r="F31" s="986"/>
      <c r="G31" s="986"/>
      <c r="H31" s="1078" t="s">
        <v>7300</v>
      </c>
    </row>
    <row r="32">
      <c r="A32" s="986"/>
      <c r="B32" s="986"/>
      <c r="C32" s="986"/>
      <c r="D32" s="986"/>
      <c r="E32" s="1078" t="s">
        <v>7301</v>
      </c>
      <c r="F32" s="1078" t="s">
        <v>7239</v>
      </c>
      <c r="G32" s="986"/>
      <c r="H32" s="1078" t="s">
        <v>7302</v>
      </c>
    </row>
    <row r="33">
      <c r="A33" s="986"/>
      <c r="B33" s="986"/>
      <c r="C33" s="1078" t="s">
        <v>7303</v>
      </c>
      <c r="D33" s="1078" t="s">
        <v>7304</v>
      </c>
      <c r="E33" s="1078" t="s">
        <v>7305</v>
      </c>
      <c r="F33" s="1078" t="s">
        <v>7246</v>
      </c>
      <c r="G33" s="986"/>
      <c r="H33" s="1078" t="s">
        <v>7306</v>
      </c>
      <c r="L33" s="986"/>
      <c r="M33" s="986"/>
    </row>
    <row r="34">
      <c r="A34" s="986"/>
      <c r="B34" s="986"/>
      <c r="C34" s="986"/>
      <c r="D34" s="1078" t="s">
        <v>7307</v>
      </c>
      <c r="E34" s="1078" t="s">
        <v>7308</v>
      </c>
      <c r="F34" s="1078" t="s">
        <v>7309</v>
      </c>
      <c r="G34" s="986"/>
      <c r="H34" s="1078" t="s">
        <v>7310</v>
      </c>
    </row>
    <row r="35">
      <c r="A35" s="986"/>
      <c r="B35" s="986"/>
      <c r="C35" s="986"/>
      <c r="D35" s="1078" t="s">
        <v>7311</v>
      </c>
      <c r="E35" s="1078" t="s">
        <v>7312</v>
      </c>
      <c r="F35" s="1078" t="s">
        <v>7313</v>
      </c>
      <c r="G35" s="986"/>
      <c r="H35" s="1078" t="s">
        <v>7314</v>
      </c>
      <c r="J35" s="986"/>
      <c r="K35" s="986"/>
      <c r="L35" s="986"/>
      <c r="M35" s="986"/>
    </row>
    <row r="36">
      <c r="A36" s="986"/>
      <c r="B36" s="986"/>
      <c r="C36" s="986"/>
      <c r="D36" s="986"/>
      <c r="E36" s="1078" t="s">
        <v>7315</v>
      </c>
      <c r="F36" s="1078" t="s">
        <v>7316</v>
      </c>
      <c r="G36" s="986"/>
      <c r="H36" s="1078" t="s">
        <v>7317</v>
      </c>
    </row>
    <row r="37">
      <c r="A37" s="986"/>
      <c r="B37" s="986"/>
      <c r="C37" s="986"/>
      <c r="D37" s="986"/>
      <c r="E37" s="1078" t="s">
        <v>7318</v>
      </c>
      <c r="F37" s="1078" t="s">
        <v>7319</v>
      </c>
      <c r="G37" s="986"/>
      <c r="H37" s="1078" t="s">
        <v>7320</v>
      </c>
      <c r="L37" s="986"/>
      <c r="M37" s="986"/>
    </row>
    <row r="38">
      <c r="A38" s="986"/>
      <c r="B38" s="986"/>
      <c r="C38" s="986"/>
      <c r="D38" s="986"/>
      <c r="E38" s="1078" t="s">
        <v>7321</v>
      </c>
      <c r="F38" s="1078" t="s">
        <v>7322</v>
      </c>
      <c r="G38" s="986"/>
      <c r="H38" s="1078" t="s">
        <v>7323</v>
      </c>
    </row>
    <row r="39">
      <c r="A39" s="986"/>
      <c r="B39" s="986"/>
      <c r="C39" s="986"/>
      <c r="D39" s="986"/>
      <c r="E39" s="1078" t="s">
        <v>7324</v>
      </c>
      <c r="F39" s="1078" t="s">
        <v>7239</v>
      </c>
      <c r="G39" s="986"/>
      <c r="H39" s="986"/>
      <c r="I39" s="986"/>
      <c r="J39" s="986"/>
      <c r="K39" s="986"/>
      <c r="L39" s="986"/>
      <c r="M39" s="986"/>
    </row>
    <row r="40">
      <c r="A40" s="986"/>
      <c r="B40" s="986"/>
      <c r="C40" s="1078" t="s">
        <v>7325</v>
      </c>
      <c r="D40" s="1078" t="s">
        <v>7326</v>
      </c>
      <c r="E40" s="1078" t="s">
        <v>7327</v>
      </c>
      <c r="F40" s="1078" t="s">
        <v>7246</v>
      </c>
      <c r="G40" s="986"/>
      <c r="H40" s="986"/>
      <c r="I40" s="986"/>
      <c r="J40" s="986"/>
      <c r="K40" s="986"/>
      <c r="L40" s="986"/>
      <c r="M40" s="986"/>
    </row>
    <row r="41">
      <c r="A41" s="986"/>
      <c r="B41" s="986"/>
      <c r="C41" s="986"/>
      <c r="D41" s="1078" t="s">
        <v>7307</v>
      </c>
      <c r="E41" s="1078" t="s">
        <v>7328</v>
      </c>
      <c r="F41" s="1078" t="s">
        <v>7309</v>
      </c>
      <c r="G41" s="986"/>
      <c r="H41" s="986"/>
      <c r="I41" s="986"/>
      <c r="J41" s="986"/>
      <c r="K41" s="986"/>
      <c r="L41" s="986"/>
      <c r="M41" s="986"/>
    </row>
    <row r="42">
      <c r="A42" s="986"/>
      <c r="B42" s="986"/>
      <c r="C42" s="986"/>
      <c r="D42" s="1078" t="s">
        <v>7311</v>
      </c>
      <c r="E42" s="1078" t="s">
        <v>7329</v>
      </c>
      <c r="F42" s="1078" t="s">
        <v>7313</v>
      </c>
      <c r="G42" s="986"/>
      <c r="H42" s="986"/>
      <c r="I42" s="986"/>
      <c r="J42" s="986"/>
      <c r="K42" s="986"/>
      <c r="L42" s="986"/>
      <c r="M42" s="986"/>
    </row>
    <row r="43">
      <c r="A43" s="986"/>
      <c r="B43" s="986"/>
      <c r="C43" s="986"/>
      <c r="D43" s="986"/>
      <c r="E43" s="1078" t="s">
        <v>7330</v>
      </c>
      <c r="F43" s="1078" t="s">
        <v>7316</v>
      </c>
      <c r="G43" s="986"/>
      <c r="H43" s="986"/>
      <c r="I43" s="986"/>
      <c r="J43" s="986"/>
      <c r="K43" s="986"/>
      <c r="L43" s="986"/>
      <c r="M43" s="986"/>
    </row>
    <row r="44">
      <c r="A44" s="986"/>
      <c r="B44" s="986"/>
      <c r="C44" s="986"/>
      <c r="D44" s="986"/>
      <c r="E44" s="1078" t="s">
        <v>7331</v>
      </c>
      <c r="F44" s="986"/>
      <c r="G44" s="986"/>
      <c r="H44" s="986"/>
      <c r="I44" s="986"/>
      <c r="J44" s="986"/>
      <c r="K44" s="986"/>
      <c r="L44" s="986"/>
      <c r="M44" s="986"/>
    </row>
    <row r="45">
      <c r="A45" s="986"/>
      <c r="B45" s="986"/>
      <c r="C45" s="986"/>
      <c r="D45" s="986"/>
      <c r="E45" s="1078" t="s">
        <v>7332</v>
      </c>
      <c r="F45" s="986"/>
      <c r="G45" s="986"/>
      <c r="H45" s="986"/>
      <c r="I45" s="986"/>
      <c r="J45" s="986"/>
      <c r="K45" s="986"/>
      <c r="L45" s="986"/>
      <c r="M45" s="986"/>
    </row>
    <row r="46">
      <c r="A46" s="986"/>
      <c r="B46" s="986"/>
      <c r="C46" s="986"/>
      <c r="D46" s="986"/>
      <c r="E46" s="1078" t="s">
        <v>7333</v>
      </c>
      <c r="F46" s="1078" t="s">
        <v>7239</v>
      </c>
      <c r="G46" s="986"/>
      <c r="H46" s="986"/>
      <c r="I46" s="986"/>
      <c r="J46" s="986"/>
      <c r="K46" s="986"/>
      <c r="L46" s="986"/>
      <c r="M46" s="986"/>
    </row>
    <row r="47">
      <c r="A47" s="986"/>
      <c r="B47" s="986"/>
      <c r="C47" s="1078" t="s">
        <v>7334</v>
      </c>
      <c r="D47" s="1078" t="s">
        <v>7335</v>
      </c>
      <c r="E47" s="1078" t="s">
        <v>7336</v>
      </c>
      <c r="F47" s="1078" t="s">
        <v>7246</v>
      </c>
      <c r="G47" s="986"/>
      <c r="H47" s="986"/>
      <c r="I47" s="986"/>
      <c r="J47" s="986"/>
      <c r="K47" s="986"/>
      <c r="L47" s="986"/>
      <c r="M47" s="986"/>
    </row>
    <row r="48">
      <c r="A48" s="986"/>
      <c r="B48" s="986"/>
      <c r="C48" s="986"/>
      <c r="D48" s="1078" t="s">
        <v>7307</v>
      </c>
      <c r="E48" s="1078" t="s">
        <v>7337</v>
      </c>
      <c r="F48" s="1078" t="s">
        <v>7309</v>
      </c>
      <c r="G48" s="986"/>
      <c r="H48" s="986"/>
      <c r="I48" s="986"/>
      <c r="J48" s="986"/>
      <c r="K48" s="986"/>
      <c r="L48" s="986"/>
      <c r="M48" s="986"/>
    </row>
    <row r="49">
      <c r="A49" s="986"/>
      <c r="B49" s="986"/>
      <c r="C49" s="986"/>
      <c r="D49" s="1078" t="s">
        <v>7311</v>
      </c>
      <c r="E49" s="1078" t="s">
        <v>7338</v>
      </c>
      <c r="F49" s="1078" t="s">
        <v>7313</v>
      </c>
      <c r="G49" s="986"/>
      <c r="H49" s="986"/>
      <c r="I49" s="986"/>
      <c r="J49" s="986"/>
      <c r="K49" s="986"/>
      <c r="L49" s="986"/>
      <c r="M49" s="986"/>
    </row>
    <row r="50">
      <c r="A50" s="986"/>
      <c r="B50" s="986"/>
      <c r="C50" s="986"/>
      <c r="D50" s="986"/>
      <c r="E50" s="1078" t="s">
        <v>7339</v>
      </c>
      <c r="F50" s="1078" t="s">
        <v>7316</v>
      </c>
      <c r="G50" s="986"/>
      <c r="H50" s="986"/>
      <c r="I50" s="986"/>
      <c r="J50" s="986"/>
      <c r="K50" s="986"/>
      <c r="L50" s="986"/>
      <c r="M50" s="986"/>
    </row>
    <row r="51">
      <c r="A51" s="986"/>
      <c r="B51" s="986"/>
      <c r="C51" s="986"/>
      <c r="D51" s="986"/>
      <c r="E51" s="1078" t="s">
        <v>7340</v>
      </c>
      <c r="F51" s="986"/>
      <c r="G51" s="986"/>
      <c r="H51" s="986"/>
      <c r="I51" s="986"/>
      <c r="J51" s="986"/>
      <c r="K51" s="986"/>
      <c r="L51" s="986"/>
      <c r="M51" s="986"/>
    </row>
    <row r="52">
      <c r="A52" s="986"/>
      <c r="B52" s="986"/>
      <c r="C52" s="986"/>
      <c r="D52" s="986"/>
      <c r="E52" s="1078" t="s">
        <v>7341</v>
      </c>
      <c r="F52" s="986"/>
      <c r="G52" s="986"/>
      <c r="H52" s="986"/>
      <c r="I52" s="986"/>
      <c r="J52" s="986"/>
      <c r="K52" s="986"/>
      <c r="L52" s="986"/>
      <c r="M52" s="986"/>
    </row>
    <row r="53">
      <c r="A53" s="986"/>
      <c r="B53" s="986"/>
      <c r="C53" s="986"/>
      <c r="D53" s="986"/>
      <c r="E53" s="1078" t="s">
        <v>7342</v>
      </c>
      <c r="F53" s="1078" t="s">
        <v>7239</v>
      </c>
      <c r="G53" s="986"/>
      <c r="H53" s="986"/>
      <c r="I53" s="986"/>
      <c r="J53" s="986"/>
      <c r="K53" s="986"/>
      <c r="L53" s="986"/>
      <c r="M53" s="986"/>
    </row>
    <row r="54">
      <c r="A54" s="986"/>
      <c r="B54" s="986"/>
      <c r="C54" s="1078" t="s">
        <v>7343</v>
      </c>
      <c r="D54" s="1078" t="s">
        <v>7344</v>
      </c>
      <c r="E54" s="1078" t="s">
        <v>7345</v>
      </c>
      <c r="F54" s="1078" t="s">
        <v>7246</v>
      </c>
      <c r="G54" s="986"/>
      <c r="H54" s="986"/>
      <c r="I54" s="986"/>
      <c r="J54" s="986"/>
      <c r="K54" s="986"/>
      <c r="L54" s="986"/>
      <c r="M54" s="986"/>
    </row>
    <row r="55">
      <c r="A55" s="986"/>
      <c r="B55" s="986"/>
      <c r="C55" s="986"/>
      <c r="D55" s="1078" t="s">
        <v>7307</v>
      </c>
      <c r="E55" s="1078" t="s">
        <v>7346</v>
      </c>
      <c r="F55" s="1078" t="s">
        <v>7347</v>
      </c>
      <c r="G55" s="986"/>
      <c r="H55" s="986"/>
      <c r="I55" s="986"/>
      <c r="J55" s="986"/>
      <c r="K55" s="986"/>
      <c r="L55" s="986"/>
      <c r="M55" s="986"/>
    </row>
    <row r="56">
      <c r="A56" s="986"/>
      <c r="B56" s="986"/>
      <c r="C56" s="986"/>
      <c r="D56" s="1078" t="s">
        <v>7311</v>
      </c>
      <c r="E56" s="1078" t="s">
        <v>7348</v>
      </c>
      <c r="F56" s="1078" t="s">
        <v>7313</v>
      </c>
      <c r="G56" s="986"/>
      <c r="H56" s="986"/>
      <c r="I56" s="986"/>
      <c r="J56" s="986"/>
      <c r="K56" s="986"/>
      <c r="L56" s="986"/>
      <c r="M56" s="986"/>
    </row>
    <row r="57">
      <c r="A57" s="986"/>
      <c r="B57" s="986"/>
      <c r="C57" s="986"/>
      <c r="D57" s="986"/>
      <c r="E57" s="1078" t="s">
        <v>7349</v>
      </c>
      <c r="F57" s="1078" t="s">
        <v>7316</v>
      </c>
      <c r="G57" s="986"/>
      <c r="H57" s="986"/>
      <c r="I57" s="986"/>
      <c r="J57" s="986"/>
      <c r="K57" s="986"/>
      <c r="L57" s="986"/>
      <c r="M57" s="986"/>
    </row>
    <row r="58">
      <c r="A58" s="986"/>
      <c r="B58" s="986"/>
      <c r="C58" s="986"/>
      <c r="D58" s="986"/>
      <c r="E58" s="1078" t="s">
        <v>7350</v>
      </c>
      <c r="F58" s="1078" t="s">
        <v>7351</v>
      </c>
      <c r="G58" s="986"/>
      <c r="H58" s="986"/>
      <c r="I58" s="986"/>
      <c r="J58" s="986"/>
      <c r="K58" s="986"/>
      <c r="L58" s="986"/>
      <c r="M58" s="986"/>
    </row>
    <row r="59">
      <c r="A59" s="986"/>
      <c r="B59" s="986"/>
      <c r="C59" s="986"/>
      <c r="D59" s="986"/>
      <c r="E59" s="1078" t="s">
        <v>7352</v>
      </c>
      <c r="F59" s="1078" t="s">
        <v>7353</v>
      </c>
      <c r="H59" s="986"/>
      <c r="I59" s="986"/>
      <c r="J59" s="986"/>
      <c r="K59" s="986"/>
      <c r="L59" s="986"/>
      <c r="M59" s="986"/>
    </row>
    <row r="60">
      <c r="A60" s="986"/>
      <c r="B60" s="986"/>
      <c r="C60" s="986"/>
      <c r="D60" s="986"/>
      <c r="E60" s="1078" t="s">
        <v>7354</v>
      </c>
      <c r="F60" s="986"/>
      <c r="G60" s="986"/>
      <c r="H60" s="986"/>
      <c r="I60" s="986"/>
      <c r="J60" s="986"/>
      <c r="K60" s="986"/>
      <c r="L60" s="986"/>
      <c r="M60" s="986"/>
    </row>
    <row r="61">
      <c r="A61" s="986"/>
      <c r="B61" s="986"/>
      <c r="C61" s="986"/>
      <c r="D61" s="986"/>
      <c r="E61" s="1078" t="s">
        <v>7355</v>
      </c>
      <c r="F61" s="1078" t="s">
        <v>7239</v>
      </c>
      <c r="G61" s="986"/>
      <c r="H61" s="986"/>
      <c r="I61" s="986"/>
      <c r="J61" s="986"/>
      <c r="K61" s="986"/>
      <c r="L61" s="986"/>
      <c r="M61" s="986"/>
    </row>
  </sheetData>
  <mergeCells count="17">
    <mergeCell ref="B1:D1"/>
    <mergeCell ref="A3:B3"/>
    <mergeCell ref="C3:D3"/>
    <mergeCell ref="E3:F3"/>
    <mergeCell ref="F26:H26"/>
    <mergeCell ref="H28:J28"/>
    <mergeCell ref="H29:M29"/>
    <mergeCell ref="H37:K37"/>
    <mergeCell ref="H38:M38"/>
    <mergeCell ref="F59:G59"/>
    <mergeCell ref="H30:I30"/>
    <mergeCell ref="H31:M31"/>
    <mergeCell ref="H32:M32"/>
    <mergeCell ref="H33:K33"/>
    <mergeCell ref="H34:M34"/>
    <mergeCell ref="H35:I35"/>
    <mergeCell ref="H36:M3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s>
  <sheetData>
    <row r="1">
      <c r="A1" s="1079" t="s">
        <v>7356</v>
      </c>
      <c r="E1" s="1079" t="s">
        <v>7357</v>
      </c>
    </row>
    <row r="2">
      <c r="A2" s="1080" t="s">
        <v>7358</v>
      </c>
      <c r="B2" s="1081" t="s">
        <v>7359</v>
      </c>
      <c r="E2" s="1079">
        <v>1.0</v>
      </c>
      <c r="F2" s="1079">
        <v>2.0</v>
      </c>
      <c r="G2" s="1079">
        <v>3.0</v>
      </c>
      <c r="H2" s="1079">
        <v>4.0</v>
      </c>
      <c r="I2" s="1079">
        <v>5.0</v>
      </c>
      <c r="J2" s="1079">
        <v>6.0</v>
      </c>
      <c r="K2" s="1079">
        <v>7.0</v>
      </c>
      <c r="L2" s="1079">
        <v>8.0</v>
      </c>
      <c r="M2" s="1079">
        <v>9.0</v>
      </c>
      <c r="N2" s="1079">
        <v>10.0</v>
      </c>
      <c r="O2" s="1079">
        <v>11.0</v>
      </c>
      <c r="P2" s="1079">
        <v>12.0</v>
      </c>
      <c r="Q2" s="1079">
        <v>13.0</v>
      </c>
      <c r="R2" s="1079">
        <v>14.0</v>
      </c>
      <c r="S2" s="1079">
        <v>15.0</v>
      </c>
      <c r="T2" s="1079">
        <v>16.0</v>
      </c>
      <c r="U2" s="1079">
        <v>17.0</v>
      </c>
      <c r="V2" s="1079">
        <v>18.0</v>
      </c>
      <c r="W2" s="1079">
        <v>19.0</v>
      </c>
      <c r="X2" s="1079">
        <v>20.0</v>
      </c>
      <c r="Y2" s="1079">
        <v>21.0</v>
      </c>
      <c r="Z2" s="1079">
        <v>22.0</v>
      </c>
      <c r="AA2" s="1079">
        <v>23.0</v>
      </c>
      <c r="AB2" s="1079">
        <v>24.0</v>
      </c>
      <c r="AC2" s="1079">
        <v>25.0</v>
      </c>
      <c r="AD2" s="1079">
        <v>26.0</v>
      </c>
      <c r="AE2" s="1079">
        <v>27.0</v>
      </c>
      <c r="AF2" s="1079">
        <v>28.0</v>
      </c>
    </row>
    <row r="3">
      <c r="A3" s="1082">
        <v>2109.0</v>
      </c>
      <c r="B3" s="1083">
        <v>46156.0</v>
      </c>
      <c r="E3" s="1079" t="s">
        <v>0</v>
      </c>
      <c r="F3" s="1084" t="s">
        <v>1</v>
      </c>
      <c r="G3" s="1079" t="s">
        <v>2</v>
      </c>
      <c r="H3" s="1079" t="s">
        <v>3</v>
      </c>
      <c r="I3" s="1079" t="s">
        <v>4</v>
      </c>
      <c r="J3" s="1079" t="s">
        <v>5</v>
      </c>
      <c r="K3" s="1079" t="s">
        <v>6</v>
      </c>
      <c r="L3" s="1079" t="s">
        <v>7</v>
      </c>
      <c r="M3" s="1085" t="s">
        <v>8</v>
      </c>
      <c r="N3" s="1085" t="s">
        <v>9</v>
      </c>
      <c r="O3" s="1079" t="s">
        <v>10</v>
      </c>
      <c r="P3" s="1079" t="s">
        <v>11</v>
      </c>
      <c r="Q3" s="1079" t="s">
        <v>12</v>
      </c>
      <c r="R3" s="1079" t="s">
        <v>13</v>
      </c>
      <c r="S3" s="1079" t="s">
        <v>14</v>
      </c>
      <c r="T3" s="1079" t="s">
        <v>15</v>
      </c>
      <c r="U3" s="1079" t="s">
        <v>16</v>
      </c>
      <c r="V3" s="1084" t="s">
        <v>17</v>
      </c>
      <c r="W3" s="1079" t="s">
        <v>18</v>
      </c>
      <c r="X3" s="1084" t="s">
        <v>17</v>
      </c>
      <c r="Y3" s="1079" t="s">
        <v>20</v>
      </c>
      <c r="Z3" s="1084" t="s">
        <v>17</v>
      </c>
      <c r="AA3" s="1079" t="s">
        <v>22</v>
      </c>
      <c r="AB3" s="1084" t="s">
        <v>17</v>
      </c>
      <c r="AC3" s="1079" t="s">
        <v>24</v>
      </c>
      <c r="AD3" s="1084" t="s">
        <v>25</v>
      </c>
      <c r="AE3" s="1079" t="s">
        <v>26</v>
      </c>
      <c r="AF3" s="1079" t="s">
        <v>27</v>
      </c>
    </row>
  </sheetData>
  <drawing r:id="rId1"/>
</worksheet>
</file>